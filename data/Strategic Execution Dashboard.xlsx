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08" documentId="8_{9B9C04DA-ABE2-4E9B-9FCF-AA5C7C703189}" xr6:coauthVersionLast="47" xr6:coauthVersionMax="47" xr10:uidLastSave="{76C102A4-A0DE-48BA-9DAF-0B4AD92B8CB0}"/>
  <bookViews>
    <workbookView minimized="1" xWindow="0" yWindow="1030" windowWidth="9600" windowHeight="5450" firstSheet="1" activeTab="1" xr2:uid="{31EBE344-35EA-49FE-9828-AF06217AD86D}"/>
  </bookViews>
  <sheets>
    <sheet name="Mastersheet" sheetId="5" r:id="rId1"/>
    <sheet name="AOP Crit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<sst xmlns="http://schemas.openxmlformats.org/spreadsheetml/2006/main" count="494" uniqueCount="143">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</sst>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 t="str">
        <f>IF('AOP Critical'!S8="","",'AOP Critical'!S8)</f>
        <v/>
      </c>
      <c r="S7" s="69" t="str">
        <f>IF('AOP Critical'!T8="","",'AOP Critical'!T8)</f>
        <v/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/>
      </c>
      <c r="T51" s="70" t="str">
        <f>IF('AOP Critical'!U24="","",'AOP Critical'!U24)</f>
        <v>QTR</v>
      </c>
      <c r="U51" s="70" t="str">
        <f>IF('AOP Critical'!V24="","",'AOP Critical'!V24)</f>
        <v>QTR</v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/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9" activePane="bottomLeft" state="frozen"/>
      <selection pane="bottomLeft" activeCell="T18" sqref="T18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customWidth="1"/>
    <col min="13" max="13" width="6.81640625" customWidth="1"/>
    <col min="14" max="14" width="6.26953125" customWidth="1"/>
    <col min="15" max="15" width="7.26953125" customWidth="1"/>
    <col min="16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07" t="s">
        <v>40</v>
      </c>
      <c r="B3" s="10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x14ac:dyDescent="0.35">
      <c r="A4" s="109" t="str">
        <f ca="1">"Current Month-Year " &amp; ":" &amp; TEXT(TODAY(),"YYYY-MM")</f>
        <v>Current Month-Year :2026-10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</row>
    <row r="5" spans="1:27" ht="27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3" t="s">
        <v>5</v>
      </c>
      <c r="F5" s="113"/>
      <c r="G5" s="113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20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106" t="s">
        <v>47</v>
      </c>
      <c r="B6" s="88" t="s">
        <v>48</v>
      </c>
      <c r="C6" s="89" t="s">
        <v>49</v>
      </c>
      <c r="D6" s="87" t="s">
        <v>50</v>
      </c>
      <c r="E6" s="105">
        <v>10</v>
      </c>
      <c r="F6" s="105"/>
      <c r="G6" s="105"/>
      <c r="H6" s="108" t="s">
        <v>51</v>
      </c>
      <c r="I6" s="105" t="s">
        <v>33</v>
      </c>
      <c r="J6" s="104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3"/>
      <c r="Y6" s="110"/>
      <c r="Z6" s="110"/>
      <c r="AA6" s="120" t="s">
        <v>54</v>
      </c>
    </row>
    <row r="7" spans="1:27" x14ac:dyDescent="0.35">
      <c r="A7" s="106"/>
      <c r="B7" s="88"/>
      <c r="C7" s="89"/>
      <c r="D7" s="87"/>
      <c r="E7" s="105"/>
      <c r="F7" s="105"/>
      <c r="G7" s="105"/>
      <c r="H7" s="108"/>
      <c r="I7" s="105"/>
      <c r="J7" s="104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21"/>
    </row>
    <row r="8" spans="1:27" x14ac:dyDescent="0.35">
      <c r="A8" s="106"/>
      <c r="B8" s="88" t="s">
        <v>56</v>
      </c>
      <c r="C8" s="89" t="s">
        <v>49</v>
      </c>
      <c r="D8" s="87" t="s">
        <v>57</v>
      </c>
      <c r="E8" s="105">
        <v>90</v>
      </c>
      <c r="F8" s="105"/>
      <c r="G8" s="105"/>
      <c r="H8" s="108" t="s">
        <v>32</v>
      </c>
      <c r="I8" s="105" t="s">
        <v>33</v>
      </c>
      <c r="J8" s="104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18"/>
      <c r="T8" s="18"/>
      <c r="U8" s="18"/>
      <c r="V8" s="18"/>
      <c r="W8" s="27"/>
      <c r="X8" s="91"/>
      <c r="Y8" s="92" t="s">
        <v>58</v>
      </c>
      <c r="Z8" s="111">
        <v>46231</v>
      </c>
      <c r="AA8" s="120" t="s">
        <v>59</v>
      </c>
    </row>
    <row r="9" spans="1:27" x14ac:dyDescent="0.35">
      <c r="A9" s="106"/>
      <c r="B9" s="88"/>
      <c r="C9" s="89"/>
      <c r="D9" s="87"/>
      <c r="E9" s="105"/>
      <c r="F9" s="105"/>
      <c r="G9" s="105"/>
      <c r="H9" s="108"/>
      <c r="I9" s="105"/>
      <c r="J9" s="104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2"/>
      <c r="AA9" s="121"/>
    </row>
    <row r="10" spans="1:27" x14ac:dyDescent="0.35">
      <c r="A10" s="106"/>
      <c r="B10" s="88" t="s">
        <v>60</v>
      </c>
      <c r="C10" s="89" t="s">
        <v>49</v>
      </c>
      <c r="D10" s="87" t="s">
        <v>61</v>
      </c>
      <c r="E10" s="105">
        <v>1</v>
      </c>
      <c r="F10" s="105"/>
      <c r="G10" s="105"/>
      <c r="H10" s="108" t="s">
        <v>51</v>
      </c>
      <c r="I10" s="105" t="s">
        <v>62</v>
      </c>
      <c r="J10" s="104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/>
      <c r="U10" s="8"/>
      <c r="V10" s="8"/>
      <c r="W10" s="33"/>
      <c r="X10" s="91"/>
      <c r="Y10" s="160"/>
      <c r="Z10" s="114"/>
      <c r="AA10" s="120" t="s">
        <v>63</v>
      </c>
    </row>
    <row r="11" spans="1:27" ht="15" thickBot="1" x14ac:dyDescent="0.4">
      <c r="A11" s="106"/>
      <c r="B11" s="88"/>
      <c r="C11" s="89"/>
      <c r="D11" s="87"/>
      <c r="E11" s="105"/>
      <c r="F11" s="105"/>
      <c r="G11" s="105"/>
      <c r="H11" s="108"/>
      <c r="I11" s="105"/>
      <c r="J11" s="104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61"/>
      <c r="Z11" s="115"/>
      <c r="AA11" s="121"/>
    </row>
    <row r="12" spans="1:27" x14ac:dyDescent="0.35">
      <c r="A12" s="106" t="s">
        <v>24</v>
      </c>
      <c r="B12" s="90" t="s">
        <v>64</v>
      </c>
      <c r="C12" s="90" t="s">
        <v>65</v>
      </c>
      <c r="D12" s="87" t="s">
        <v>66</v>
      </c>
      <c r="E12" s="105">
        <v>84</v>
      </c>
      <c r="F12" s="105"/>
      <c r="G12" s="105"/>
      <c r="H12" s="108" t="s">
        <v>32</v>
      </c>
      <c r="I12" s="105" t="s">
        <v>33</v>
      </c>
      <c r="J12" s="104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20" t="s">
        <v>67</v>
      </c>
    </row>
    <row r="13" spans="1:27" x14ac:dyDescent="0.35">
      <c r="A13" s="106"/>
      <c r="B13" s="90"/>
      <c r="C13" s="90"/>
      <c r="D13" s="87"/>
      <c r="E13" s="105"/>
      <c r="F13" s="105"/>
      <c r="G13" s="105"/>
      <c r="H13" s="108"/>
      <c r="I13" s="105"/>
      <c r="J13" s="104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21"/>
    </row>
    <row r="14" spans="1:27" x14ac:dyDescent="0.35">
      <c r="A14" s="106"/>
      <c r="B14" s="90" t="s">
        <v>68</v>
      </c>
      <c r="C14" s="119" t="s">
        <v>69</v>
      </c>
      <c r="D14" s="87" t="s">
        <v>70</v>
      </c>
      <c r="E14" s="105">
        <v>54.6</v>
      </c>
      <c r="F14" s="105"/>
      <c r="G14" s="105"/>
      <c r="H14" s="108" t="s">
        <v>32</v>
      </c>
      <c r="I14" s="105" t="s">
        <v>33</v>
      </c>
      <c r="J14" s="104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142</v>
      </c>
      <c r="Y14" s="94" t="s">
        <v>141</v>
      </c>
      <c r="Z14" s="149"/>
      <c r="AA14" s="148"/>
    </row>
    <row r="15" spans="1:27" ht="15" thickBot="1" x14ac:dyDescent="0.4">
      <c r="A15" s="106"/>
      <c r="B15" s="90"/>
      <c r="C15" s="119"/>
      <c r="D15" s="87"/>
      <c r="E15" s="105"/>
      <c r="F15" s="105"/>
      <c r="G15" s="105"/>
      <c r="H15" s="108"/>
      <c r="I15" s="105"/>
      <c r="J15" s="104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10"/>
      <c r="Z15" s="110"/>
      <c r="AA15" s="128"/>
    </row>
    <row r="16" spans="1:27" x14ac:dyDescent="0.35">
      <c r="A16" s="106" t="s">
        <v>25</v>
      </c>
      <c r="B16" s="90" t="s">
        <v>71</v>
      </c>
      <c r="C16" s="90" t="s">
        <v>72</v>
      </c>
      <c r="D16" s="87" t="s">
        <v>73</v>
      </c>
      <c r="E16" s="105" t="s">
        <v>74</v>
      </c>
      <c r="F16" s="105"/>
      <c r="G16" s="105"/>
      <c r="H16" s="108" t="s">
        <v>32</v>
      </c>
      <c r="I16" s="105" t="s">
        <v>33</v>
      </c>
      <c r="J16" s="104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2"/>
      <c r="AA16" s="120" t="s">
        <v>75</v>
      </c>
    </row>
    <row r="17" spans="1:27" x14ac:dyDescent="0.35">
      <c r="A17" s="106"/>
      <c r="B17" s="90"/>
      <c r="C17" s="90"/>
      <c r="D17" s="87"/>
      <c r="E17" s="105"/>
      <c r="F17" s="105"/>
      <c r="G17" s="105"/>
      <c r="H17" s="108"/>
      <c r="I17" s="105"/>
      <c r="J17" s="104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2"/>
      <c r="AA17" s="121"/>
    </row>
    <row r="18" spans="1:27" x14ac:dyDescent="0.35">
      <c r="A18" s="106"/>
      <c r="B18" s="90" t="s">
        <v>76</v>
      </c>
      <c r="C18" s="90" t="s">
        <v>72</v>
      </c>
      <c r="D18" s="90" t="s">
        <v>77</v>
      </c>
      <c r="E18" s="105" t="s">
        <v>74</v>
      </c>
      <c r="F18" s="105"/>
      <c r="G18" s="105"/>
      <c r="H18" s="108" t="s">
        <v>32</v>
      </c>
      <c r="I18" s="105" t="s">
        <v>78</v>
      </c>
      <c r="J18" s="104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4" t="s">
        <v>134</v>
      </c>
      <c r="Y18" s="154"/>
      <c r="Z18" s="151">
        <v>46108</v>
      </c>
      <c r="AA18" s="153"/>
    </row>
    <row r="19" spans="1:27" ht="18.5" customHeight="1" x14ac:dyDescent="0.35">
      <c r="A19" s="106"/>
      <c r="B19" s="90"/>
      <c r="C19" s="90"/>
      <c r="D19" s="90"/>
      <c r="E19" s="105"/>
      <c r="F19" s="105"/>
      <c r="G19" s="105"/>
      <c r="H19" s="108"/>
      <c r="I19" s="105"/>
      <c r="J19" s="104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4"/>
      <c r="Y19" s="154"/>
      <c r="Z19" s="152"/>
      <c r="AA19" s="153"/>
    </row>
    <row r="20" spans="1:27" ht="24" customHeight="1" x14ac:dyDescent="0.35">
      <c r="A20" s="106"/>
      <c r="B20" s="90" t="s">
        <v>79</v>
      </c>
      <c r="C20" s="90" t="s">
        <v>65</v>
      </c>
      <c r="D20" s="87" t="s">
        <v>80</v>
      </c>
      <c r="E20" s="105" t="s">
        <v>74</v>
      </c>
      <c r="F20" s="105"/>
      <c r="G20" s="105"/>
      <c r="H20" s="108" t="s">
        <v>51</v>
      </c>
      <c r="I20" s="105" t="s">
        <v>33</v>
      </c>
      <c r="J20" s="104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96" t="s">
        <v>140</v>
      </c>
      <c r="Y20" s="98" t="s">
        <v>139</v>
      </c>
      <c r="Z20" s="150"/>
      <c r="AA20" s="122" t="s">
        <v>81</v>
      </c>
    </row>
    <row r="21" spans="1:27" ht="32" customHeight="1" thickBot="1" x14ac:dyDescent="0.4">
      <c r="A21" s="106"/>
      <c r="B21" s="90"/>
      <c r="C21" s="90"/>
      <c r="D21" s="87"/>
      <c r="E21" s="105"/>
      <c r="F21" s="105"/>
      <c r="G21" s="105"/>
      <c r="H21" s="108"/>
      <c r="I21" s="105"/>
      <c r="J21" s="104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97"/>
      <c r="Y21" s="99"/>
      <c r="Z21" s="116"/>
      <c r="AA21" s="122"/>
    </row>
    <row r="22" spans="1:27" ht="16" customHeight="1" x14ac:dyDescent="0.35">
      <c r="A22" s="106" t="s">
        <v>26</v>
      </c>
      <c r="B22" s="90" t="s">
        <v>82</v>
      </c>
      <c r="C22" s="119" t="s">
        <v>83</v>
      </c>
      <c r="D22" s="90" t="s">
        <v>84</v>
      </c>
      <c r="E22" s="105">
        <v>90</v>
      </c>
      <c r="F22" s="105"/>
      <c r="G22" s="105"/>
      <c r="H22" s="108" t="s">
        <v>32</v>
      </c>
      <c r="I22" s="105" t="s">
        <v>33</v>
      </c>
      <c r="J22" s="104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2"/>
      <c r="Y22" s="92"/>
      <c r="Z22" s="111">
        <v>46257</v>
      </c>
      <c r="AA22" s="158"/>
    </row>
    <row r="23" spans="1:27" ht="17.149999999999999" customHeight="1" thickBot="1" x14ac:dyDescent="0.4">
      <c r="A23" s="165"/>
      <c r="B23" s="90"/>
      <c r="C23" s="119"/>
      <c r="D23" s="90"/>
      <c r="E23" s="105"/>
      <c r="F23" s="105"/>
      <c r="G23" s="105"/>
      <c r="H23" s="108"/>
      <c r="I23" s="105"/>
      <c r="J23" s="104"/>
      <c r="K23" s="22" t="s">
        <v>55</v>
      </c>
      <c r="L23" s="54">
        <v>0.81</v>
      </c>
      <c r="M23" s="54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29">
        <v>0.88</v>
      </c>
      <c r="S23" s="29">
        <v>0.94</v>
      </c>
      <c r="T23" s="29">
        <v>0.94</v>
      </c>
      <c r="U23" s="29"/>
      <c r="V23" s="29"/>
      <c r="W23" s="30"/>
      <c r="X23" s="103"/>
      <c r="Y23" s="93"/>
      <c r="Z23" s="112"/>
      <c r="AA23" s="159"/>
    </row>
    <row r="24" spans="1:27" ht="17.5" customHeight="1" x14ac:dyDescent="0.35">
      <c r="A24" s="140" t="s">
        <v>27</v>
      </c>
      <c r="B24" s="90" t="s">
        <v>85</v>
      </c>
      <c r="C24" s="119" t="s">
        <v>86</v>
      </c>
      <c r="D24" s="87" t="s">
        <v>87</v>
      </c>
      <c r="E24" s="105" t="s">
        <v>88</v>
      </c>
      <c r="F24" s="105" t="s">
        <v>88</v>
      </c>
      <c r="G24" s="105" t="s">
        <v>88</v>
      </c>
      <c r="H24" s="108" t="s">
        <v>32</v>
      </c>
      <c r="I24" s="105" t="s">
        <v>33</v>
      </c>
      <c r="J24" s="117" t="s">
        <v>34</v>
      </c>
      <c r="K24" s="22" t="s">
        <v>53</v>
      </c>
      <c r="L24" s="35"/>
      <c r="M24" s="35"/>
      <c r="N24" s="37">
        <v>0.104</v>
      </c>
      <c r="O24" s="21" t="s">
        <v>89</v>
      </c>
      <c r="P24" s="21" t="s">
        <v>89</v>
      </c>
      <c r="Q24" s="37">
        <v>0.11799999999999999</v>
      </c>
      <c r="R24" s="21" t="s">
        <v>89</v>
      </c>
      <c r="S24" s="21" t="s">
        <v>89</v>
      </c>
      <c r="T24" s="35"/>
      <c r="U24" s="21" t="s">
        <v>89</v>
      </c>
      <c r="V24" s="21" t="s">
        <v>89</v>
      </c>
      <c r="W24" s="38"/>
      <c r="X24" s="134"/>
      <c r="Y24" s="149"/>
      <c r="Z24" s="116"/>
      <c r="AA24" s="120" t="s">
        <v>90</v>
      </c>
    </row>
    <row r="25" spans="1:27" ht="15" thickBot="1" x14ac:dyDescent="0.4">
      <c r="A25" s="164"/>
      <c r="B25" s="90"/>
      <c r="C25" s="119"/>
      <c r="D25" s="87"/>
      <c r="E25" s="105"/>
      <c r="F25" s="105"/>
      <c r="G25" s="105"/>
      <c r="H25" s="108"/>
      <c r="I25" s="105"/>
      <c r="J25" s="117"/>
      <c r="K25" s="22" t="s">
        <v>55</v>
      </c>
      <c r="L25" s="21" t="s">
        <v>89</v>
      </c>
      <c r="M25" s="21" t="s">
        <v>89</v>
      </c>
      <c r="N25" s="50">
        <v>0.115</v>
      </c>
      <c r="O25" s="21" t="s">
        <v>89</v>
      </c>
      <c r="P25" s="21" t="s">
        <v>89</v>
      </c>
      <c r="Q25" s="17">
        <v>0.121</v>
      </c>
      <c r="R25" s="21" t="s">
        <v>89</v>
      </c>
      <c r="S25" s="21" t="s">
        <v>89</v>
      </c>
      <c r="T25" s="55"/>
      <c r="U25" s="21" t="s">
        <v>89</v>
      </c>
      <c r="V25" s="21" t="s">
        <v>89</v>
      </c>
      <c r="W25" s="55"/>
      <c r="X25" s="103"/>
      <c r="Y25" s="110"/>
      <c r="Z25" s="150"/>
      <c r="AA25" s="121"/>
    </row>
    <row r="26" spans="1:27" ht="14.5" customHeight="1" x14ac:dyDescent="0.35">
      <c r="A26" s="164"/>
      <c r="B26" s="88" t="s">
        <v>91</v>
      </c>
      <c r="C26" s="157" t="s">
        <v>86</v>
      </c>
      <c r="D26" s="87" t="s">
        <v>92</v>
      </c>
      <c r="E26" s="105">
        <v>34</v>
      </c>
      <c r="F26" s="155"/>
      <c r="G26" s="155"/>
      <c r="H26" s="108" t="s">
        <v>32</v>
      </c>
      <c r="I26" s="105" t="s">
        <v>33</v>
      </c>
      <c r="J26" s="104" t="s">
        <v>52</v>
      </c>
      <c r="K26" s="22" t="s">
        <v>53</v>
      </c>
      <c r="L26" s="35">
        <v>0.34</v>
      </c>
      <c r="M26" s="35">
        <v>0.34</v>
      </c>
      <c r="N26" s="35">
        <v>0.34</v>
      </c>
      <c r="O26" s="35">
        <v>0.34</v>
      </c>
      <c r="P26" s="35">
        <v>0.34</v>
      </c>
      <c r="Q26" s="35">
        <v>0.34</v>
      </c>
      <c r="R26" s="35">
        <v>0.34</v>
      </c>
      <c r="S26" s="24">
        <v>0.34</v>
      </c>
      <c r="T26" s="24">
        <v>0.34</v>
      </c>
      <c r="U26" s="24"/>
      <c r="V26" s="24"/>
      <c r="W26" s="25"/>
      <c r="X26" s="91"/>
      <c r="Y26" s="93"/>
      <c r="Z26" s="112"/>
      <c r="AA26" s="120" t="s">
        <v>93</v>
      </c>
    </row>
    <row r="27" spans="1:27" ht="14.5" customHeight="1" thickBot="1" x14ac:dyDescent="0.4">
      <c r="A27" s="164"/>
      <c r="B27" s="88"/>
      <c r="C27" s="157"/>
      <c r="D27" s="87"/>
      <c r="E27" s="105"/>
      <c r="F27" s="155"/>
      <c r="G27" s="155"/>
      <c r="H27" s="108"/>
      <c r="I27" s="105"/>
      <c r="J27" s="104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2"/>
      <c r="AA27" s="121"/>
    </row>
    <row r="28" spans="1:27" ht="14.5" customHeight="1" x14ac:dyDescent="0.35">
      <c r="A28" s="164"/>
      <c r="B28" s="87" t="s">
        <v>94</v>
      </c>
      <c r="C28" s="90" t="s">
        <v>72</v>
      </c>
      <c r="D28" s="87" t="s">
        <v>95</v>
      </c>
      <c r="E28" s="105" t="s">
        <v>74</v>
      </c>
      <c r="F28" s="105"/>
      <c r="G28" s="105"/>
      <c r="H28" s="108" t="s">
        <v>32</v>
      </c>
      <c r="I28" s="105" t="s">
        <v>33</v>
      </c>
      <c r="J28" s="104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100" t="s">
        <v>135</v>
      </c>
      <c r="Y28" s="94"/>
      <c r="Z28" s="116"/>
      <c r="AA28" s="125" t="s">
        <v>96</v>
      </c>
    </row>
    <row r="29" spans="1:27" ht="15" thickBot="1" x14ac:dyDescent="0.4">
      <c r="A29" s="164"/>
      <c r="B29" s="87"/>
      <c r="C29" s="90"/>
      <c r="D29" s="87"/>
      <c r="E29" s="105"/>
      <c r="F29" s="105"/>
      <c r="G29" s="105"/>
      <c r="H29" s="108"/>
      <c r="I29" s="105"/>
      <c r="J29" s="104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101"/>
      <c r="Y29" s="95"/>
      <c r="Z29" s="150"/>
      <c r="AA29" s="126"/>
    </row>
    <row r="30" spans="1:27" ht="14.5" customHeight="1" x14ac:dyDescent="0.35">
      <c r="A30" s="164"/>
      <c r="B30" s="87"/>
      <c r="C30" s="90" t="s">
        <v>72</v>
      </c>
      <c r="D30" s="87" t="s">
        <v>97</v>
      </c>
      <c r="E30" s="105" t="s">
        <v>74</v>
      </c>
      <c r="F30" s="105"/>
      <c r="G30" s="105"/>
      <c r="H30" s="108" t="s">
        <v>32</v>
      </c>
      <c r="I30" s="105" t="s">
        <v>33</v>
      </c>
      <c r="J30" s="104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100"/>
      <c r="Y30" s="149"/>
      <c r="Z30" s="116"/>
      <c r="AA30" s="162"/>
    </row>
    <row r="31" spans="1:27" x14ac:dyDescent="0.35">
      <c r="A31" s="164"/>
      <c r="B31" s="87"/>
      <c r="C31" s="90"/>
      <c r="D31" s="87"/>
      <c r="E31" s="105"/>
      <c r="F31" s="105"/>
      <c r="G31" s="105"/>
      <c r="H31" s="108"/>
      <c r="I31" s="105"/>
      <c r="J31" s="104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101"/>
      <c r="Y31" s="110"/>
      <c r="Z31" s="150"/>
      <c r="AA31" s="163"/>
    </row>
    <row r="32" spans="1:27" ht="14.5" customHeight="1" x14ac:dyDescent="0.35">
      <c r="A32" s="164"/>
      <c r="B32" s="90" t="s">
        <v>98</v>
      </c>
      <c r="C32" s="119" t="s">
        <v>65</v>
      </c>
      <c r="D32" s="87" t="s">
        <v>99</v>
      </c>
      <c r="E32" s="105" t="s">
        <v>74</v>
      </c>
      <c r="F32" s="105"/>
      <c r="G32" s="105"/>
      <c r="H32" s="108" t="s">
        <v>32</v>
      </c>
      <c r="I32" s="105" t="s">
        <v>78</v>
      </c>
      <c r="J32" s="104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6" t="s">
        <v>136</v>
      </c>
      <c r="Y32" s="94" t="s">
        <v>138</v>
      </c>
      <c r="Z32" s="116"/>
      <c r="AA32" s="120" t="s">
        <v>100</v>
      </c>
    </row>
    <row r="33" spans="1:29" ht="15.65" customHeight="1" thickBot="1" x14ac:dyDescent="0.4">
      <c r="A33" s="164"/>
      <c r="B33" s="90"/>
      <c r="C33" s="119"/>
      <c r="D33" s="87"/>
      <c r="E33" s="105"/>
      <c r="F33" s="105"/>
      <c r="G33" s="105"/>
      <c r="H33" s="108"/>
      <c r="I33" s="105"/>
      <c r="J33" s="104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7"/>
      <c r="Y33" s="95"/>
      <c r="Z33" s="150"/>
      <c r="AA33" s="121"/>
    </row>
    <row r="34" spans="1:29" x14ac:dyDescent="0.35">
      <c r="A34" s="106" t="s">
        <v>28</v>
      </c>
      <c r="B34" s="145" t="s">
        <v>29</v>
      </c>
      <c r="C34" s="90" t="s">
        <v>83</v>
      </c>
      <c r="D34" s="87" t="s">
        <v>31</v>
      </c>
      <c r="E34" s="105">
        <v>90</v>
      </c>
      <c r="F34" s="105"/>
      <c r="G34" s="105"/>
      <c r="H34" s="108" t="s">
        <v>32</v>
      </c>
      <c r="I34" s="105" t="s">
        <v>33</v>
      </c>
      <c r="J34" s="117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137</v>
      </c>
      <c r="Z34" s="112"/>
      <c r="AA34" s="120" t="s">
        <v>101</v>
      </c>
    </row>
    <row r="35" spans="1:29" x14ac:dyDescent="0.35">
      <c r="A35" s="106"/>
      <c r="B35" s="145"/>
      <c r="C35" s="90"/>
      <c r="D35" s="87"/>
      <c r="E35" s="105"/>
      <c r="F35" s="105"/>
      <c r="G35" s="105"/>
      <c r="H35" s="108"/>
      <c r="I35" s="105"/>
      <c r="J35" s="117"/>
      <c r="K35" s="22" t="s">
        <v>55</v>
      </c>
      <c r="L35" s="21" t="s">
        <v>89</v>
      </c>
      <c r="M35" s="21" t="s">
        <v>89</v>
      </c>
      <c r="N35" s="19">
        <v>1</v>
      </c>
      <c r="O35" s="21" t="s">
        <v>89</v>
      </c>
      <c r="P35" s="21" t="s">
        <v>89</v>
      </c>
      <c r="Q35" s="19">
        <v>0.96199999999999997</v>
      </c>
      <c r="R35" s="21" t="s">
        <v>89</v>
      </c>
      <c r="S35" s="21" t="s">
        <v>89</v>
      </c>
      <c r="T35" s="19">
        <v>0.91300000000000003</v>
      </c>
      <c r="U35" s="19"/>
      <c r="V35" s="19"/>
      <c r="W35" s="28"/>
      <c r="X35" s="91"/>
      <c r="Y35" s="93"/>
      <c r="Z35" s="112"/>
      <c r="AA35" s="121"/>
    </row>
    <row r="36" spans="1:29" x14ac:dyDescent="0.35">
      <c r="A36" s="106"/>
      <c r="B36" s="145" t="s">
        <v>35</v>
      </c>
      <c r="C36" s="90" t="s">
        <v>102</v>
      </c>
      <c r="D36" s="87" t="s">
        <v>37</v>
      </c>
      <c r="E36" s="105">
        <v>83</v>
      </c>
      <c r="F36" s="105"/>
      <c r="G36" s="105"/>
      <c r="H36" s="108" t="s">
        <v>32</v>
      </c>
      <c r="I36" s="105" t="s">
        <v>33</v>
      </c>
      <c r="J36" s="118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103</v>
      </c>
      <c r="Y36" s="92" t="s">
        <v>104</v>
      </c>
      <c r="Z36" s="112"/>
      <c r="AA36" s="120" t="s">
        <v>105</v>
      </c>
    </row>
    <row r="37" spans="1:29" x14ac:dyDescent="0.35">
      <c r="A37" s="106"/>
      <c r="B37" s="145"/>
      <c r="C37" s="90"/>
      <c r="D37" s="87"/>
      <c r="E37" s="105"/>
      <c r="F37" s="105"/>
      <c r="G37" s="105"/>
      <c r="H37" s="108"/>
      <c r="I37" s="105"/>
      <c r="J37" s="118"/>
      <c r="K37" s="22" t="s">
        <v>55</v>
      </c>
      <c r="L37" s="21" t="s">
        <v>106</v>
      </c>
      <c r="M37" s="21" t="s">
        <v>106</v>
      </c>
      <c r="N37" s="21" t="s">
        <v>106</v>
      </c>
      <c r="O37" s="19">
        <v>0.79</v>
      </c>
      <c r="P37" s="21" t="s">
        <v>106</v>
      </c>
      <c r="Q37" s="19">
        <v>0.79</v>
      </c>
      <c r="R37" s="21" t="s">
        <v>106</v>
      </c>
      <c r="S37" s="56"/>
      <c r="T37" s="56"/>
      <c r="U37" s="56"/>
      <c r="V37" s="56"/>
      <c r="W37" s="57"/>
      <c r="X37" s="134"/>
      <c r="Y37" s="94"/>
      <c r="Z37" s="116"/>
      <c r="AA37" s="122"/>
    </row>
    <row r="38" spans="1:29" s="5" customFormat="1" x14ac:dyDescent="0.35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</row>
    <row r="39" spans="1:29" s="5" customFormat="1" ht="23.5" x14ac:dyDescent="0.35">
      <c r="A39" s="138" t="s">
        <v>107</v>
      </c>
      <c r="B39" s="138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3" t="s">
        <v>0</v>
      </c>
      <c r="B40" s="10" t="s">
        <v>108</v>
      </c>
      <c r="C40" s="10" t="s">
        <v>3</v>
      </c>
      <c r="D40" s="10" t="s">
        <v>4</v>
      </c>
      <c r="E40" s="10" t="s">
        <v>109</v>
      </c>
      <c r="F40" s="10" t="s">
        <v>110</v>
      </c>
      <c r="G40" s="10" t="s">
        <v>111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112</v>
      </c>
      <c r="O40" s="10" t="s">
        <v>15</v>
      </c>
      <c r="P40" s="10" t="s">
        <v>16</v>
      </c>
      <c r="Q40" s="10" t="s">
        <v>113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39" t="s">
        <v>47</v>
      </c>
      <c r="B41" s="142" t="s">
        <v>114</v>
      </c>
      <c r="C41" s="143" t="s">
        <v>49</v>
      </c>
      <c r="D41" s="144" t="s">
        <v>115</v>
      </c>
      <c r="E41" s="137" t="s">
        <v>88</v>
      </c>
      <c r="F41" s="137" t="s">
        <v>88</v>
      </c>
      <c r="G41" s="137" t="s">
        <v>88</v>
      </c>
      <c r="H41" s="156" t="s">
        <v>51</v>
      </c>
      <c r="I41" s="137" t="s">
        <v>33</v>
      </c>
      <c r="J41" s="146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3"/>
      <c r="Y41" s="128"/>
      <c r="Z41" s="128"/>
      <c r="AA41" s="121" t="s">
        <v>114</v>
      </c>
      <c r="AC41" s="12"/>
    </row>
    <row r="42" spans="1:29" ht="23.15" customHeight="1" x14ac:dyDescent="0.35">
      <c r="A42" s="140"/>
      <c r="B42" s="88"/>
      <c r="C42" s="89"/>
      <c r="D42" s="87"/>
      <c r="E42" s="105"/>
      <c r="F42" s="105"/>
      <c r="G42" s="105"/>
      <c r="H42" s="108"/>
      <c r="I42" s="105"/>
      <c r="J42" s="124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3"/>
      <c r="Y42" s="128"/>
      <c r="Z42" s="128"/>
      <c r="AA42" s="123"/>
    </row>
    <row r="43" spans="1:29" x14ac:dyDescent="0.35">
      <c r="A43" s="141" t="s">
        <v>26</v>
      </c>
      <c r="B43" s="88" t="s">
        <v>116</v>
      </c>
      <c r="C43" s="89" t="s">
        <v>86</v>
      </c>
      <c r="D43" s="87" t="s">
        <v>117</v>
      </c>
      <c r="E43" s="105" t="s">
        <v>88</v>
      </c>
      <c r="F43" s="105" t="s">
        <v>88</v>
      </c>
      <c r="G43" s="105" t="s">
        <v>88</v>
      </c>
      <c r="H43" s="108" t="s">
        <v>32</v>
      </c>
      <c r="I43" s="105" t="s">
        <v>33</v>
      </c>
      <c r="J43" s="117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7" t="s">
        <v>118</v>
      </c>
      <c r="Y43" s="129" t="s">
        <v>119</v>
      </c>
      <c r="Z43" s="130"/>
      <c r="AA43" s="131" t="s">
        <v>120</v>
      </c>
    </row>
    <row r="44" spans="1:29" x14ac:dyDescent="0.35">
      <c r="A44" s="141"/>
      <c r="B44" s="88"/>
      <c r="C44" s="89"/>
      <c r="D44" s="87"/>
      <c r="E44" s="105"/>
      <c r="F44" s="105"/>
      <c r="G44" s="105"/>
      <c r="H44" s="108"/>
      <c r="I44" s="155"/>
      <c r="J44" s="117"/>
      <c r="K44" s="22" t="s">
        <v>55</v>
      </c>
      <c r="L44" s="21" t="s">
        <v>89</v>
      </c>
      <c r="M44" s="21" t="s">
        <v>89</v>
      </c>
      <c r="N44" s="17">
        <v>4.2000000000000003E-2</v>
      </c>
      <c r="O44" s="21" t="s">
        <v>89</v>
      </c>
      <c r="P44" s="21" t="s">
        <v>89</v>
      </c>
      <c r="Q44" s="17">
        <v>0.04</v>
      </c>
      <c r="R44" s="21" t="s">
        <v>89</v>
      </c>
      <c r="S44" s="21" t="s">
        <v>89</v>
      </c>
      <c r="T44" s="55"/>
      <c r="U44" s="21" t="s">
        <v>89</v>
      </c>
      <c r="V44" s="21" t="s">
        <v>89</v>
      </c>
      <c r="W44" s="55"/>
      <c r="X44" s="127"/>
      <c r="Y44" s="129"/>
      <c r="Z44" s="130"/>
      <c r="AA44" s="131"/>
    </row>
    <row r="45" spans="1:29" x14ac:dyDescent="0.35">
      <c r="A45" s="141"/>
      <c r="B45" s="88" t="s">
        <v>121</v>
      </c>
      <c r="C45" s="89" t="s">
        <v>86</v>
      </c>
      <c r="D45" s="87" t="s">
        <v>122</v>
      </c>
      <c r="E45" s="105" t="s">
        <v>88</v>
      </c>
      <c r="F45" s="105" t="s">
        <v>88</v>
      </c>
      <c r="G45" s="105" t="s">
        <v>88</v>
      </c>
      <c r="H45" s="108" t="s">
        <v>32</v>
      </c>
      <c r="I45" s="105" t="s">
        <v>33</v>
      </c>
      <c r="J45" s="124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7"/>
      <c r="Y45" s="129" t="s">
        <v>123</v>
      </c>
      <c r="Z45" s="132">
        <v>46188</v>
      </c>
      <c r="AA45" s="123" t="s">
        <v>121</v>
      </c>
    </row>
    <row r="46" spans="1:29" ht="16.5" customHeight="1" x14ac:dyDescent="0.35">
      <c r="A46" s="141"/>
      <c r="B46" s="88"/>
      <c r="C46" s="89"/>
      <c r="D46" s="87"/>
      <c r="E46" s="105"/>
      <c r="F46" s="105"/>
      <c r="G46" s="105"/>
      <c r="H46" s="108"/>
      <c r="I46" s="105"/>
      <c r="J46" s="124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7"/>
      <c r="Y46" s="130"/>
      <c r="Z46" s="130"/>
      <c r="AA46" s="123"/>
    </row>
    <row r="47" spans="1:29" x14ac:dyDescent="0.35">
      <c r="A47" s="141"/>
      <c r="B47" s="88" t="s">
        <v>124</v>
      </c>
      <c r="C47" s="89" t="s">
        <v>83</v>
      </c>
      <c r="D47" s="87" t="s">
        <v>125</v>
      </c>
      <c r="E47" s="105" t="s">
        <v>88</v>
      </c>
      <c r="F47" s="105" t="s">
        <v>88</v>
      </c>
      <c r="G47" s="105" t="s">
        <v>88</v>
      </c>
      <c r="H47" s="108" t="s">
        <v>32</v>
      </c>
      <c r="I47" s="105" t="s">
        <v>78</v>
      </c>
      <c r="J47" s="124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7"/>
      <c r="Y47" s="130"/>
      <c r="Z47" s="130"/>
      <c r="AA47" s="87" t="s">
        <v>126</v>
      </c>
    </row>
    <row r="48" spans="1:29" ht="20.5" customHeight="1" x14ac:dyDescent="0.35">
      <c r="A48" s="141"/>
      <c r="B48" s="88"/>
      <c r="C48" s="89"/>
      <c r="D48" s="87"/>
      <c r="E48" s="105"/>
      <c r="F48" s="105"/>
      <c r="G48" s="105"/>
      <c r="H48" s="108"/>
      <c r="I48" s="105"/>
      <c r="J48" s="124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7"/>
      <c r="Y48" s="130"/>
      <c r="Z48" s="130"/>
      <c r="AA48" s="87"/>
    </row>
    <row r="49" spans="1:27" x14ac:dyDescent="0.35">
      <c r="A49" s="140" t="s">
        <v>127</v>
      </c>
      <c r="B49" s="147" t="s">
        <v>128</v>
      </c>
      <c r="C49" s="89" t="s">
        <v>69</v>
      </c>
      <c r="D49" s="87" t="s">
        <v>129</v>
      </c>
      <c r="E49" s="105">
        <v>74</v>
      </c>
      <c r="F49" s="105" t="s">
        <v>88</v>
      </c>
      <c r="G49" s="105" t="s">
        <v>88</v>
      </c>
      <c r="H49" s="108" t="s">
        <v>32</v>
      </c>
      <c r="I49" s="105" t="s">
        <v>33</v>
      </c>
      <c r="J49" s="104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7"/>
      <c r="Y49" s="129"/>
      <c r="Z49" s="130"/>
      <c r="AA49" s="123" t="s">
        <v>130</v>
      </c>
    </row>
    <row r="50" spans="1:27" x14ac:dyDescent="0.35">
      <c r="A50" s="140"/>
      <c r="B50" s="147"/>
      <c r="C50" s="89"/>
      <c r="D50" s="87"/>
      <c r="E50" s="105"/>
      <c r="F50" s="105"/>
      <c r="G50" s="105"/>
      <c r="H50" s="108"/>
      <c r="I50" s="105"/>
      <c r="J50" s="104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7"/>
      <c r="Y50" s="129"/>
      <c r="Z50" s="130"/>
      <c r="AA50" s="123"/>
    </row>
    <row r="51" spans="1:27" x14ac:dyDescent="0.35">
      <c r="A51" s="141" t="s">
        <v>25</v>
      </c>
      <c r="B51" s="88" t="s">
        <v>131</v>
      </c>
      <c r="C51" s="89" t="s">
        <v>72</v>
      </c>
      <c r="D51" s="87" t="s">
        <v>132</v>
      </c>
      <c r="E51" s="105">
        <v>33.1</v>
      </c>
      <c r="F51" s="105" t="s">
        <v>88</v>
      </c>
      <c r="G51" s="105" t="s">
        <v>88</v>
      </c>
      <c r="H51" s="108" t="s">
        <v>32</v>
      </c>
      <c r="I51" s="105" t="s">
        <v>33</v>
      </c>
      <c r="J51" s="104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7"/>
      <c r="Y51" s="130"/>
      <c r="Z51" s="130"/>
      <c r="AA51" s="90" t="s">
        <v>133</v>
      </c>
    </row>
    <row r="52" spans="1:27" ht="15" thickBot="1" x14ac:dyDescent="0.4">
      <c r="A52" s="141"/>
      <c r="B52" s="88"/>
      <c r="C52" s="89"/>
      <c r="D52" s="87"/>
      <c r="E52" s="105"/>
      <c r="F52" s="105"/>
      <c r="G52" s="105"/>
      <c r="H52" s="108"/>
      <c r="I52" s="105"/>
      <c r="J52" s="104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7"/>
      <c r="Y52" s="130"/>
      <c r="Z52" s="130"/>
      <c r="AA52" s="90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7:W17 L19:W19 L21:W21 L23:W23 M27:W27 L29:W29 L31:W31 L33:W33 N35 Q35 T35:W35 O37 S37:W37 L15:W15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7:W17 L19:W19 L21:W21 L29:W29 L31:W31 L33:W33 N35 Q35 T35:W35 O37 S37:W37 L15:W15 L23:W2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e40374fb-a6cc-4854-989f-c1d94a7967ee" ContentTypeId="0x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94BB51-7951-4F88-97F3-C0EC6D9471D8}">
  <ds:schemaRefs>
    <ds:schemaRef ds:uri="http://schemas.microsoft.com/office/2006/documentManagement/types"/>
    <ds:schemaRef ds:uri="f5a961e1-edc1-4f62-8655-e8a46ef79e5c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68108f69-118e-4385-83b3-00743b1bf54c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AEEF6728-DD64-4985-9AAC-D753ED42B82F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Phukan, Sandip</cp:lastModifiedBy>
  <cp:revision/>
  <dcterms:created xsi:type="dcterms:W3CDTF">2026-01-28T08:54:22Z</dcterms:created>
  <dcterms:modified xsi:type="dcterms:W3CDTF">2026-10-13T12:32:50Z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