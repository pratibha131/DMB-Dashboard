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39" documentId="8_{9B9C04DA-ABE2-4E9B-9FCF-AA5C7C703189}" xr6:coauthVersionLast="47" xr6:coauthVersionMax="47" xr10:uidLastSave="{736A0B24-C905-4A14-9278-294C93D80D9F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<sst xmlns="http://schemas.openxmlformats.org/spreadsheetml/2006/main" count="492" uniqueCount="143">
  <si>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</si>
  <si>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</si>
  <si>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</si>
  <si>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</si>
  <si>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</si>
  <si>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</si>
  <si>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</si>
  <si>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</si>
  <si>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</si>
  <si>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</si>
  <si>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</si>
  <si>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</si>
  <si>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</si>
  <si>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</si>
  <si>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</si>
  <si>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</si>
  <si>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</si>
  <si>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</si>
  <si>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</si>
  <si>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</si>
  <si>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</si>
  <si>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</si>
  <si>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</si>
  <si>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</si>
  <si>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</si>
  <si>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</si>
  <si>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</si>
  <si>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</si>
  <si>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</si>
  <si>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</si>
  <si>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</si>
  <si>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</si>
  <si>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</si>
  <si>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</si>
  <si>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</si>
  <si>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</si>
  <si>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</si>
  <si>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</si>
  <si>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</si>
  <si>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</si>
  <si>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</si>
  <si>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</si>
  <si>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</si>
  <si>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>Q3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</si>
  <si>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</si>
  <si>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</si>
  <si>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</si>
  <si>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</si>
  <si>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</si>
  <si>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</si>
  <si>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</si>
  <si>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</si>
  <si>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</si>
  <si>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</si>
  <si>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</si>
  <si>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</si>
  <si>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</si>
  <si>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</si>
  <si>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</si>
  <si>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</si>
  <si>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</si>
  <si>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</si>
  <si>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</si>
  <si>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</si>
  <si>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</si>
  <si>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</si>
  <si>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</si>
  <si>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</si>
  <si>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</si>
  <si>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</si>
  <si>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</si>
  <si>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-0.8% delta Vs AOP. Excluding GRC 0.7% YoY improvement.  LATAM renewals improved ITM Sep. Expected turnaround is Q4 2026 (Dec)</t>
  </si>
  <si>
    <t>1) Funnel focus actions driven across regions for renewals.
2) Contract Funnel tracked 90 days before expiry for timely renewals.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</si>
  <si>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</si>
  <si>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</si>
  <si>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</si>
  <si>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</si>
  <si>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</si>
  <si>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</si>
  <si>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</si>
  <si>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</si>
  <si>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YTD Sept Productivity no's on track.Good Realization from E&amp;E savings of Pune and also a gap reduction of R&amp;D Budget YTD.</t>
  </si>
  <si>
    <t>Inventory MAT sales</t>
  </si>
  <si>
    <t>Inventory as a % MAT sales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</si>
  <si>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</si>
  <si>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</si>
  <si>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</si>
  <si>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</si>
  <si>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</si>
  <si>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</si>
  <si>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</si>
  <si>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</si>
  <si>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</si>
  <si>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</si>
  <si>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</si>
  <si>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</si>
  <si>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</si>
  <si>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</si>
  <si>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</si>
  <si>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</si>
  <si>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</si>
  <si>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Sep lower by 0.2M, which is mainly coming by NAR -4.4M, EU -3.7M however Growth supported by over-drive +7.9M</t>
  </si>
  <si>
    <t>OIT (Equipment  + Service)</t>
  </si>
  <si>
    <t>OIT Growth % (CS)</t>
  </si>
  <si>
    <t>Comparable Sales</t>
  </si>
  <si>
    <t>Monthly Sales recognized (EQ)</t>
  </si>
  <si>
    <t xml:space="preserve">Current OOH does not support FY revnue plan. 
OOH is 117 M agaist AOP of 141M .B&amp;B  24 M B&amp;B required to meet FY AOP.
</t>
  </si>
  <si>
    <t>Drive B&amp;B OIT 
NAR : 5 M , EU: 8.5M , Growth : 7.6</t>
  </si>
  <si>
    <t>CSG % KPI</t>
  </si>
  <si>
    <t>Growth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</si>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</sst>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43" fontId="9" fillId="0" borderId="1" xfId="4" applyFont="1" applyBorder="1" applyAlignment="1">
      <alignment horizontal="center" vertical="center"/>
    </xf>
    <xf numFmtId="43" fontId="9" fillId="0" borderId="2" xfId="4" applyFont="1" applyBorder="1" applyAlignment="1">
      <alignment horizontal="center" vertical="center"/>
    </xf>
    <xf numFmtId="10" fontId="0" fillId="0" borderId="0" xfId="0" applyNumberFormat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8" xfId="0" quotePrefix="1" applyFont="1" applyFill="1" applyBorder="1" applyAlignment="1">
      <alignment vertical="center" wrapText="1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B1" activePane="topRight" state="frozen"/>
      <selection pane="topRight" activeCell="A5" sqref="A5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6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 t="str">
        <f>IF('AOP Critical'!S8="","",'AOP Critical'!S8)</f>
        <v/>
      </c>
      <c r="S7" s="69" t="str">
        <f>IF('AOP Critical'!T8="","",'AOP Critical'!T8)</f>
        <v/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zoomScale="90" zoomScaleNormal="90" workbookViewId="0">
      <pane ySplit="5" topLeftCell="A6" activePane="bottomLeft" state="frozen"/>
      <selection pane="bottomLeft" activeCell="Q1" sqref="Q1:T1048576"/>
    </sheetView>
  </sheetViews>
  <sheetFormatPr defaultColWidth="9.140625" defaultRowHeight="20.45" customHeight="1"/>
  <cols>
    <col min="1" max="1" width="25.5703125" customWidth="1"/>
    <col min="2" max="2" width="27.28515625" bestFit="1" customWidth="1"/>
    <col min="3" max="3" width="12.140625" style="1" hidden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hidden="1" customWidth="1"/>
    <col min="13" max="13" width="6.85546875" hidden="1" customWidth="1"/>
    <col min="14" max="14" width="6.28515625" customWidth="1"/>
    <col min="15" max="15" width="7.28515625" hidden="1" customWidth="1"/>
    <col min="16" max="16" width="6.140625" hidden="1" customWidth="1"/>
    <col min="17" max="17" width="5.42578125" bestFit="1" customWidth="1"/>
    <col min="18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 ht="20.45" customHeight="1">
      <c r="B1" s="3" t="s">
        <v>39</v>
      </c>
      <c r="C1" s="4">
        <v>46235</v>
      </c>
      <c r="G1" s="6"/>
      <c r="H1" s="6"/>
      <c r="I1" s="6"/>
    </row>
    <row r="2" spans="1:27" ht="20.45" customHeight="1">
      <c r="B2" s="6"/>
      <c r="C2" s="7"/>
      <c r="E2" s="6"/>
      <c r="F2" s="6"/>
      <c r="G2" s="6"/>
      <c r="H2" s="6"/>
      <c r="I2" s="6"/>
    </row>
    <row r="3" spans="1:27" s="5" customFormat="1" ht="20.45" customHeight="1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89"/>
      <c r="AA3" s="14"/>
    </row>
    <row r="4" spans="1:27" s="5" customFormat="1" ht="20.45" customHeight="1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0.45" customHeight="1">
      <c r="A5" s="85" t="s">
        <v>0</v>
      </c>
      <c r="B5" s="34" t="s">
        <v>2</v>
      </c>
      <c r="C5" s="34" t="s">
        <v>3</v>
      </c>
      <c r="D5" s="34" t="s">
        <v>4</v>
      </c>
      <c r="E5" s="116" t="s">
        <v>5</v>
      </c>
      <c r="F5" s="116"/>
      <c r="G5" s="116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43</v>
      </c>
      <c r="U5" s="34" t="s">
        <v>21</v>
      </c>
      <c r="V5" s="34" t="s">
        <v>22</v>
      </c>
      <c r="W5" s="34" t="s">
        <v>23</v>
      </c>
      <c r="X5" s="23" t="s">
        <v>44</v>
      </c>
      <c r="Y5" s="11" t="s">
        <v>45</v>
      </c>
      <c r="Z5" s="11" t="s">
        <v>46</v>
      </c>
      <c r="AA5" s="15" t="s">
        <v>47</v>
      </c>
    </row>
    <row r="6" spans="1:27" ht="14.45">
      <c r="A6" s="109" t="s">
        <v>48</v>
      </c>
      <c r="B6" s="91" t="s">
        <v>49</v>
      </c>
      <c r="C6" s="92" t="s">
        <v>50</v>
      </c>
      <c r="D6" s="90" t="s">
        <v>51</v>
      </c>
      <c r="E6" s="108">
        <v>10</v>
      </c>
      <c r="F6" s="108"/>
      <c r="G6" s="108"/>
      <c r="H6" s="111" t="s">
        <v>52</v>
      </c>
      <c r="I6" s="108" t="s">
        <v>33</v>
      </c>
      <c r="J6" s="107" t="s">
        <v>53</v>
      </c>
      <c r="K6" s="22" t="s">
        <v>54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6"/>
      <c r="Y6" s="113"/>
      <c r="Z6" s="113"/>
      <c r="AA6" s="123" t="s">
        <v>55</v>
      </c>
    </row>
    <row r="7" spans="1:27" ht="14.45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2" t="s">
        <v>56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4"/>
      <c r="Y7" s="96"/>
      <c r="Z7" s="96"/>
      <c r="AA7" s="124"/>
    </row>
    <row r="8" spans="1:27" ht="14.45">
      <c r="A8" s="109"/>
      <c r="B8" s="91" t="s">
        <v>57</v>
      </c>
      <c r="C8" s="92" t="s">
        <v>50</v>
      </c>
      <c r="D8" s="90" t="s">
        <v>58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53</v>
      </c>
      <c r="K8" s="22" t="s">
        <v>54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18"/>
      <c r="T8" s="18"/>
      <c r="U8" s="18"/>
      <c r="V8" s="18"/>
      <c r="W8" s="27"/>
      <c r="X8" s="94"/>
      <c r="Y8" s="95"/>
      <c r="Z8" s="114"/>
      <c r="AA8" s="123" t="s">
        <v>59</v>
      </c>
    </row>
    <row r="9" spans="1:27" ht="14.45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2" t="s">
        <v>56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4"/>
      <c r="Y9" s="96"/>
      <c r="Z9" s="115"/>
      <c r="AA9" s="124"/>
    </row>
    <row r="10" spans="1:27" ht="14.45">
      <c r="A10" s="109"/>
      <c r="B10" s="91" t="s">
        <v>60</v>
      </c>
      <c r="C10" s="92" t="s">
        <v>50</v>
      </c>
      <c r="D10" s="90" t="s">
        <v>61</v>
      </c>
      <c r="E10" s="108">
        <v>1</v>
      </c>
      <c r="F10" s="108"/>
      <c r="G10" s="108"/>
      <c r="H10" s="111" t="s">
        <v>52</v>
      </c>
      <c r="I10" s="108" t="s">
        <v>62</v>
      </c>
      <c r="J10" s="107" t="s">
        <v>53</v>
      </c>
      <c r="K10" s="22" t="s">
        <v>54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4"/>
      <c r="Y10" s="164"/>
      <c r="Z10" s="117"/>
      <c r="AA10" s="123" t="s">
        <v>63</v>
      </c>
    </row>
    <row r="11" spans="1:27" ht="15" thickBot="1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2" t="s">
        <v>56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4"/>
      <c r="Y11" s="165"/>
      <c r="Z11" s="118"/>
      <c r="AA11" s="124"/>
    </row>
    <row r="12" spans="1:27" ht="14.45">
      <c r="A12" s="109" t="s">
        <v>24</v>
      </c>
      <c r="B12" s="93" t="s">
        <v>64</v>
      </c>
      <c r="C12" s="93" t="s">
        <v>65</v>
      </c>
      <c r="D12" s="90" t="s">
        <v>66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53</v>
      </c>
      <c r="K12" s="22" t="s">
        <v>54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4"/>
      <c r="Y12" s="95"/>
      <c r="Z12" s="96"/>
      <c r="AA12" s="123" t="s">
        <v>67</v>
      </c>
    </row>
    <row r="13" spans="1:27" ht="14.45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2" t="s">
        <v>56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4"/>
      <c r="Y13" s="96"/>
      <c r="Z13" s="96"/>
      <c r="AA13" s="124"/>
    </row>
    <row r="14" spans="1:27" ht="14.45">
      <c r="A14" s="109"/>
      <c r="B14" s="93" t="s">
        <v>68</v>
      </c>
      <c r="C14" s="122" t="s">
        <v>69</v>
      </c>
      <c r="D14" s="90" t="s">
        <v>70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53</v>
      </c>
      <c r="K14" s="22" t="s">
        <v>54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52" t="s">
        <v>71</v>
      </c>
      <c r="Y14" s="97" t="s">
        <v>72</v>
      </c>
      <c r="Z14" s="154"/>
      <c r="AA14" s="151"/>
    </row>
    <row r="15" spans="1:27" ht="15" thickBot="1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2" t="s">
        <v>56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4"/>
      <c r="Y15" s="113"/>
      <c r="Z15" s="113"/>
      <c r="AA15" s="131"/>
    </row>
    <row r="16" spans="1:27" ht="14.45">
      <c r="A16" s="109" t="s">
        <v>25</v>
      </c>
      <c r="B16" s="93" t="s">
        <v>73</v>
      </c>
      <c r="C16" s="93" t="s">
        <v>74</v>
      </c>
      <c r="D16" s="90" t="s">
        <v>75</v>
      </c>
      <c r="E16" s="108" t="s">
        <v>76</v>
      </c>
      <c r="F16" s="108"/>
      <c r="G16" s="108"/>
      <c r="H16" s="111" t="s">
        <v>32</v>
      </c>
      <c r="I16" s="108" t="s">
        <v>33</v>
      </c>
      <c r="J16" s="107" t="s">
        <v>53</v>
      </c>
      <c r="K16" s="22" t="s">
        <v>54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4"/>
      <c r="Y16" s="95"/>
      <c r="Z16" s="115"/>
      <c r="AA16" s="123" t="s">
        <v>77</v>
      </c>
    </row>
    <row r="17" spans="1:27" ht="14.45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2" t="s">
        <v>56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4"/>
      <c r="Y17" s="96"/>
      <c r="Z17" s="115"/>
      <c r="AA17" s="124"/>
    </row>
    <row r="18" spans="1:27" ht="14.45">
      <c r="A18" s="109"/>
      <c r="B18" s="93" t="s">
        <v>78</v>
      </c>
      <c r="C18" s="93" t="s">
        <v>74</v>
      </c>
      <c r="D18" s="93" t="s">
        <v>79</v>
      </c>
      <c r="E18" s="108" t="s">
        <v>76</v>
      </c>
      <c r="F18" s="108"/>
      <c r="G18" s="108"/>
      <c r="H18" s="111" t="s">
        <v>32</v>
      </c>
      <c r="I18" s="108" t="s">
        <v>80</v>
      </c>
      <c r="J18" s="107" t="s">
        <v>53</v>
      </c>
      <c r="K18" s="22" t="s">
        <v>54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8" t="s">
        <v>81</v>
      </c>
      <c r="Y18" s="158"/>
      <c r="Z18" s="155">
        <v>46108</v>
      </c>
      <c r="AA18" s="157"/>
    </row>
    <row r="19" spans="1:27" ht="14.45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2" t="s">
        <v>56</v>
      </c>
      <c r="L19" s="87">
        <v>0.2598381666666667</v>
      </c>
      <c r="M19" s="87">
        <v>0.3838381666666667</v>
      </c>
      <c r="N19" s="87">
        <v>1.1128381666666667</v>
      </c>
      <c r="O19" s="87">
        <v>1.3223861666666668</v>
      </c>
      <c r="P19" s="87">
        <v>1.6513861666666667</v>
      </c>
      <c r="Q19" s="87">
        <v>2.1303861666666668</v>
      </c>
      <c r="R19" s="88">
        <v>2.6433861666666667</v>
      </c>
      <c r="S19" s="88">
        <v>3.3972231666666666</v>
      </c>
      <c r="T19" s="88">
        <v>4.5205241666666662</v>
      </c>
      <c r="U19" s="46"/>
      <c r="V19" s="46"/>
      <c r="W19" s="48"/>
      <c r="X19" s="158"/>
      <c r="Y19" s="158"/>
      <c r="Z19" s="156"/>
      <c r="AA19" s="157"/>
    </row>
    <row r="20" spans="1:27" ht="14.45">
      <c r="A20" s="109"/>
      <c r="B20" s="93" t="s">
        <v>82</v>
      </c>
      <c r="C20" s="93" t="s">
        <v>65</v>
      </c>
      <c r="D20" s="90" t="s">
        <v>83</v>
      </c>
      <c r="E20" s="108" t="s">
        <v>76</v>
      </c>
      <c r="F20" s="108"/>
      <c r="G20" s="108"/>
      <c r="H20" s="111" t="s">
        <v>52</v>
      </c>
      <c r="I20" s="108" t="s">
        <v>33</v>
      </c>
      <c r="J20" s="107" t="s">
        <v>53</v>
      </c>
      <c r="K20" s="22" t="s">
        <v>54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99" t="s">
        <v>84</v>
      </c>
      <c r="Y20" s="101" t="s">
        <v>85</v>
      </c>
      <c r="Z20" s="153"/>
      <c r="AA20" s="125" t="s">
        <v>86</v>
      </c>
    </row>
    <row r="21" spans="1:27" ht="15" thickBot="1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2" t="s">
        <v>56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00"/>
      <c r="Y21" s="102"/>
      <c r="Z21" s="119"/>
      <c r="AA21" s="125"/>
    </row>
    <row r="22" spans="1:27" ht="14.45">
      <c r="A22" s="109" t="s">
        <v>26</v>
      </c>
      <c r="B22" s="93" t="s">
        <v>87</v>
      </c>
      <c r="C22" s="122" t="s">
        <v>88</v>
      </c>
      <c r="D22" s="93" t="s">
        <v>89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53</v>
      </c>
      <c r="K22" s="22" t="s">
        <v>54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5"/>
      <c r="Y22" s="95"/>
      <c r="Z22" s="114">
        <v>46257</v>
      </c>
      <c r="AA22" s="162"/>
    </row>
    <row r="23" spans="1:27" ht="15" thickBot="1">
      <c r="A23" s="169"/>
      <c r="B23" s="93"/>
      <c r="C23" s="122"/>
      <c r="D23" s="93"/>
      <c r="E23" s="108"/>
      <c r="F23" s="108"/>
      <c r="G23" s="108"/>
      <c r="H23" s="111"/>
      <c r="I23" s="108"/>
      <c r="J23" s="107"/>
      <c r="K23" s="22" t="s">
        <v>56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6"/>
      <c r="Y23" s="96"/>
      <c r="Z23" s="115"/>
      <c r="AA23" s="163"/>
    </row>
    <row r="24" spans="1:27" ht="14.45">
      <c r="A24" s="143" t="s">
        <v>27</v>
      </c>
      <c r="B24" s="93" t="s">
        <v>90</v>
      </c>
      <c r="C24" s="122" t="s">
        <v>91</v>
      </c>
      <c r="D24" s="90" t="s">
        <v>92</v>
      </c>
      <c r="E24" s="108" t="s">
        <v>93</v>
      </c>
      <c r="F24" s="108" t="s">
        <v>93</v>
      </c>
      <c r="G24" s="108" t="s">
        <v>93</v>
      </c>
      <c r="H24" s="111" t="s">
        <v>32</v>
      </c>
      <c r="I24" s="108" t="s">
        <v>33</v>
      </c>
      <c r="J24" s="120" t="s">
        <v>34</v>
      </c>
      <c r="K24" s="22" t="s">
        <v>54</v>
      </c>
      <c r="L24" s="35"/>
      <c r="M24" s="35"/>
      <c r="N24" s="37">
        <v>0.104</v>
      </c>
      <c r="O24" s="21" t="s">
        <v>94</v>
      </c>
      <c r="P24" s="21" t="s">
        <v>94</v>
      </c>
      <c r="Q24" s="37">
        <v>0.11799999999999999</v>
      </c>
      <c r="R24" s="21" t="s">
        <v>94</v>
      </c>
      <c r="S24" s="21" t="s">
        <v>94</v>
      </c>
      <c r="T24" s="21" t="s">
        <v>94</v>
      </c>
      <c r="U24" s="21"/>
      <c r="V24" s="21"/>
      <c r="W24" s="38"/>
      <c r="X24" s="137"/>
      <c r="Y24" s="154"/>
      <c r="Z24" s="119"/>
      <c r="AA24" s="123" t="s">
        <v>95</v>
      </c>
    </row>
    <row r="25" spans="1:27" ht="15" thickBot="1">
      <c r="A25" s="168"/>
      <c r="B25" s="93"/>
      <c r="C25" s="122"/>
      <c r="D25" s="90"/>
      <c r="E25" s="108"/>
      <c r="F25" s="108"/>
      <c r="G25" s="108"/>
      <c r="H25" s="111"/>
      <c r="I25" s="108"/>
      <c r="J25" s="120"/>
      <c r="K25" s="22" t="s">
        <v>56</v>
      </c>
      <c r="L25" s="21" t="s">
        <v>94</v>
      </c>
      <c r="M25" s="21" t="s">
        <v>94</v>
      </c>
      <c r="N25" s="50">
        <v>0.115</v>
      </c>
      <c r="O25" s="21" t="s">
        <v>94</v>
      </c>
      <c r="P25" s="21" t="s">
        <v>94</v>
      </c>
      <c r="Q25" s="17">
        <v>0.12</v>
      </c>
      <c r="R25" s="21" t="s">
        <v>94</v>
      </c>
      <c r="S25" s="21" t="s">
        <v>94</v>
      </c>
      <c r="T25" s="21" t="s">
        <v>94</v>
      </c>
      <c r="U25" s="21"/>
      <c r="V25" s="21"/>
      <c r="W25" s="55"/>
      <c r="X25" s="106"/>
      <c r="Y25" s="113"/>
      <c r="Z25" s="153"/>
      <c r="AA25" s="124"/>
    </row>
    <row r="26" spans="1:27" ht="14.45">
      <c r="A26" s="168"/>
      <c r="B26" s="91" t="s">
        <v>96</v>
      </c>
      <c r="C26" s="161" t="s">
        <v>91</v>
      </c>
      <c r="D26" s="90" t="s">
        <v>97</v>
      </c>
      <c r="E26" s="108">
        <v>34</v>
      </c>
      <c r="F26" s="159"/>
      <c r="G26" s="159"/>
      <c r="H26" s="111" t="s">
        <v>32</v>
      </c>
      <c r="I26" s="108" t="s">
        <v>33</v>
      </c>
      <c r="J26" s="107" t="s">
        <v>53</v>
      </c>
      <c r="K26" s="22" t="s">
        <v>54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4"/>
      <c r="Y26" s="96"/>
      <c r="Z26" s="115"/>
      <c r="AA26" s="123" t="s">
        <v>98</v>
      </c>
    </row>
    <row r="27" spans="1:27" ht="15" thickBot="1">
      <c r="A27" s="168"/>
      <c r="B27" s="91"/>
      <c r="C27" s="161"/>
      <c r="D27" s="90"/>
      <c r="E27" s="108"/>
      <c r="F27" s="159"/>
      <c r="G27" s="159"/>
      <c r="H27" s="111"/>
      <c r="I27" s="108"/>
      <c r="J27" s="107"/>
      <c r="K27" s="22" t="s">
        <v>56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4"/>
      <c r="Y27" s="96"/>
      <c r="Z27" s="115"/>
      <c r="AA27" s="124"/>
    </row>
    <row r="28" spans="1:27" ht="14.45">
      <c r="A28" s="168"/>
      <c r="B28" s="90" t="s">
        <v>99</v>
      </c>
      <c r="C28" s="93" t="s">
        <v>74</v>
      </c>
      <c r="D28" s="90" t="s">
        <v>100</v>
      </c>
      <c r="E28" s="108" t="s">
        <v>76</v>
      </c>
      <c r="F28" s="108"/>
      <c r="G28" s="108"/>
      <c r="H28" s="111" t="s">
        <v>32</v>
      </c>
      <c r="I28" s="108" t="s">
        <v>33</v>
      </c>
      <c r="J28" s="107" t="s">
        <v>53</v>
      </c>
      <c r="K28" s="22" t="s">
        <v>54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103" t="s">
        <v>101</v>
      </c>
      <c r="Y28" s="97"/>
      <c r="Z28" s="119"/>
      <c r="AA28" s="128" t="s">
        <v>102</v>
      </c>
    </row>
    <row r="29" spans="1:27" ht="15" thickBot="1">
      <c r="A29" s="168"/>
      <c r="B29" s="90"/>
      <c r="C29" s="93"/>
      <c r="D29" s="90"/>
      <c r="E29" s="108"/>
      <c r="F29" s="108"/>
      <c r="G29" s="108"/>
      <c r="H29" s="111"/>
      <c r="I29" s="108"/>
      <c r="J29" s="107"/>
      <c r="K29" s="22" t="s">
        <v>56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104"/>
      <c r="Y29" s="98"/>
      <c r="Z29" s="153"/>
      <c r="AA29" s="129"/>
    </row>
    <row r="30" spans="1:27" ht="14.45">
      <c r="A30" s="168"/>
      <c r="B30" s="90"/>
      <c r="C30" s="93" t="s">
        <v>74</v>
      </c>
      <c r="D30" s="90" t="s">
        <v>103</v>
      </c>
      <c r="E30" s="108" t="s">
        <v>76</v>
      </c>
      <c r="F30" s="108"/>
      <c r="G30" s="108"/>
      <c r="H30" s="111" t="s">
        <v>32</v>
      </c>
      <c r="I30" s="108" t="s">
        <v>33</v>
      </c>
      <c r="J30" s="107" t="s">
        <v>53</v>
      </c>
      <c r="K30" s="22" t="s">
        <v>54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103"/>
      <c r="Y30" s="154"/>
      <c r="Z30" s="119"/>
      <c r="AA30" s="166"/>
    </row>
    <row r="31" spans="1:27" ht="14.45">
      <c r="A31" s="168"/>
      <c r="B31" s="90"/>
      <c r="C31" s="93"/>
      <c r="D31" s="90"/>
      <c r="E31" s="108"/>
      <c r="F31" s="108"/>
      <c r="G31" s="108"/>
      <c r="H31" s="111"/>
      <c r="I31" s="108"/>
      <c r="J31" s="107"/>
      <c r="K31" s="22" t="s">
        <v>56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104"/>
      <c r="Y31" s="113"/>
      <c r="Z31" s="153"/>
      <c r="AA31" s="167"/>
    </row>
    <row r="32" spans="1:27" ht="14.45">
      <c r="A32" s="168"/>
      <c r="B32" s="93" t="s">
        <v>104</v>
      </c>
      <c r="C32" s="122" t="s">
        <v>65</v>
      </c>
      <c r="D32" s="90" t="s">
        <v>105</v>
      </c>
      <c r="E32" s="108" t="s">
        <v>76</v>
      </c>
      <c r="F32" s="108"/>
      <c r="G32" s="108"/>
      <c r="H32" s="111" t="s">
        <v>32</v>
      </c>
      <c r="I32" s="108" t="s">
        <v>80</v>
      </c>
      <c r="J32" s="107" t="s">
        <v>53</v>
      </c>
      <c r="K32" s="22" t="s">
        <v>54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70" t="s">
        <v>106</v>
      </c>
      <c r="Y32" s="97" t="s">
        <v>107</v>
      </c>
      <c r="Z32" s="119"/>
      <c r="AA32" s="123" t="s">
        <v>108</v>
      </c>
    </row>
    <row r="33" spans="1:29" ht="15" thickBot="1">
      <c r="A33" s="168"/>
      <c r="B33" s="93"/>
      <c r="C33" s="122"/>
      <c r="D33" s="90"/>
      <c r="E33" s="108"/>
      <c r="F33" s="108"/>
      <c r="G33" s="108"/>
      <c r="H33" s="111"/>
      <c r="I33" s="108"/>
      <c r="J33" s="107"/>
      <c r="K33" s="22" t="s">
        <v>56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71"/>
      <c r="Y33" s="98"/>
      <c r="Z33" s="153"/>
      <c r="AA33" s="124"/>
    </row>
    <row r="34" spans="1:29" ht="14.45">
      <c r="A34" s="109" t="s">
        <v>28</v>
      </c>
      <c r="B34" s="148" t="s">
        <v>29</v>
      </c>
      <c r="C34" s="93" t="s">
        <v>88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2" t="s">
        <v>54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4"/>
      <c r="Y34" s="96" t="s">
        <v>109</v>
      </c>
      <c r="Z34" s="115"/>
      <c r="AA34" s="123" t="s">
        <v>110</v>
      </c>
    </row>
    <row r="35" spans="1:29" ht="14.45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2" t="s">
        <v>56</v>
      </c>
      <c r="L35" s="21" t="s">
        <v>94</v>
      </c>
      <c r="M35" s="21" t="s">
        <v>94</v>
      </c>
      <c r="N35" s="19">
        <v>1</v>
      </c>
      <c r="O35" s="21" t="s">
        <v>94</v>
      </c>
      <c r="P35" s="21" t="s">
        <v>94</v>
      </c>
      <c r="Q35" s="19">
        <v>0.96199999999999997</v>
      </c>
      <c r="R35" s="21" t="s">
        <v>94</v>
      </c>
      <c r="S35" s="21" t="s">
        <v>94</v>
      </c>
      <c r="T35" s="19">
        <v>0.91300000000000003</v>
      </c>
      <c r="U35" s="19"/>
      <c r="V35" s="19"/>
      <c r="W35" s="28"/>
      <c r="X35" s="94"/>
      <c r="Y35" s="96"/>
      <c r="Z35" s="115"/>
      <c r="AA35" s="124"/>
    </row>
    <row r="36" spans="1:29" ht="14.45">
      <c r="A36" s="109"/>
      <c r="B36" s="148" t="s">
        <v>35</v>
      </c>
      <c r="C36" s="93" t="s">
        <v>111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2" t="s">
        <v>54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4" t="s">
        <v>112</v>
      </c>
      <c r="Y36" s="95" t="s">
        <v>113</v>
      </c>
      <c r="Z36" s="115"/>
      <c r="AA36" s="123" t="s">
        <v>114</v>
      </c>
    </row>
    <row r="37" spans="1:29" ht="14.45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2" t="s">
        <v>56</v>
      </c>
      <c r="L37" s="21" t="s">
        <v>115</v>
      </c>
      <c r="M37" s="21" t="s">
        <v>115</v>
      </c>
      <c r="N37" s="21" t="s">
        <v>115</v>
      </c>
      <c r="O37" s="19">
        <v>0.79</v>
      </c>
      <c r="P37" s="21" t="s">
        <v>115</v>
      </c>
      <c r="Q37" s="19">
        <v>0.79</v>
      </c>
      <c r="R37" s="21" t="s">
        <v>115</v>
      </c>
      <c r="S37" s="56"/>
      <c r="T37" s="21" t="s">
        <v>115</v>
      </c>
      <c r="U37" s="56"/>
      <c r="V37" s="56"/>
      <c r="W37" s="57"/>
      <c r="X37" s="137"/>
      <c r="Y37" s="97"/>
      <c r="Z37" s="119"/>
      <c r="AA37" s="125"/>
    </row>
    <row r="38" spans="1:29" s="5" customFormat="1" ht="20.45" customHeigh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0.45" customHeight="1">
      <c r="A39" s="141" t="s">
        <v>116</v>
      </c>
      <c r="B39" s="141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45" customHeight="1">
      <c r="A40" s="43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44</v>
      </c>
      <c r="Y40" s="10" t="s">
        <v>45</v>
      </c>
      <c r="Z40" s="10" t="s">
        <v>46</v>
      </c>
      <c r="AA40" s="16" t="s">
        <v>47</v>
      </c>
    </row>
    <row r="41" spans="1:29" ht="20.45" customHeight="1">
      <c r="A41" s="142" t="s">
        <v>48</v>
      </c>
      <c r="B41" s="145" t="s">
        <v>123</v>
      </c>
      <c r="C41" s="146" t="s">
        <v>50</v>
      </c>
      <c r="D41" s="147" t="s">
        <v>124</v>
      </c>
      <c r="E41" s="140" t="s">
        <v>93</v>
      </c>
      <c r="F41" s="140" t="s">
        <v>93</v>
      </c>
      <c r="G41" s="140" t="s">
        <v>93</v>
      </c>
      <c r="H41" s="160" t="s">
        <v>52</v>
      </c>
      <c r="I41" s="140" t="s">
        <v>33</v>
      </c>
      <c r="J41" s="149" t="s">
        <v>53</v>
      </c>
      <c r="K41" s="61" t="s">
        <v>54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6"/>
      <c r="Y41" s="131"/>
      <c r="Z41" s="131"/>
      <c r="AA41" s="124" t="s">
        <v>123</v>
      </c>
      <c r="AC41" s="12"/>
    </row>
    <row r="42" spans="1:29" ht="20.45" customHeight="1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2" t="s">
        <v>56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6"/>
      <c r="Y42" s="131"/>
      <c r="Z42" s="131"/>
      <c r="AA42" s="126"/>
    </row>
    <row r="43" spans="1:29" ht="20.45" customHeight="1">
      <c r="A43" s="144" t="s">
        <v>26</v>
      </c>
      <c r="B43" s="91" t="s">
        <v>125</v>
      </c>
      <c r="C43" s="92" t="s">
        <v>91</v>
      </c>
      <c r="D43" s="90" t="s">
        <v>126</v>
      </c>
      <c r="E43" s="108" t="s">
        <v>93</v>
      </c>
      <c r="F43" s="108" t="s">
        <v>93</v>
      </c>
      <c r="G43" s="108" t="s">
        <v>93</v>
      </c>
      <c r="H43" s="111" t="s">
        <v>32</v>
      </c>
      <c r="I43" s="108" t="s">
        <v>33</v>
      </c>
      <c r="J43" s="120" t="s">
        <v>34</v>
      </c>
      <c r="K43" s="22" t="s">
        <v>54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30" t="s">
        <v>127</v>
      </c>
      <c r="Y43" s="132" t="s">
        <v>128</v>
      </c>
      <c r="Z43" s="133"/>
      <c r="AA43" s="134" t="s">
        <v>129</v>
      </c>
    </row>
    <row r="44" spans="1:29" ht="20.45" customHeight="1">
      <c r="A44" s="144"/>
      <c r="B44" s="91"/>
      <c r="C44" s="92"/>
      <c r="D44" s="90"/>
      <c r="E44" s="108"/>
      <c r="F44" s="108"/>
      <c r="G44" s="108"/>
      <c r="H44" s="111"/>
      <c r="I44" s="159"/>
      <c r="J44" s="120"/>
      <c r="K44" s="22" t="s">
        <v>56</v>
      </c>
      <c r="L44" s="21" t="s">
        <v>94</v>
      </c>
      <c r="M44" s="21" t="s">
        <v>94</v>
      </c>
      <c r="N44" s="17">
        <v>4.2000000000000003E-2</v>
      </c>
      <c r="O44" s="21" t="s">
        <v>94</v>
      </c>
      <c r="P44" s="21" t="s">
        <v>94</v>
      </c>
      <c r="Q44" s="17">
        <v>0.04</v>
      </c>
      <c r="R44" s="21" t="s">
        <v>94</v>
      </c>
      <c r="S44" s="21" t="s">
        <v>94</v>
      </c>
      <c r="T44" s="55"/>
      <c r="U44" s="21" t="s">
        <v>94</v>
      </c>
      <c r="V44" s="21" t="s">
        <v>94</v>
      </c>
      <c r="W44" s="55"/>
      <c r="X44" s="130"/>
      <c r="Y44" s="132"/>
      <c r="Z44" s="133"/>
      <c r="AA44" s="134"/>
    </row>
    <row r="45" spans="1:29" ht="20.45" customHeight="1">
      <c r="A45" s="144"/>
      <c r="B45" s="91" t="s">
        <v>130</v>
      </c>
      <c r="C45" s="92" t="s">
        <v>91</v>
      </c>
      <c r="D45" s="90" t="s">
        <v>131</v>
      </c>
      <c r="E45" s="108" t="s">
        <v>93</v>
      </c>
      <c r="F45" s="108" t="s">
        <v>93</v>
      </c>
      <c r="G45" s="108" t="s">
        <v>93</v>
      </c>
      <c r="H45" s="111" t="s">
        <v>32</v>
      </c>
      <c r="I45" s="108" t="s">
        <v>33</v>
      </c>
      <c r="J45" s="127" t="s">
        <v>53</v>
      </c>
      <c r="K45" s="22" t="s">
        <v>54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30"/>
      <c r="Y45" s="132" t="s">
        <v>132</v>
      </c>
      <c r="Z45" s="135">
        <v>46188</v>
      </c>
      <c r="AA45" s="126" t="s">
        <v>130</v>
      </c>
    </row>
    <row r="46" spans="1:29" ht="20.45" customHeight="1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2" t="s">
        <v>56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30"/>
      <c r="Y46" s="133"/>
      <c r="Z46" s="133"/>
      <c r="AA46" s="126"/>
    </row>
    <row r="47" spans="1:29" ht="20.45" customHeight="1">
      <c r="A47" s="144"/>
      <c r="B47" s="91" t="s">
        <v>133</v>
      </c>
      <c r="C47" s="92" t="s">
        <v>88</v>
      </c>
      <c r="D47" s="90" t="s">
        <v>134</v>
      </c>
      <c r="E47" s="108" t="s">
        <v>93</v>
      </c>
      <c r="F47" s="108" t="s">
        <v>93</v>
      </c>
      <c r="G47" s="108" t="s">
        <v>93</v>
      </c>
      <c r="H47" s="111" t="s">
        <v>32</v>
      </c>
      <c r="I47" s="108" t="s">
        <v>80</v>
      </c>
      <c r="J47" s="127" t="s">
        <v>53</v>
      </c>
      <c r="K47" s="22" t="s">
        <v>54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30"/>
      <c r="Y47" s="133"/>
      <c r="Z47" s="133"/>
      <c r="AA47" s="90" t="s">
        <v>135</v>
      </c>
    </row>
    <row r="48" spans="1:29" ht="20.45" customHeight="1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2" t="s">
        <v>56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30"/>
      <c r="Y48" s="133"/>
      <c r="Z48" s="133"/>
      <c r="AA48" s="90"/>
    </row>
    <row r="49" spans="1:27" ht="20.45" customHeight="1">
      <c r="A49" s="143" t="s">
        <v>136</v>
      </c>
      <c r="B49" s="150" t="s">
        <v>137</v>
      </c>
      <c r="C49" s="92" t="s">
        <v>69</v>
      </c>
      <c r="D49" s="90" t="s">
        <v>138</v>
      </c>
      <c r="E49" s="108">
        <v>74</v>
      </c>
      <c r="F49" s="108" t="s">
        <v>93</v>
      </c>
      <c r="G49" s="108" t="s">
        <v>93</v>
      </c>
      <c r="H49" s="111" t="s">
        <v>32</v>
      </c>
      <c r="I49" s="108" t="s">
        <v>33</v>
      </c>
      <c r="J49" s="107" t="s">
        <v>53</v>
      </c>
      <c r="K49" s="22" t="s">
        <v>54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30"/>
      <c r="Y49" s="132"/>
      <c r="Z49" s="133"/>
      <c r="AA49" s="126" t="s">
        <v>139</v>
      </c>
    </row>
    <row r="50" spans="1:27" ht="20.45" customHeight="1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2" t="s">
        <v>56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30"/>
      <c r="Y50" s="132"/>
      <c r="Z50" s="133"/>
      <c r="AA50" s="126"/>
    </row>
    <row r="51" spans="1:27" ht="20.45" customHeight="1">
      <c r="A51" s="144" t="s">
        <v>25</v>
      </c>
      <c r="B51" s="91" t="s">
        <v>140</v>
      </c>
      <c r="C51" s="92" t="s">
        <v>74</v>
      </c>
      <c r="D51" s="90" t="s">
        <v>141</v>
      </c>
      <c r="E51" s="108">
        <v>33.1</v>
      </c>
      <c r="F51" s="108" t="s">
        <v>93</v>
      </c>
      <c r="G51" s="108" t="s">
        <v>93</v>
      </c>
      <c r="H51" s="111" t="s">
        <v>32</v>
      </c>
      <c r="I51" s="108" t="s">
        <v>33</v>
      </c>
      <c r="J51" s="107" t="s">
        <v>53</v>
      </c>
      <c r="K51" s="22" t="s">
        <v>54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30"/>
      <c r="Y51" s="133"/>
      <c r="Z51" s="133"/>
      <c r="AA51" s="93" t="s">
        <v>142</v>
      </c>
    </row>
    <row r="52" spans="1:27" ht="20.45" customHeight="1" thickBot="1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2" t="s">
        <v>56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30"/>
      <c r="Y52" s="133"/>
      <c r="Z52" s="133"/>
      <c r="AA52" s="93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97B9C89-7047-44E4-9E7C-8AF16D1DE759}"/>
</file>

<file path=customXml/itemProps2.xml><?xml version="1.0" encoding="utf-8"?>
<ds:datastoreItem xmlns:ds="http://schemas.openxmlformats.org/officeDocument/2006/customXml" ds:itemID="{B59988E5-FE96-444B-A770-A47DB401478A}"/>
</file>

<file path=customXml/itemProps3.xml><?xml version="1.0" encoding="utf-8"?>
<ds:datastoreItem xmlns:ds="http://schemas.openxmlformats.org/officeDocument/2006/customXml" ds:itemID="{4496F7DA-3E04-4F13-B9D0-FE26D9FB8ABD}"/>
</file>

<file path=customXml/itemProps4.xml><?xml version="1.0" encoding="utf-8"?>
<ds:datastoreItem xmlns:ds="http://schemas.openxmlformats.org/officeDocument/2006/customXml" ds:itemID="{7094BB51-7951-4F88-97F3-C0EC6D9471D8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Mehta, Pratibha</cp:lastModifiedBy>
  <cp:revision/>
  <dcterms:created xsi:type="dcterms:W3CDTF">2026-01-28T08:54:22Z</dcterms:created>
  <dcterms:modified xsi:type="dcterms:W3CDTF">2026-10-14T11:01:20Z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