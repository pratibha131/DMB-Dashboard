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hare.philips.com/sites/GlobalMoSMT-2023/Shared Documents/General/2026/Goals Alignment 2026/Strategic Execution 2026/"/>
    </mc:Choice>
  </mc:AlternateContent>
  <xr:revisionPtr revIDLastSave="3351" documentId="8_{9B9C04DA-ABE2-4E9B-9FCF-AA5C7C703189}" xr6:coauthVersionLast="47" xr6:coauthVersionMax="47" xr10:uidLastSave="{7E9AEA8D-0DA6-49E7-94E7-3A95162BDB91}"/>
  <bookViews>
    <workbookView xWindow="-110" yWindow="-110" windowWidth="19420" windowHeight="11500" firstSheet="1" activeTab="1" xr2:uid="{31EBE344-35EA-49FE-9828-AF06217AD86D}"/>
  </bookViews>
  <sheets>
    <sheet name="Mastersheet" sheetId="5" r:id="rId1"/>
    <sheet name="AOP Critical" sheetId="2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1" i="5" l="1"/>
  <c r="M25" i="5" l="1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K56" i="5"/>
  <c r="L56" i="5"/>
  <c r="M56" i="5"/>
  <c r="N56" i="5"/>
  <c r="O56" i="5"/>
  <c r="P56" i="5"/>
  <c r="Q56" i="5"/>
  <c r="R56" i="5"/>
  <c r="S56" i="5"/>
  <c r="T56" i="5"/>
  <c r="U56" i="5"/>
  <c r="V56" i="5"/>
  <c r="J56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K51" i="5"/>
  <c r="L51" i="5"/>
  <c r="M51" i="5"/>
  <c r="N51" i="5"/>
  <c r="O51" i="5"/>
  <c r="P51" i="5"/>
  <c r="Q51" i="5"/>
  <c r="R51" i="5"/>
  <c r="T51" i="5"/>
  <c r="U51" i="5"/>
  <c r="V51" i="5"/>
  <c r="J51" i="5"/>
  <c r="C38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J47" i="5"/>
  <c r="L47" i="5"/>
  <c r="M47" i="5"/>
  <c r="N47" i="5"/>
  <c r="O47" i="5"/>
  <c r="P47" i="5"/>
  <c r="Q47" i="5"/>
  <c r="R47" i="5"/>
  <c r="S47" i="5"/>
  <c r="T47" i="5"/>
  <c r="U47" i="5"/>
  <c r="V47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K45" i="5"/>
  <c r="L45" i="5"/>
  <c r="M45" i="5"/>
  <c r="N45" i="5"/>
  <c r="O45" i="5"/>
  <c r="P45" i="5"/>
  <c r="Q45" i="5"/>
  <c r="R45" i="5"/>
  <c r="S45" i="5"/>
  <c r="T45" i="5"/>
  <c r="U45" i="5"/>
  <c r="V45" i="5"/>
  <c r="J45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J42" i="5"/>
  <c r="K42" i="5"/>
  <c r="M42" i="5"/>
  <c r="N42" i="5"/>
  <c r="O42" i="5"/>
  <c r="P42" i="5"/>
  <c r="Q42" i="5"/>
  <c r="R42" i="5"/>
  <c r="S42" i="5"/>
  <c r="T42" i="5"/>
  <c r="U42" i="5"/>
  <c r="V42" i="5"/>
  <c r="K37" i="5"/>
  <c r="L37" i="5"/>
  <c r="M37" i="5"/>
  <c r="N37" i="5"/>
  <c r="O37" i="5"/>
  <c r="P37" i="5"/>
  <c r="Q37" i="5"/>
  <c r="R37" i="5"/>
  <c r="S37" i="5"/>
  <c r="T37" i="5"/>
  <c r="U37" i="5"/>
  <c r="V37" i="5"/>
  <c r="J37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K33" i="5"/>
  <c r="L33" i="5"/>
  <c r="M33" i="5"/>
  <c r="N33" i="5"/>
  <c r="O33" i="5"/>
  <c r="P33" i="5"/>
  <c r="Q33" i="5"/>
  <c r="R33" i="5"/>
  <c r="S33" i="5"/>
  <c r="T33" i="5"/>
  <c r="U33" i="5"/>
  <c r="V33" i="5"/>
  <c r="J33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K29" i="5"/>
  <c r="L29" i="5"/>
  <c r="M29" i="5"/>
  <c r="N29" i="5"/>
  <c r="O29" i="5"/>
  <c r="P29" i="5"/>
  <c r="Q29" i="5"/>
  <c r="R29" i="5"/>
  <c r="S29" i="5"/>
  <c r="T29" i="5"/>
  <c r="U29" i="5"/>
  <c r="V29" i="5"/>
  <c r="J29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J25" i="5"/>
  <c r="K25" i="5"/>
  <c r="L25" i="5"/>
  <c r="N25" i="5"/>
  <c r="O25" i="5"/>
  <c r="P25" i="5"/>
  <c r="Q25" i="5"/>
  <c r="R25" i="5"/>
  <c r="S25" i="5"/>
  <c r="T25" i="5"/>
  <c r="U25" i="5"/>
  <c r="V25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K23" i="5"/>
  <c r="L23" i="5"/>
  <c r="M23" i="5"/>
  <c r="N23" i="5"/>
  <c r="O23" i="5"/>
  <c r="P23" i="5"/>
  <c r="Q23" i="5"/>
  <c r="R23" i="5"/>
  <c r="S23" i="5"/>
  <c r="T23" i="5"/>
  <c r="U23" i="5"/>
  <c r="V23" i="5"/>
  <c r="J23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K19" i="5"/>
  <c r="L19" i="5"/>
  <c r="M19" i="5"/>
  <c r="N19" i="5"/>
  <c r="O19" i="5"/>
  <c r="P19" i="5"/>
  <c r="Q19" i="5"/>
  <c r="R19" i="5"/>
  <c r="S19" i="5"/>
  <c r="T19" i="5"/>
  <c r="U19" i="5"/>
  <c r="V19" i="5"/>
  <c r="J19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K15" i="5"/>
  <c r="L15" i="5"/>
  <c r="M15" i="5"/>
  <c r="N15" i="5"/>
  <c r="O15" i="5"/>
  <c r="P15" i="5"/>
  <c r="Q15" i="5"/>
  <c r="R15" i="5"/>
  <c r="S15" i="5"/>
  <c r="T15" i="5"/>
  <c r="U15" i="5"/>
  <c r="V15" i="5"/>
  <c r="J15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K11" i="5"/>
  <c r="L11" i="5"/>
  <c r="M11" i="5"/>
  <c r="N11" i="5"/>
  <c r="O11" i="5"/>
  <c r="P11" i="5"/>
  <c r="Q11" i="5"/>
  <c r="R11" i="5"/>
  <c r="S11" i="5"/>
  <c r="T11" i="5"/>
  <c r="U11" i="5"/>
  <c r="V11" i="5"/>
  <c r="J11" i="5"/>
  <c r="J6" i="5"/>
  <c r="K6" i="5"/>
  <c r="L6" i="5"/>
  <c r="M6" i="5"/>
  <c r="N6" i="5"/>
  <c r="O6" i="5"/>
  <c r="P6" i="5"/>
  <c r="Q6" i="5"/>
  <c r="R6" i="5"/>
  <c r="S6" i="5"/>
  <c r="T6" i="5"/>
  <c r="U6" i="5"/>
  <c r="V6" i="5"/>
  <c r="J7" i="5"/>
  <c r="K7" i="5"/>
  <c r="L7" i="5"/>
  <c r="M7" i="5"/>
  <c r="N7" i="5"/>
  <c r="O7" i="5"/>
  <c r="P7" i="5"/>
  <c r="Q7" i="5"/>
  <c r="R7" i="5"/>
  <c r="S7" i="5"/>
  <c r="T7" i="5"/>
  <c r="U7" i="5"/>
  <c r="V7" i="5"/>
  <c r="J8" i="5"/>
  <c r="K8" i="5"/>
  <c r="L8" i="5"/>
  <c r="M8" i="5"/>
  <c r="N8" i="5"/>
  <c r="O8" i="5"/>
  <c r="P8" i="5"/>
  <c r="Q8" i="5"/>
  <c r="R8" i="5"/>
  <c r="S8" i="5"/>
  <c r="T8" i="5"/>
  <c r="U8" i="5"/>
  <c r="V8" i="5"/>
  <c r="J9" i="5"/>
  <c r="K9" i="5"/>
  <c r="L9" i="5"/>
  <c r="M9" i="5"/>
  <c r="N9" i="5"/>
  <c r="O9" i="5"/>
  <c r="P9" i="5"/>
  <c r="Q9" i="5"/>
  <c r="R9" i="5"/>
  <c r="S9" i="5"/>
  <c r="T9" i="5"/>
  <c r="U9" i="5"/>
  <c r="V9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K5" i="5"/>
  <c r="L5" i="5"/>
  <c r="M5" i="5"/>
  <c r="N5" i="5"/>
  <c r="O5" i="5"/>
  <c r="P5" i="5"/>
  <c r="Q5" i="5"/>
  <c r="R5" i="5"/>
  <c r="S5" i="5"/>
  <c r="T5" i="5"/>
  <c r="U5" i="5"/>
  <c r="V5" i="5"/>
  <c r="J5" i="5"/>
  <c r="B52" i="5"/>
  <c r="C52" i="5"/>
  <c r="D52" i="5"/>
  <c r="E52" i="5"/>
  <c r="F52" i="5"/>
  <c r="G52" i="5"/>
  <c r="H52" i="5"/>
  <c r="I52" i="5"/>
  <c r="A52" i="5"/>
  <c r="B51" i="5"/>
  <c r="C51" i="5"/>
  <c r="D51" i="5"/>
  <c r="E51" i="5"/>
  <c r="F51" i="5"/>
  <c r="G51" i="5"/>
  <c r="H51" i="5"/>
  <c r="I51" i="5"/>
  <c r="A51" i="5"/>
  <c r="B50" i="5"/>
  <c r="C50" i="5"/>
  <c r="D50" i="5"/>
  <c r="E50" i="5"/>
  <c r="F50" i="5"/>
  <c r="G50" i="5"/>
  <c r="H50" i="5"/>
  <c r="I50" i="5"/>
  <c r="A50" i="5"/>
  <c r="B49" i="5"/>
  <c r="C49" i="5"/>
  <c r="D49" i="5"/>
  <c r="E49" i="5"/>
  <c r="F49" i="5"/>
  <c r="G49" i="5"/>
  <c r="H49" i="5"/>
  <c r="I49" i="5"/>
  <c r="A49" i="5"/>
  <c r="D47" i="5"/>
  <c r="E47" i="5"/>
  <c r="F47" i="5"/>
  <c r="G47" i="5"/>
  <c r="H47" i="5"/>
  <c r="I47" i="5"/>
  <c r="D48" i="5"/>
  <c r="E48" i="5"/>
  <c r="F48" i="5"/>
  <c r="G48" i="5"/>
  <c r="H48" i="5"/>
  <c r="I48" i="5"/>
  <c r="C48" i="5"/>
  <c r="C47" i="5"/>
  <c r="B47" i="5"/>
  <c r="A48" i="5"/>
  <c r="A47" i="5"/>
  <c r="D45" i="5"/>
  <c r="E45" i="5"/>
  <c r="F45" i="5"/>
  <c r="G45" i="5"/>
  <c r="H45" i="5"/>
  <c r="I45" i="5"/>
  <c r="D46" i="5"/>
  <c r="E46" i="5"/>
  <c r="F46" i="5"/>
  <c r="G46" i="5"/>
  <c r="H46" i="5"/>
  <c r="I46" i="5"/>
  <c r="C46" i="5"/>
  <c r="C45" i="5"/>
  <c r="B46" i="5"/>
  <c r="A46" i="5"/>
  <c r="B45" i="5"/>
  <c r="A45" i="5"/>
  <c r="A39" i="5"/>
  <c r="B39" i="5"/>
  <c r="C39" i="5"/>
  <c r="D39" i="5"/>
  <c r="E39" i="5"/>
  <c r="F39" i="5"/>
  <c r="G39" i="5"/>
  <c r="H39" i="5"/>
  <c r="I39" i="5"/>
  <c r="A40" i="5"/>
  <c r="B40" i="5"/>
  <c r="C40" i="5"/>
  <c r="D40" i="5"/>
  <c r="E40" i="5"/>
  <c r="F40" i="5"/>
  <c r="G40" i="5"/>
  <c r="H40" i="5"/>
  <c r="I40" i="5"/>
  <c r="A41" i="5"/>
  <c r="B41" i="5"/>
  <c r="C41" i="5"/>
  <c r="D41" i="5"/>
  <c r="E41" i="5"/>
  <c r="F41" i="5"/>
  <c r="G41" i="5"/>
  <c r="H41" i="5"/>
  <c r="I41" i="5"/>
  <c r="A42" i="5"/>
  <c r="B42" i="5"/>
  <c r="C42" i="5"/>
  <c r="D42" i="5"/>
  <c r="E42" i="5"/>
  <c r="F42" i="5"/>
  <c r="G42" i="5"/>
  <c r="H42" i="5"/>
  <c r="I42" i="5"/>
  <c r="B37" i="5"/>
  <c r="C37" i="5"/>
  <c r="D37" i="5"/>
  <c r="E37" i="5"/>
  <c r="F37" i="5"/>
  <c r="G37" i="5"/>
  <c r="H37" i="5"/>
  <c r="I37" i="5"/>
  <c r="B38" i="5"/>
  <c r="D38" i="5"/>
  <c r="E38" i="5"/>
  <c r="F38" i="5"/>
  <c r="G38" i="5"/>
  <c r="H38" i="5"/>
  <c r="I38" i="5"/>
  <c r="A38" i="5"/>
  <c r="A37" i="5"/>
  <c r="E5" i="5"/>
  <c r="E6" i="5"/>
  <c r="E7" i="5"/>
  <c r="E8" i="5"/>
  <c r="E9" i="5"/>
  <c r="E10" i="5"/>
  <c r="E11" i="5"/>
  <c r="E12" i="5"/>
  <c r="E15" i="5"/>
  <c r="F15" i="5"/>
  <c r="E16" i="5"/>
  <c r="F16" i="5"/>
  <c r="E17" i="5"/>
  <c r="F17" i="5"/>
  <c r="E18" i="5"/>
  <c r="F18" i="5"/>
  <c r="E19" i="5"/>
  <c r="F19" i="5"/>
  <c r="E20" i="5"/>
  <c r="F20" i="5"/>
  <c r="E23" i="5"/>
  <c r="F23" i="5"/>
  <c r="E24" i="5"/>
  <c r="F24" i="5"/>
  <c r="E25" i="5"/>
  <c r="F25" i="5"/>
  <c r="E26" i="5"/>
  <c r="F26" i="5"/>
  <c r="E27" i="5"/>
  <c r="F27" i="5"/>
  <c r="E28" i="5"/>
  <c r="F28" i="5"/>
  <c r="E29" i="5"/>
  <c r="F29" i="5"/>
  <c r="E30" i="5"/>
  <c r="F30" i="5"/>
  <c r="E33" i="5"/>
  <c r="F33" i="5"/>
  <c r="E34" i="5"/>
  <c r="F34" i="5"/>
  <c r="E35" i="5"/>
  <c r="F35" i="5"/>
  <c r="E36" i="5"/>
  <c r="F36" i="5"/>
  <c r="A5" i="5"/>
  <c r="B5" i="5"/>
  <c r="C5" i="5"/>
  <c r="D5" i="5"/>
  <c r="G5" i="5"/>
  <c r="H5" i="5"/>
  <c r="I5" i="5"/>
  <c r="A6" i="5"/>
  <c r="B6" i="5"/>
  <c r="C6" i="5"/>
  <c r="D6" i="5"/>
  <c r="G6" i="5"/>
  <c r="H6" i="5"/>
  <c r="I6" i="5"/>
  <c r="A7" i="5"/>
  <c r="B7" i="5"/>
  <c r="C7" i="5"/>
  <c r="D7" i="5"/>
  <c r="G7" i="5"/>
  <c r="H7" i="5"/>
  <c r="I7" i="5"/>
  <c r="A8" i="5"/>
  <c r="B8" i="5"/>
  <c r="C8" i="5"/>
  <c r="D8" i="5"/>
  <c r="G8" i="5"/>
  <c r="H8" i="5"/>
  <c r="I8" i="5"/>
  <c r="A9" i="5"/>
  <c r="B9" i="5"/>
  <c r="C9" i="5"/>
  <c r="D9" i="5"/>
  <c r="G9" i="5"/>
  <c r="H9" i="5"/>
  <c r="I9" i="5"/>
  <c r="A10" i="5"/>
  <c r="B10" i="5"/>
  <c r="C10" i="5"/>
  <c r="D10" i="5"/>
  <c r="G10" i="5"/>
  <c r="H10" i="5"/>
  <c r="I10" i="5"/>
  <c r="A11" i="5"/>
  <c r="B11" i="5"/>
  <c r="C11" i="5"/>
  <c r="D11" i="5"/>
  <c r="G11" i="5"/>
  <c r="H11" i="5"/>
  <c r="I11" i="5"/>
  <c r="A12" i="5"/>
  <c r="B12" i="5"/>
  <c r="C12" i="5"/>
  <c r="D12" i="5"/>
  <c r="G12" i="5"/>
  <c r="H12" i="5"/>
  <c r="I12" i="5"/>
  <c r="A35" i="5"/>
  <c r="B35" i="5"/>
  <c r="C35" i="5"/>
  <c r="D35" i="5"/>
  <c r="G35" i="5"/>
  <c r="H35" i="5"/>
  <c r="I35" i="5"/>
  <c r="A36" i="5"/>
  <c r="B36" i="5"/>
  <c r="C36" i="5"/>
  <c r="D36" i="5"/>
  <c r="G36" i="5"/>
  <c r="H36" i="5"/>
  <c r="I36" i="5"/>
  <c r="B33" i="5"/>
  <c r="C33" i="5"/>
  <c r="D33" i="5"/>
  <c r="G33" i="5"/>
  <c r="H33" i="5"/>
  <c r="I33" i="5"/>
  <c r="B34" i="5"/>
  <c r="C34" i="5"/>
  <c r="D34" i="5"/>
  <c r="G34" i="5"/>
  <c r="H34" i="5"/>
  <c r="I34" i="5"/>
  <c r="A34" i="5"/>
  <c r="A33" i="5"/>
  <c r="B29" i="5"/>
  <c r="C29" i="5"/>
  <c r="D29" i="5"/>
  <c r="G29" i="5"/>
  <c r="H29" i="5"/>
  <c r="I29" i="5"/>
  <c r="B30" i="5"/>
  <c r="C30" i="5"/>
  <c r="D30" i="5"/>
  <c r="G30" i="5"/>
  <c r="H30" i="5"/>
  <c r="I30" i="5"/>
  <c r="A30" i="5"/>
  <c r="A29" i="5"/>
  <c r="A25" i="5"/>
  <c r="B25" i="5"/>
  <c r="C25" i="5"/>
  <c r="D25" i="5"/>
  <c r="G25" i="5"/>
  <c r="H25" i="5"/>
  <c r="I25" i="5"/>
  <c r="A26" i="5"/>
  <c r="B26" i="5"/>
  <c r="C26" i="5"/>
  <c r="D26" i="5"/>
  <c r="G26" i="5"/>
  <c r="H26" i="5"/>
  <c r="I26" i="5"/>
  <c r="A27" i="5"/>
  <c r="B27" i="5"/>
  <c r="C27" i="5"/>
  <c r="D27" i="5"/>
  <c r="G27" i="5"/>
  <c r="H27" i="5"/>
  <c r="I27" i="5"/>
  <c r="A28" i="5"/>
  <c r="B28" i="5"/>
  <c r="C28" i="5"/>
  <c r="D28" i="5"/>
  <c r="G28" i="5"/>
  <c r="H28" i="5"/>
  <c r="I28" i="5"/>
  <c r="B23" i="5"/>
  <c r="C23" i="5"/>
  <c r="D23" i="5"/>
  <c r="G23" i="5"/>
  <c r="H23" i="5"/>
  <c r="I23" i="5"/>
  <c r="B24" i="5"/>
  <c r="C24" i="5"/>
  <c r="D24" i="5"/>
  <c r="G24" i="5"/>
  <c r="H24" i="5"/>
  <c r="I24" i="5"/>
  <c r="A24" i="5"/>
  <c r="A23" i="5"/>
  <c r="B19" i="5"/>
  <c r="C19" i="5"/>
  <c r="D19" i="5"/>
  <c r="G19" i="5"/>
  <c r="H19" i="5"/>
  <c r="I19" i="5"/>
  <c r="B20" i="5"/>
  <c r="C20" i="5"/>
  <c r="D20" i="5"/>
  <c r="G20" i="5"/>
  <c r="H20" i="5"/>
  <c r="I20" i="5"/>
  <c r="A20" i="5"/>
  <c r="A19" i="5"/>
  <c r="A17" i="5"/>
  <c r="B17" i="5"/>
  <c r="C17" i="5"/>
  <c r="D17" i="5"/>
  <c r="G17" i="5"/>
  <c r="H17" i="5"/>
  <c r="I17" i="5"/>
  <c r="A18" i="5"/>
  <c r="B18" i="5"/>
  <c r="C18" i="5"/>
  <c r="D18" i="5"/>
  <c r="G18" i="5"/>
  <c r="H18" i="5"/>
  <c r="I18" i="5"/>
  <c r="B15" i="5"/>
  <c r="C15" i="5"/>
  <c r="D15" i="5"/>
  <c r="G15" i="5"/>
  <c r="H15" i="5"/>
  <c r="I15" i="5"/>
  <c r="B16" i="5"/>
  <c r="C16" i="5"/>
  <c r="D16" i="5"/>
  <c r="G16" i="5"/>
  <c r="H16" i="5"/>
  <c r="I16" i="5"/>
  <c r="A16" i="5"/>
  <c r="A15" i="5"/>
  <c r="M48" i="2" l="1"/>
  <c r="L42" i="5" s="1"/>
  <c r="A4" i="2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6">
    <s v="ThisWorkbookDataModel"/>
    <s v="[Measures].[AOP_FT_OIT_MeasureNew]"/>
    <s v="[TGBS].[Catogory_All].&amp;[All]"/>
    <s v="[ORU].[ORU_L1_Description].&amp;[World]"/>
    <s v="[MRU_2025].[Level 9].&amp;[BCHIGS]"/>
    <s v="[TCalender].[Period].&amp;[2026.001]"/>
    <s v="[TBusinessModel].[Business_Model].&amp;[EQ]"/>
    <s v="[Measures].[CY_FT_OIT_Measure]"/>
    <s v="{([TCalender].[Period].&amp;[2026.001]),([TCalender].[Period].&amp;[2026.002])}"/>
    <s v="[TBusinessModel].[Business_Model].&amp;[SV]"/>
    <s v="{([TCalender].[Period].&amp;[2026.001]),([TCalender].[Period].&amp;[2026.002]),([TCalender].[Period].&amp;[2026.003])}"/>
    <s v="{([TCalender].[Period].&amp;[2026.001]),([TCalender].[Period].&amp;[2026.002]),([TCalender].[Period].&amp;[2026.003]),([TCalender].[Period].&amp;[2026.004])}"/>
    <s v="{([TCalender].[Period].&amp;[2026.001]),([TCalender].[Period].&amp;[2026.002]),([TCalender].[Period].&amp;[2026.003]),([TCalender].[Period].&amp;[2026.004]),([TCalender].[Period].&amp;[2026.005])}"/>
    <s v="{([TCalender].[Period].&amp;[2026.001]),([TCalender].[Period].&amp;[2026.002]),([TCalender].[Period].&amp;[2026.003]),([TCalender].[Period].&amp;[2026.004]),([TCalender].[Period].&amp;[2026.005]),([TCalender].[Period].&amp;[2026.006])}"/>
    <s v="{([TCalender].[Period].&amp;[2026.001]),([TCalender].[Period].&amp;[2026.002]),([TCalender].[Period].&amp;[2026.003]),([TCalender].[Period].&amp;[2026.004]),([TCalender].[Period].&amp;[2026.005]),([TCalender].[Period].&amp;[2026.006]),([TCalender].[Period].&amp;[2026.007])}"/>
    <s v="{([TCalender].[Period].&amp;[2026.001]),([TCalender].[Period].&amp;[2026.002]),([TCalender].[Period].&amp;[2026.003]),([TCalender].[Period].&amp;[2026.004]),([TCalender].[Period].&amp;[2026.005]),([TCalender].[Period].&amp;[2026.006]),([TCalender].[Period].&amp;[2026.007]),([TCalender].[Period].&amp;[2026.008])}"/>
  </metadataStrings>
  <mdxMetadata count="23">
    <mdx n="0" f="v">
      <t c="6" fi="0">
        <n x="1"/>
        <n x="2"/>
        <n x="3"/>
        <n x="4"/>
        <n x="5"/>
        <n x="6"/>
      </t>
    </mdx>
    <mdx n="0" f="v">
      <t c="6" fi="0">
        <n x="7"/>
        <n x="2"/>
        <n x="3"/>
        <n x="4"/>
        <n x="5"/>
        <n x="6"/>
      </t>
    </mdx>
    <mdx n="0" f="v">
      <t c="6" fi="0">
        <n x="1"/>
        <n x="2"/>
        <n x="3"/>
        <n x="4"/>
        <n x="8" s="1"/>
        <n x="6"/>
      </t>
    </mdx>
    <mdx n="0" f="v">
      <t c="6" fi="0">
        <n x="1"/>
        <n x="2"/>
        <n x="3"/>
        <n x="4"/>
        <n x="8" s="1"/>
        <n x="9"/>
      </t>
    </mdx>
    <mdx n="0" f="v">
      <t c="6" fi="0">
        <n x="7"/>
        <n x="2"/>
        <n x="3"/>
        <n x="4"/>
        <n x="8" s="1"/>
        <n x="9"/>
      </t>
    </mdx>
    <mdx n="0" f="v">
      <t c="6" fi="0">
        <n x="1"/>
        <n x="2"/>
        <n x="3"/>
        <n x="4"/>
        <n x="10" s="1"/>
        <n x="6"/>
      </t>
    </mdx>
    <mdx n="0" f="v">
      <t c="6" fi="0">
        <n x="7"/>
        <n x="2"/>
        <n x="3"/>
        <n x="4"/>
        <n x="10" s="1"/>
        <n x="6"/>
      </t>
    </mdx>
    <mdx n="0" f="v">
      <t c="6" fi="0">
        <n x="1"/>
        <n x="2"/>
        <n x="3"/>
        <n x="4"/>
        <n x="10" s="1"/>
        <n x="9"/>
      </t>
    </mdx>
    <mdx n="0" f="v">
      <t c="6" fi="0">
        <n x="7"/>
        <n x="2"/>
        <n x="3"/>
        <n x="4"/>
        <n x="10" s="1"/>
        <n x="9"/>
      </t>
    </mdx>
    <mdx n="0" f="v">
      <t c="6" fi="0">
        <n x="1"/>
        <n x="2"/>
        <n x="3"/>
        <n x="4"/>
        <n x="11" s="1"/>
        <n x="6"/>
      </t>
    </mdx>
    <mdx n="0" f="v">
      <t c="6" fi="0">
        <n x="7"/>
        <n x="2"/>
        <n x="3"/>
        <n x="4"/>
        <n x="11" s="1"/>
        <n x="6"/>
      </t>
    </mdx>
    <mdx n="0" f="v">
      <t c="6" fi="0">
        <n x="1"/>
        <n x="2"/>
        <n x="3"/>
        <n x="4"/>
        <n x="12" s="1"/>
        <n x="6"/>
      </t>
    </mdx>
    <mdx n="0" f="v">
      <t c="6" fi="0">
        <n x="7"/>
        <n x="2"/>
        <n x="3"/>
        <n x="4"/>
        <n x="12" s="1"/>
        <n x="6"/>
      </t>
    </mdx>
    <mdx n="0" f="v">
      <t c="6" fi="0">
        <n x="1"/>
        <n x="2"/>
        <n x="3"/>
        <n x="4"/>
        <n x="13" s="1"/>
        <n x="6"/>
      </t>
    </mdx>
    <mdx n="0" f="v">
      <t c="6" fi="0">
        <n x="7"/>
        <n x="2"/>
        <n x="3"/>
        <n x="4"/>
        <n x="13" s="1"/>
        <n x="6"/>
      </t>
    </mdx>
    <mdx n="0" f="v">
      <t c="6" fi="0">
        <n x="1"/>
        <n x="2"/>
        <n x="3"/>
        <n x="4"/>
        <n x="13" s="1"/>
        <n x="9"/>
      </t>
    </mdx>
    <mdx n="0" f="v">
      <t c="6" fi="0">
        <n x="7"/>
        <n x="2"/>
        <n x="3"/>
        <n x="4"/>
        <n x="13" s="1"/>
        <n x="9"/>
      </t>
    </mdx>
    <mdx n="0" f="v">
      <t c="6" fi="0">
        <n x="1"/>
        <n x="2"/>
        <n x="3"/>
        <n x="4"/>
        <n x="14" s="1"/>
        <n x="6"/>
      </t>
    </mdx>
    <mdx n="0" f="v">
      <t c="6" fi="0">
        <n x="7"/>
        <n x="2"/>
        <n x="3"/>
        <n x="4"/>
        <n x="14" s="1"/>
        <n x="6"/>
      </t>
    </mdx>
    <mdx n="0" f="v">
      <t c="6" fi="0">
        <n x="1"/>
        <n x="2"/>
        <n x="3"/>
        <n x="4"/>
        <n x="14" s="1"/>
        <n x="9"/>
      </t>
    </mdx>
    <mdx n="0" f="v">
      <t c="6" fi="0">
        <n x="7"/>
        <n x="2"/>
        <n x="3"/>
        <n x="4"/>
        <n x="14" s="1"/>
        <n x="9"/>
      </t>
    </mdx>
    <mdx n="0" f="v">
      <t c="6" fi="0">
        <n x="1"/>
        <n x="2"/>
        <n x="3"/>
        <n x="4"/>
        <n x="15" s="1"/>
        <n x="6"/>
      </t>
    </mdx>
    <mdx n="0" f="v">
      <t c="6" fi="0">
        <n x="7"/>
        <n x="2"/>
        <n x="3"/>
        <n x="4"/>
        <n x="15" s="1"/>
        <n x="6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<sst xmlns="http://schemas.openxmlformats.org/spreadsheetml/2006/main" count="492" uniqueCount="143">
  <si>
    <t>Strategic Imperatives</t>
  </si>
  <si>
    <t xml:space="preserve"> Patient Safety &amp; Quality</t>
  </si>
  <si>
    <t>Core KPI's</t>
  </si>
  <si>
    <t>Metric Owner</t>
  </si>
  <si>
    <t>KPI  Definition</t>
  </si>
  <si>
    <t>AOP 2026</t>
  </si>
  <si>
    <t>Column1</t>
  </si>
  <si>
    <t>Column2</t>
  </si>
  <si>
    <t>Metric nature</t>
  </si>
  <si>
    <t>Units</t>
  </si>
  <si>
    <t>Frequency</t>
  </si>
  <si>
    <t>Target/
Actual</t>
  </si>
  <si>
    <t>Jan</t>
  </si>
  <si>
    <t>Feb</t>
  </si>
  <si>
    <t>Q1'26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</si>
  <si>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</si>
  <si>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</si>
  <si>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</si>
  <si>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</si>
  <si>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</si>
  <si>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</si>
  <si>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</si>
  <si>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</si>
  <si>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</si>
  <si>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Customer Focus</t>
  </si>
  <si>
    <t>Improve Deliverability &amp; Profitability</t>
  </si>
  <si>
    <t>Roadmap competitiveness &amp; Innovation agility</t>
  </si>
  <si>
    <t>Drive growth through Commercial Excellence</t>
  </si>
  <si>
    <t>Environmental, Social &amp; Governance</t>
  </si>
  <si>
    <t>Impact Index</t>
  </si>
  <si>
    <t>Shivaraj</t>
  </si>
  <si>
    <t>ESG Index, ESG &gt;= 90%</t>
  </si>
  <si>
    <t>Higher the better</t>
  </si>
  <si>
    <t>%</t>
  </si>
  <si>
    <t>Quarterly</t>
  </si>
  <si>
    <t>Employee Engagement</t>
  </si>
  <si>
    <t>Shiva S</t>
  </si>
  <si>
    <t>EES &gt;= 83 %</t>
  </si>
  <si>
    <t>Half yearly</t>
  </si>
  <si>
    <t>Performance of the Month</t>
  </si>
  <si>
    <t>MoS Core KPI's 2026 :</t>
  </si>
  <si>
    <t>Q1</t>
  </si>
  <si>
    <t>Q2</t>
  </si>
  <si>
    <t xml:space="preserve">If reported Red then
state Cause  </t>
  </si>
  <si>
    <t>State Action/s to Cause</t>
  </si>
  <si>
    <t>Next update
 DD-MM</t>
  </si>
  <si>
    <t>KPI  Definition Link</t>
  </si>
  <si>
    <t>Patient Safety &amp; Quality</t>
  </si>
  <si>
    <t>Complaint Closure</t>
  </si>
  <si>
    <t>Neena S</t>
  </si>
  <si>
    <t>% Complaints Open &gt; 90 days</t>
  </si>
  <si>
    <t>Lower the better</t>
  </si>
  <si>
    <t>Monthly</t>
  </si>
  <si>
    <t>T</t>
  </si>
  <si>
    <t># of Complaints KPI</t>
  </si>
  <si>
    <t>A</t>
  </si>
  <si>
    <t>% of CAPA investgation</t>
  </si>
  <si>
    <t>CAPA investigations ≤ 90 days</t>
  </si>
  <si>
    <t>CAPA investigations KPI</t>
  </si>
  <si>
    <t xml:space="preserve"># of Corrections &amp; Removals </t>
  </si>
  <si>
    <t>C&amp;R Implementation miss per global due date</t>
  </si>
  <si>
    <t>No.</t>
  </si>
  <si>
    <t># of C&amp;R KPI</t>
  </si>
  <si>
    <t>Ontime In Full</t>
  </si>
  <si>
    <t>Rupali J</t>
  </si>
  <si>
    <t>On Time In Full Z4-Z10</t>
  </si>
  <si>
    <t>OTIF KPI</t>
  </si>
  <si>
    <t>Contract Penetration</t>
  </si>
  <si>
    <t>Sangram T</t>
  </si>
  <si>
    <t>Increase contract penetration %</t>
  </si>
  <si>
    <t>Adjusted EBITA %</t>
  </si>
  <si>
    <t>Chetan L</t>
  </si>
  <si>
    <t>Adjusted EBIT per comitted 2026</t>
  </si>
  <si>
    <t>AOP</t>
  </si>
  <si>
    <t>Adjusted EBITA KPI</t>
  </si>
  <si>
    <t>Productivity</t>
  </si>
  <si>
    <t xml:space="preserve"> Monthly Cost Savings</t>
  </si>
  <si>
    <t>Mn</t>
  </si>
  <si>
    <t>Inventory MAT sales</t>
  </si>
  <si>
    <t>Inventory as a % MAT sales</t>
  </si>
  <si>
    <t>Inventory as a % MAT sales KPI</t>
  </si>
  <si>
    <t>NPI Schedule Adherence</t>
  </si>
  <si>
    <t>Shivaraj G</t>
  </si>
  <si>
    <t>Dhruv  Schedule Adherence</t>
  </si>
  <si>
    <t>Implied Market Share Gain</t>
  </si>
  <si>
    <t>Sarika P</t>
  </si>
  <si>
    <t>Implied Market Share Gain (ITQ)</t>
  </si>
  <si>
    <t>TBD</t>
  </si>
  <si>
    <t>QTR</t>
  </si>
  <si>
    <t>Win Rate</t>
  </si>
  <si>
    <t xml:space="preserve">Win Rate </t>
  </si>
  <si>
    <t>(Philips OIT) / (Philips OIT + lost SFDC + not pursuing SFDC)</t>
  </si>
  <si>
    <t>Implied Market Share Gain KPI</t>
  </si>
  <si>
    <t>Order Intake Growth</t>
  </si>
  <si>
    <t>OIT Growth % (EQ)</t>
  </si>
  <si>
    <t>OIT (Equipment  + Service)</t>
  </si>
  <si>
    <t>OIT Growth % (CS)</t>
  </si>
  <si>
    <t>Comparable Sales</t>
  </si>
  <si>
    <t>Monthly Sales recognized (EQ)</t>
  </si>
  <si>
    <t>CSG % KPI</t>
  </si>
  <si>
    <t xml:space="preserve">Impact Index KPI </t>
  </si>
  <si>
    <t>Lakshmi M</t>
  </si>
  <si>
    <t>EES scores are out! It is a balanced story. We are better than H1 2025 but slightly worse than H2 2025</t>
  </si>
  <si>
    <t>CS has hit it out of the park.Quality dipped from 100% but still highest, Marketing is holding but at low scores. R&amp;D has dropped some big numbers.</t>
  </si>
  <si>
    <t>Employee Engagement KPI</t>
  </si>
  <si>
    <t>HY</t>
  </si>
  <si>
    <t>MoS Value Levers 2026 - 2028:</t>
  </si>
  <si>
    <t>Value Levers</t>
  </si>
  <si>
    <t>AOP
 2026</t>
  </si>
  <si>
    <t>AOP
 2027</t>
  </si>
  <si>
    <t>AOP
 2028</t>
  </si>
  <si>
    <t>Mar</t>
  </si>
  <si>
    <t>June</t>
  </si>
  <si>
    <t>Cost Of Non-Quality as % of Sales</t>
  </si>
  <si>
    <t>Cost of FCO, Warranty, Obsolescence, Scrap and Rework.</t>
  </si>
  <si>
    <t>Competitive Roadmap</t>
  </si>
  <si>
    <t>Roadmap MS% delivery (NPI OIT)</t>
  </si>
  <si>
    <t>Zenition 10 &amp; 30 OIT below Q2 AOP due NPIs and price pressure from GE &amp; Siemens</t>
  </si>
  <si>
    <t>Focus on Philips IB opportunity through mapping and targeted promotions to improve win rate</t>
  </si>
  <si>
    <t>(MS% delivered by roadmap)
/ (MS% ambition) 
over 5 year horizon</t>
  </si>
  <si>
    <t>Vitality index</t>
  </si>
  <si>
    <t>% of sales from MoS Innovation &lt; 3 years</t>
  </si>
  <si>
    <t xml:space="preserve">Improve Z10 &amp; Z30 competitiveness (sales training to counter competition) and bundling service at POS address price gap
</t>
  </si>
  <si>
    <t>I2M Value Creation</t>
  </si>
  <si>
    <t>Development progress (per year, per quarter, %) X Incremental IGM</t>
  </si>
  <si>
    <t>Development progress 
(per year, per quarter, %) X Incremental IGM,( from business cases, M€ )</t>
  </si>
  <si>
    <t>Cusotomer Focus</t>
  </si>
  <si>
    <t>Services - Time To System Up (TTSU)</t>
  </si>
  <si>
    <t>% of system down cases back up &lt;48hrs</t>
  </si>
  <si>
    <t>Time To System Up &lt; 48h</t>
  </si>
  <si>
    <t>Profitability - Margin Expansion</t>
  </si>
  <si>
    <t xml:space="preserve">Driving profitability via margin expansion  </t>
  </si>
  <si>
    <t>Focus on optimizing FCP, pricing, and product mix to drive margin expansion</t>
  </si>
  <si>
    <t>YTD Sept Productivity no's on track.Good Realization from E&amp;E savings of Pune and also a gap reduction of R&amp;D Budget YTD.</t>
  </si>
  <si>
    <t>EQ OIT YTD Sep lower by 0.2M, which is mainly coming by NAR -4.4M, EU -3.7M however Growth supported by over-drive +7.9M</t>
  </si>
  <si>
    <t xml:space="preserve">Current OOH does not support FY revnue plan. 
OOH is 117 M agaist AOP of 141M .B&amp;B  24 M B&amp;B required to meet FY AOP.
</t>
  </si>
  <si>
    <t>Growth</t>
  </si>
  <si>
    <t>Drive B&amp;B OIT 
NAR : 5 M , EU: 8.5M , Growth : 7.6</t>
  </si>
  <si>
    <t>1. NAR :AOP accelator program launched to improve OIT to rev conversion.
2. EU : Demo  liquidation plan aligned toward Q4 to maximise OIT in Q3.
3. Growth:  Namibia tender conversion in Q4
4. UIEP : COE team to analyse the difference and accurate capturing in AOP 2027</t>
  </si>
  <si>
    <t xml:space="preserve">Market inventory : 7.7 M above AOP .
Growth : + 1M  Namibia tender  
EU +1.2   M above AOP driven delayed Demo liquidation  ,
NAM  0.5 M above AOP , 
UIPE effect increased leading  to 10M increase in Mrkt inventory ( Aug reported at 31% against AOP 59% ) 
</t>
  </si>
  <si>
    <t>1) Funnel focus actions driven across regions for renewals.
2) Contract Funnel tracked 90 days before expiry for timely renewals.</t>
  </si>
  <si>
    <t>-0.8% delta Vs AOP. Excluding GRC 0.7% YoY improvement.  LATAM renewals improved ITM Sep. Expected turnaround is Q4 2026 (Dec)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</si>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</sst>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mmm/yyyy"/>
    <numFmt numFmtId="165" formatCode="0.0%"/>
    <numFmt numFmtId="166" formatCode="0.0"/>
    <numFmt numFmtId="167" formatCode="_(* #,##0.0_);_(* \(#,##0.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DDF"/>
        <bgColor indexed="64"/>
      </patternFill>
    </fill>
    <fill>
      <patternFill patternType="solid">
        <fgColor rgb="FFDEE7F2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DAE9F8"/>
        <bgColor theme="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7"/>
      </patternFill>
    </fill>
    <fill>
      <patternFill patternType="solid">
        <fgColor rgb="FF92D050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EA8B4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0" fillId="0" borderId="0"/>
    <xf numFmtId="43" fontId="1" fillId="0" borderId="0" applyFont="0" applyFill="0" applyBorder="0" applyAlignment="0" applyProtection="0"/>
  </cellStyleXfs>
  <cellXfs count="17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left"/>
    </xf>
    <xf numFmtId="0" fontId="0" fillId="0" borderId="0" xfId="0" applyAlignment="1">
      <alignment vertical="center"/>
    </xf>
    <xf numFmtId="0" fontId="3" fillId="0" borderId="0" xfId="0" applyFont="1"/>
    <xf numFmtId="164" fontId="3" fillId="0" borderId="0" xfId="0" applyNumberFormat="1" applyFont="1" applyAlignment="1">
      <alignment horizontal="left"/>
    </xf>
    <xf numFmtId="0" fontId="8" fillId="7" borderId="2" xfId="1" applyNumberFormat="1" applyFont="1" applyFill="1" applyBorder="1" applyAlignment="1">
      <alignment horizontal="center" vertical="center"/>
    </xf>
    <xf numFmtId="0" fontId="9" fillId="0" borderId="1" xfId="1" applyNumberFormat="1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5" fillId="0" borderId="0" xfId="2" applyAlignment="1">
      <alignment horizontal="left" vertical="center" indent="1" readingOrder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1" fillId="8" borderId="2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165" fontId="9" fillId="0" borderId="1" xfId="1" applyNumberFormat="1" applyFont="1" applyBorder="1" applyAlignment="1">
      <alignment horizontal="center" vertical="center"/>
    </xf>
    <xf numFmtId="9" fontId="8" fillId="7" borderId="2" xfId="1" applyFont="1" applyFill="1" applyBorder="1" applyAlignment="1">
      <alignment horizontal="center" vertical="center"/>
    </xf>
    <xf numFmtId="9" fontId="9" fillId="0" borderId="1" xfId="1" applyFont="1" applyBorder="1" applyAlignment="1">
      <alignment horizontal="center" vertical="center"/>
    </xf>
    <xf numFmtId="0" fontId="0" fillId="0" borderId="0" xfId="0" applyAlignment="1">
      <alignment wrapText="1"/>
    </xf>
    <xf numFmtId="0" fontId="13" fillId="1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9" fontId="8" fillId="7" borderId="9" xfId="1" applyFont="1" applyFill="1" applyBorder="1" applyAlignment="1">
      <alignment horizontal="center" vertical="center"/>
    </xf>
    <xf numFmtId="9" fontId="8" fillId="7" borderId="10" xfId="1" applyFont="1" applyFill="1" applyBorder="1" applyAlignment="1">
      <alignment horizontal="center" vertical="center"/>
    </xf>
    <xf numFmtId="0" fontId="9" fillId="0" borderId="11" xfId="1" applyNumberFormat="1" applyFont="1" applyBorder="1" applyAlignment="1">
      <alignment horizontal="center" vertical="center"/>
    </xf>
    <xf numFmtId="9" fontId="8" fillId="7" borderId="12" xfId="1" applyFont="1" applyFill="1" applyBorder="1" applyAlignment="1">
      <alignment horizontal="center" vertical="center"/>
    </xf>
    <xf numFmtId="9" fontId="9" fillId="0" borderId="11" xfId="1" applyFont="1" applyBorder="1" applyAlignment="1">
      <alignment horizontal="center" vertical="center"/>
    </xf>
    <xf numFmtId="9" fontId="9" fillId="0" borderId="7" xfId="1" applyFont="1" applyBorder="1" applyAlignment="1">
      <alignment horizontal="center" vertical="center"/>
    </xf>
    <xf numFmtId="9" fontId="9" fillId="0" borderId="13" xfId="1" applyFont="1" applyBorder="1" applyAlignment="1">
      <alignment horizontal="center" vertical="center"/>
    </xf>
    <xf numFmtId="0" fontId="9" fillId="0" borderId="7" xfId="1" applyNumberFormat="1" applyFont="1" applyBorder="1" applyAlignment="1">
      <alignment horizontal="center" vertical="center"/>
    </xf>
    <xf numFmtId="0" fontId="9" fillId="0" borderId="13" xfId="1" applyNumberFormat="1" applyFont="1" applyBorder="1" applyAlignment="1">
      <alignment horizontal="center" vertical="center"/>
    </xf>
    <xf numFmtId="0" fontId="8" fillId="7" borderId="12" xfId="1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9" fontId="8" fillId="7" borderId="1" xfId="1" applyFont="1" applyFill="1" applyBorder="1" applyAlignment="1">
      <alignment horizontal="center" vertical="center"/>
    </xf>
    <xf numFmtId="0" fontId="8" fillId="7" borderId="1" xfId="1" applyNumberFormat="1" applyFont="1" applyFill="1" applyBorder="1" applyAlignment="1">
      <alignment horizontal="center" vertical="center"/>
    </xf>
    <xf numFmtId="165" fontId="8" fillId="7" borderId="1" xfId="1" applyNumberFormat="1" applyFont="1" applyFill="1" applyBorder="1" applyAlignment="1">
      <alignment horizontal="center" vertical="center"/>
    </xf>
    <xf numFmtId="9" fontId="8" fillId="7" borderId="11" xfId="1" applyFont="1" applyFill="1" applyBorder="1" applyAlignment="1">
      <alignment horizontal="center" vertical="center"/>
    </xf>
    <xf numFmtId="0" fontId="8" fillId="7" borderId="11" xfId="1" applyNumberFormat="1" applyFont="1" applyFill="1" applyBorder="1" applyAlignment="1">
      <alignment horizontal="center" vertical="center"/>
    </xf>
    <xf numFmtId="165" fontId="8" fillId="7" borderId="11" xfId="1" applyNumberFormat="1" applyFont="1" applyFill="1" applyBorder="1" applyAlignment="1">
      <alignment horizontal="center" vertical="center"/>
    </xf>
    <xf numFmtId="166" fontId="8" fillId="7" borderId="1" xfId="1" applyNumberFormat="1" applyFont="1" applyFill="1" applyBorder="1" applyAlignment="1">
      <alignment horizontal="center" vertical="center"/>
    </xf>
    <xf numFmtId="166" fontId="9" fillId="0" borderId="1" xfId="1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9" fontId="9" fillId="0" borderId="2" xfId="1" applyFont="1" applyBorder="1" applyAlignment="1">
      <alignment horizontal="center" vertical="center"/>
    </xf>
    <xf numFmtId="9" fontId="9" fillId="0" borderId="12" xfId="1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2" fontId="8" fillId="7" borderId="1" xfId="1" applyNumberFormat="1" applyFont="1" applyFill="1" applyBorder="1" applyAlignment="1">
      <alignment horizontal="center" vertical="center"/>
    </xf>
    <xf numFmtId="0" fontId="9" fillId="0" borderId="5" xfId="1" applyNumberFormat="1" applyFont="1" applyBorder="1" applyAlignment="1">
      <alignment horizontal="center" vertical="center"/>
    </xf>
    <xf numFmtId="165" fontId="9" fillId="15" borderId="1" xfId="1" applyNumberFormat="1" applyFont="1" applyFill="1" applyBorder="1" applyAlignment="1">
      <alignment horizontal="center" vertical="center"/>
    </xf>
    <xf numFmtId="165" fontId="9" fillId="14" borderId="1" xfId="1" applyNumberFormat="1" applyFont="1" applyFill="1" applyBorder="1" applyAlignment="1">
      <alignment horizontal="center" vertical="center"/>
    </xf>
    <xf numFmtId="166" fontId="9" fillId="16" borderId="1" xfId="1" applyNumberFormat="1" applyFont="1" applyFill="1" applyBorder="1" applyAlignment="1">
      <alignment horizontal="center" vertical="center"/>
    </xf>
    <xf numFmtId="9" fontId="9" fillId="14" borderId="1" xfId="1" applyFont="1" applyFill="1" applyBorder="1" applyAlignment="1">
      <alignment horizontal="center" vertical="center"/>
    </xf>
    <xf numFmtId="0" fontId="9" fillId="14" borderId="1" xfId="1" applyNumberFormat="1" applyFont="1" applyFill="1" applyBorder="1" applyAlignment="1">
      <alignment horizontal="center" vertical="center"/>
    </xf>
    <xf numFmtId="9" fontId="9" fillId="0" borderId="1" xfId="1" applyFont="1" applyFill="1" applyBorder="1" applyAlignment="1">
      <alignment horizontal="center" vertical="center"/>
    </xf>
    <xf numFmtId="10" fontId="9" fillId="0" borderId="1" xfId="1" applyNumberFormat="1" applyFont="1" applyBorder="1" applyAlignment="1">
      <alignment horizontal="center" vertical="center"/>
    </xf>
    <xf numFmtId="9" fontId="9" fillId="0" borderId="3" xfId="1" applyFont="1" applyBorder="1" applyAlignment="1">
      <alignment horizontal="center" vertical="center"/>
    </xf>
    <xf numFmtId="9" fontId="9" fillId="0" borderId="16" xfId="1" applyFont="1" applyBorder="1" applyAlignment="1">
      <alignment horizontal="center" vertical="center"/>
    </xf>
    <xf numFmtId="0" fontId="0" fillId="0" borderId="15" xfId="0" applyBorder="1"/>
    <xf numFmtId="10" fontId="9" fillId="0" borderId="11" xfId="1" applyNumberFormat="1" applyFont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10" fontId="8" fillId="7" borderId="2" xfId="1" applyNumberFormat="1" applyFont="1" applyFill="1" applyBorder="1" applyAlignment="1">
      <alignment horizontal="center" vertical="center"/>
    </xf>
    <xf numFmtId="10" fontId="8" fillId="7" borderId="12" xfId="1" applyNumberFormat="1" applyFont="1" applyFill="1" applyBorder="1" applyAlignment="1">
      <alignment horizontal="center" vertical="center"/>
    </xf>
    <xf numFmtId="167" fontId="8" fillId="7" borderId="1" xfId="4" applyNumberFormat="1" applyFont="1" applyFill="1" applyBorder="1" applyAlignment="1">
      <alignment horizontal="left" vertical="center" readingOrder="1"/>
    </xf>
    <xf numFmtId="167" fontId="9" fillId="0" borderId="1" xfId="4" applyNumberFormat="1" applyFont="1" applyBorder="1" applyAlignment="1">
      <alignment horizontal="left" vertical="center" readingOrder="1"/>
    </xf>
    <xf numFmtId="0" fontId="16" fillId="0" borderId="0" xfId="0" applyFont="1"/>
    <xf numFmtId="165" fontId="0" fillId="0" borderId="0" xfId="0" applyNumberFormat="1"/>
    <xf numFmtId="9" fontId="0" fillId="0" borderId="0" xfId="0" applyNumberFormat="1"/>
    <xf numFmtId="9" fontId="0" fillId="0" borderId="0" xfId="1" applyFont="1"/>
    <xf numFmtId="165" fontId="0" fillId="0" borderId="0" xfId="1" applyNumberFormat="1" applyFont="1"/>
    <xf numFmtId="10" fontId="0" fillId="0" borderId="0" xfId="1" applyNumberFormat="1" applyFont="1"/>
    <xf numFmtId="166" fontId="0" fillId="0" borderId="0" xfId="0" applyNumberFormat="1"/>
    <xf numFmtId="2" fontId="0" fillId="0" borderId="0" xfId="0" applyNumberFormat="1"/>
    <xf numFmtId="165" fontId="9" fillId="0" borderId="11" xfId="1" applyNumberFormat="1" applyFont="1" applyBorder="1" applyAlignment="1">
      <alignment horizontal="center" vertical="center"/>
    </xf>
    <xf numFmtId="9" fontId="9" fillId="17" borderId="1" xfId="1" applyFont="1" applyFill="1" applyBorder="1" applyAlignment="1">
      <alignment horizontal="center" vertical="center"/>
    </xf>
    <xf numFmtId="10" fontId="8" fillId="7" borderId="1" xfId="1" applyNumberFormat="1" applyFont="1" applyFill="1" applyBorder="1" applyAlignment="1">
      <alignment horizontal="center" vertical="center"/>
    </xf>
    <xf numFmtId="165" fontId="9" fillId="0" borderId="7" xfId="1" applyNumberFormat="1" applyFont="1" applyBorder="1" applyAlignment="1">
      <alignment horizontal="center" vertical="center"/>
    </xf>
    <xf numFmtId="165" fontId="9" fillId="0" borderId="1" xfId="1" applyNumberFormat="1" applyFont="1" applyFill="1" applyBorder="1" applyAlignment="1">
      <alignment horizontal="center" vertical="center"/>
    </xf>
    <xf numFmtId="167" fontId="8" fillId="7" borderId="1" xfId="4" applyNumberFormat="1" applyFont="1" applyFill="1" applyBorder="1" applyAlignment="1">
      <alignment horizontal="center" vertical="center"/>
    </xf>
    <xf numFmtId="167" fontId="9" fillId="0" borderId="1" xfId="4" applyNumberFormat="1" applyFont="1" applyBorder="1" applyAlignment="1">
      <alignment horizontal="center" vertical="center"/>
    </xf>
    <xf numFmtId="165" fontId="8" fillId="7" borderId="9" xfId="1" applyNumberFormat="1" applyFont="1" applyFill="1" applyBorder="1" applyAlignment="1">
      <alignment horizontal="center" vertical="center"/>
    </xf>
    <xf numFmtId="165" fontId="9" fillId="0" borderId="2" xfId="1" applyNumberFormat="1" applyFont="1" applyBorder="1" applyAlignment="1">
      <alignment horizontal="center" vertical="center"/>
    </xf>
    <xf numFmtId="166" fontId="9" fillId="0" borderId="7" xfId="1" applyNumberFormat="1" applyFont="1" applyBorder="1" applyAlignment="1">
      <alignment horizontal="center" vertical="center"/>
    </xf>
    <xf numFmtId="166" fontId="8" fillId="7" borderId="2" xfId="1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 readingOrder="1"/>
    </xf>
    <xf numFmtId="0" fontId="4" fillId="4" borderId="1" xfId="0" applyFont="1" applyFill="1" applyBorder="1" applyAlignment="1">
      <alignment vertical="center" readingOrder="1"/>
    </xf>
    <xf numFmtId="0" fontId="0" fillId="0" borderId="1" xfId="0" applyBorder="1" applyAlignment="1">
      <alignment vertical="center"/>
    </xf>
    <xf numFmtId="0" fontId="4" fillId="4" borderId="1" xfId="0" applyFont="1" applyFill="1" applyBorder="1" applyAlignment="1">
      <alignment horizontal="left" vertical="center" readingOrder="1"/>
    </xf>
    <xf numFmtId="0" fontId="7" fillId="5" borderId="8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top" wrapText="1"/>
    </xf>
    <xf numFmtId="0" fontId="7" fillId="5" borderId="3" xfId="0" applyFont="1" applyFill="1" applyBorder="1" applyAlignment="1">
      <alignment vertical="top"/>
    </xf>
    <xf numFmtId="0" fontId="7" fillId="5" borderId="17" xfId="0" applyFont="1" applyFill="1" applyBorder="1" applyAlignment="1">
      <alignment vertical="center" wrapText="1"/>
    </xf>
    <xf numFmtId="0" fontId="7" fillId="5" borderId="18" xfId="0" applyFont="1" applyFill="1" applyBorder="1" applyAlignment="1">
      <alignment vertical="center" wrapText="1"/>
    </xf>
    <xf numFmtId="0" fontId="4" fillId="5" borderId="1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vertical="center"/>
    </xf>
    <xf numFmtId="15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15" fontId="7" fillId="5" borderId="1" xfId="0" applyNumberFormat="1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5" fillId="0" borderId="3" xfId="2" applyBorder="1" applyAlignment="1">
      <alignment horizontal="left" vertical="center" readingOrder="1"/>
    </xf>
    <xf numFmtId="0" fontId="5" fillId="0" borderId="2" xfId="2" applyBorder="1" applyAlignment="1">
      <alignment horizontal="left" vertical="center" readingOrder="1"/>
    </xf>
    <xf numFmtId="0" fontId="5" fillId="0" borderId="4" xfId="2" applyBorder="1" applyAlignment="1">
      <alignment horizontal="left" vertical="center" readingOrder="1"/>
    </xf>
    <xf numFmtId="0" fontId="5" fillId="0" borderId="1" xfId="2" applyBorder="1" applyAlignment="1">
      <alignment horizontal="left" vertical="center" readingOrder="1"/>
    </xf>
    <xf numFmtId="0" fontId="7" fillId="0" borderId="1" xfId="0" applyFont="1" applyBorder="1" applyAlignment="1">
      <alignment horizontal="center" vertical="center"/>
    </xf>
    <xf numFmtId="0" fontId="5" fillId="0" borderId="3" xfId="2" applyBorder="1" applyAlignment="1">
      <alignment horizontal="left" vertical="center"/>
    </xf>
    <xf numFmtId="0" fontId="5" fillId="0" borderId="2" xfId="2" applyBorder="1" applyAlignment="1">
      <alignment horizontal="left" vertical="center"/>
    </xf>
    <xf numFmtId="0" fontId="0" fillId="5" borderId="8" xfId="0" applyFill="1" applyBorder="1" applyAlignment="1">
      <alignment vertical="center" wrapText="1"/>
    </xf>
    <xf numFmtId="0" fontId="0" fillId="5" borderId="2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4" borderId="3" xfId="0" applyFill="1" applyBorder="1" applyAlignment="1">
      <alignment horizontal="left" vertical="center" wrapText="1"/>
    </xf>
    <xf numFmtId="15" fontId="0" fillId="5" borderId="1" xfId="0" applyNumberFormat="1" applyFill="1" applyBorder="1" applyAlignment="1">
      <alignment vertical="center"/>
    </xf>
    <xf numFmtId="0" fontId="0" fillId="5" borderId="6" xfId="0" applyFill="1" applyBorder="1" applyAlignment="1">
      <alignment vertical="center" wrapText="1"/>
    </xf>
    <xf numFmtId="0" fontId="7" fillId="5" borderId="14" xfId="0" applyFont="1" applyFill="1" applyBorder="1" applyAlignment="1">
      <alignment vertical="center" wrapText="1"/>
    </xf>
    <xf numFmtId="0" fontId="0" fillId="9" borderId="2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readingOrder="1"/>
    </xf>
    <xf numFmtId="0" fontId="6" fillId="3" borderId="4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readingOrder="1"/>
    </xf>
    <xf numFmtId="0" fontId="0" fillId="0" borderId="2" xfId="0" applyBorder="1" applyAlignment="1">
      <alignment vertical="center"/>
    </xf>
    <xf numFmtId="0" fontId="4" fillId="4" borderId="2" xfId="0" applyFont="1" applyFill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 readingOrder="1"/>
    </xf>
    <xf numFmtId="0" fontId="0" fillId="5" borderId="3" xfId="0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readingOrder="1"/>
    </xf>
    <xf numFmtId="0" fontId="7" fillId="4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5" fillId="0" borderId="3" xfId="2" applyBorder="1" applyAlignment="1">
      <alignment horizontal="center" vertical="center" readingOrder="1"/>
    </xf>
    <xf numFmtId="0" fontId="5" fillId="0" borderId="2" xfId="2" applyBorder="1" applyAlignment="1">
      <alignment horizontal="center" vertical="center" readingOrder="1"/>
    </xf>
    <xf numFmtId="0" fontId="7" fillId="5" borderId="3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7" fillId="5" borderId="17" xfId="0" applyFont="1" applyFill="1" applyBorder="1" applyAlignment="1">
      <alignment vertical="top" wrapText="1"/>
    </xf>
    <xf numFmtId="0" fontId="7" fillId="5" borderId="18" xfId="0" applyFont="1" applyFill="1" applyBorder="1" applyAlignment="1">
      <alignment vertical="top" wrapText="1"/>
    </xf>
    <xf numFmtId="0" fontId="17" fillId="5" borderId="6" xfId="0" applyFont="1" applyFill="1" applyBorder="1" applyAlignment="1">
      <alignment vertical="top" wrapText="1"/>
    </xf>
    <xf numFmtId="0" fontId="17" fillId="5" borderId="14" xfId="0" applyFont="1" applyFill="1" applyBorder="1" applyAlignment="1">
      <alignment vertical="top" wrapText="1"/>
    </xf>
    <xf numFmtId="43" fontId="9" fillId="0" borderId="1" xfId="4" applyNumberFormat="1" applyFont="1" applyBorder="1" applyAlignment="1">
      <alignment horizontal="center" vertical="center"/>
    </xf>
    <xf numFmtId="43" fontId="9" fillId="0" borderId="2" xfId="4" applyNumberFormat="1" applyFont="1" applyBorder="1" applyAlignment="1">
      <alignment horizontal="center" vertical="center"/>
    </xf>
    <xf numFmtId="0" fontId="7" fillId="5" borderId="8" xfId="0" quotePrefix="1" applyFont="1" applyFill="1" applyBorder="1" applyAlignment="1">
      <alignment vertical="center" wrapText="1"/>
    </xf>
    <xf numFmtId="10" fontId="0" fillId="0" borderId="0" xfId="0" applyNumberFormat="1" applyAlignment="1">
      <alignment vertical="center" wrapText="1"/>
    </xf>
    <xf numFmtId="9" fontId="8" fillId="7" borderId="19" xfId="1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center" vertical="center"/>
    </xf>
    <xf numFmtId="0" fontId="13" fillId="12" borderId="8" xfId="0" applyFont="1" applyFill="1" applyBorder="1" applyAlignment="1">
      <alignment horizontal="center" vertical="center"/>
    </xf>
  </cellXfs>
  <cellStyles count="5">
    <cellStyle name="Comma" xfId="4" builtinId="3"/>
    <cellStyle name="Hyperlink" xfId="2" builtinId="8"/>
    <cellStyle name="Normal" xfId="0" builtinId="0"/>
    <cellStyle name="Normal 2" xfId="3" xr:uid="{63F376A4-BF9B-4AAE-BC6B-71A44FBBA0F0}"/>
    <cellStyle name="Percent" xfId="1" builtinId="5"/>
  </cellStyles>
  <dxfs count="76"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FDEDDF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</dxfs>
  <tableStyles count="1" defaultTableStyle="TableStyleMedium2" defaultPivotStyle="PivotStyleLight16">
    <tableStyle name="Invisible" pivot="0" table="0" count="0" xr9:uid="{D3CE16C2-C5E8-4BA3-ADEF-A77FA65A30C0}"/>
  </tableStyles>
  <colors>
    <mruColors>
      <color rgb="FFFEA8B4"/>
      <color rgb="FFFFA7A7"/>
      <color rgb="FFFFBDBD"/>
      <color rgb="FFFFCCCC"/>
      <color rgb="FFDAE9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30603</xdr:colOff>
      <xdr:row>9</xdr:row>
      <xdr:rowOff>0</xdr:rowOff>
    </xdr:from>
    <xdr:ext cx="168910" cy="457200"/>
    <xdr:sp macro="" textlink="">
      <xdr:nvSpPr>
        <xdr:cNvPr id="6" name="Text Box 9">
          <a:extLst>
            <a:ext uri="{FF2B5EF4-FFF2-40B4-BE49-F238E27FC236}">
              <a16:creationId xmlns:a16="http://schemas.microsoft.com/office/drawing/2014/main" id="{66A5FF33-407B-49E8-8614-F699ACF4D4C8}"/>
            </a:ext>
          </a:extLst>
        </xdr:cNvPr>
        <xdr:cNvSpPr txBox="1">
          <a:spLocks noChangeArrowheads="1"/>
        </xdr:cNvSpPr>
      </xdr:nvSpPr>
      <xdr:spPr bwMode="auto">
        <a:xfrm>
          <a:off x="3065903" y="2116455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712470</xdr:colOff>
      <xdr:row>1</xdr:row>
      <xdr:rowOff>124248</xdr:rowOff>
    </xdr:to>
    <xdr:pic>
      <xdr:nvPicPr>
        <xdr:cNvPr id="42" name="Picture 50">
          <a:extLst>
            <a:ext uri="{FF2B5EF4-FFF2-40B4-BE49-F238E27FC236}">
              <a16:creationId xmlns:a16="http://schemas.microsoft.com/office/drawing/2014/main" id="{8AA87287-CF21-4334-8844-1A55E74935F4}"/>
            </a:ext>
            <a:ext uri="{147F2762-F138-4A5C-976F-8EAC2B608ADB}">
              <a16:predDERef xmlns:a16="http://schemas.microsoft.com/office/drawing/2014/main" pred="{66A5FF33-407B-49E8-8614-F699ACF4D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4375" cy="390525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37</xdr:row>
      <xdr:rowOff>0</xdr:rowOff>
    </xdr:from>
    <xdr:ext cx="168910" cy="457200"/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68254669-F1BB-4BCB-887B-E635322C609C}"/>
            </a:ext>
          </a:extLst>
        </xdr:cNvPr>
        <xdr:cNvSpPr txBox="1">
          <a:spLocks noChangeArrowheads="1"/>
        </xdr:cNvSpPr>
      </xdr:nvSpPr>
      <xdr:spPr bwMode="auto">
        <a:xfrm>
          <a:off x="3645370" y="2500802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37</xdr:row>
      <xdr:rowOff>0</xdr:rowOff>
    </xdr:from>
    <xdr:ext cx="167005" cy="457200"/>
    <xdr:sp macro="" textlink="">
      <xdr:nvSpPr>
        <xdr:cNvPr id="53" name="Text Box 13">
          <a:extLst>
            <a:ext uri="{FF2B5EF4-FFF2-40B4-BE49-F238E27FC236}">
              <a16:creationId xmlns:a16="http://schemas.microsoft.com/office/drawing/2014/main" id="{4C948301-AFCA-44D9-9DA7-CC5A213B0E9D}"/>
            </a:ext>
          </a:extLst>
        </xdr:cNvPr>
        <xdr:cNvSpPr txBox="1">
          <a:spLocks noChangeArrowheads="1"/>
        </xdr:cNvSpPr>
      </xdr:nvSpPr>
      <xdr:spPr bwMode="auto">
        <a:xfrm>
          <a:off x="11754007" y="2500802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37</xdr:row>
      <xdr:rowOff>0</xdr:rowOff>
    </xdr:from>
    <xdr:ext cx="167005" cy="457200"/>
    <xdr:sp macro="" textlink="">
      <xdr:nvSpPr>
        <xdr:cNvPr id="54" name="Text Box 13">
          <a:extLst>
            <a:ext uri="{FF2B5EF4-FFF2-40B4-BE49-F238E27FC236}">
              <a16:creationId xmlns:a16="http://schemas.microsoft.com/office/drawing/2014/main" id="{116A1A48-CEA4-4611-AC24-4AB7240A3806}"/>
            </a:ext>
          </a:extLst>
        </xdr:cNvPr>
        <xdr:cNvSpPr txBox="1">
          <a:spLocks noChangeArrowheads="1"/>
        </xdr:cNvSpPr>
      </xdr:nvSpPr>
      <xdr:spPr bwMode="auto">
        <a:xfrm>
          <a:off x="11754007" y="2500802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570284</xdr:colOff>
      <xdr:row>37</xdr:row>
      <xdr:rowOff>0</xdr:rowOff>
    </xdr:from>
    <xdr:ext cx="152400" cy="457200"/>
    <xdr:sp macro="" textlink="">
      <xdr:nvSpPr>
        <xdr:cNvPr id="55" name="Text Box 13">
          <a:extLst>
            <a:ext uri="{FF2B5EF4-FFF2-40B4-BE49-F238E27FC236}">
              <a16:creationId xmlns:a16="http://schemas.microsoft.com/office/drawing/2014/main" id="{D9F3EA65-E7CF-4B2D-8675-9340CF099B47}"/>
            </a:ext>
          </a:extLst>
        </xdr:cNvPr>
        <xdr:cNvSpPr txBox="1">
          <a:spLocks noChangeArrowheads="1"/>
        </xdr:cNvSpPr>
      </xdr:nvSpPr>
      <xdr:spPr bwMode="auto">
        <a:xfrm>
          <a:off x="11733741" y="2500802"/>
          <a:ext cx="152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30603</xdr:colOff>
      <xdr:row>37</xdr:row>
      <xdr:rowOff>0</xdr:rowOff>
    </xdr:from>
    <xdr:ext cx="168910" cy="457200"/>
    <xdr:sp macro="" textlink="">
      <xdr:nvSpPr>
        <xdr:cNvPr id="56" name="Text Box 9">
          <a:extLst>
            <a:ext uri="{FF2B5EF4-FFF2-40B4-BE49-F238E27FC236}">
              <a16:creationId xmlns:a16="http://schemas.microsoft.com/office/drawing/2014/main" id="{7B629A2C-F615-4455-B8A0-C69C1167395F}"/>
            </a:ext>
          </a:extLst>
        </xdr:cNvPr>
        <xdr:cNvSpPr txBox="1">
          <a:spLocks noChangeArrowheads="1"/>
        </xdr:cNvSpPr>
      </xdr:nvSpPr>
      <xdr:spPr bwMode="auto">
        <a:xfrm>
          <a:off x="3675973" y="2500802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168910" cy="457200"/>
    <xdr:sp macro="" textlink="">
      <xdr:nvSpPr>
        <xdr:cNvPr id="104" name="Text Box 9">
          <a:extLst>
            <a:ext uri="{FF2B5EF4-FFF2-40B4-BE49-F238E27FC236}">
              <a16:creationId xmlns:a16="http://schemas.microsoft.com/office/drawing/2014/main" id="{E2D4CF1D-6DCD-4D38-9E0D-BD98F826B03E}"/>
            </a:ext>
          </a:extLst>
        </xdr:cNvPr>
        <xdr:cNvSpPr txBox="1">
          <a:spLocks noChangeArrowheads="1"/>
        </xdr:cNvSpPr>
      </xdr:nvSpPr>
      <xdr:spPr bwMode="auto">
        <a:xfrm>
          <a:off x="3911914" y="270463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44</xdr:row>
      <xdr:rowOff>0</xdr:rowOff>
    </xdr:from>
    <xdr:ext cx="167005" cy="457200"/>
    <xdr:sp macro="" textlink="">
      <xdr:nvSpPr>
        <xdr:cNvPr id="102" name="Text Box 13">
          <a:extLst>
            <a:ext uri="{FF2B5EF4-FFF2-40B4-BE49-F238E27FC236}">
              <a16:creationId xmlns:a16="http://schemas.microsoft.com/office/drawing/2014/main" id="{A54B10CF-4350-4BE8-B1DE-3128EFD013E5}"/>
            </a:ext>
          </a:extLst>
        </xdr:cNvPr>
        <xdr:cNvSpPr txBox="1">
          <a:spLocks noChangeArrowheads="1"/>
        </xdr:cNvSpPr>
      </xdr:nvSpPr>
      <xdr:spPr bwMode="auto">
        <a:xfrm>
          <a:off x="12373328" y="2704630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44</xdr:row>
      <xdr:rowOff>0</xdr:rowOff>
    </xdr:from>
    <xdr:ext cx="167005" cy="457200"/>
    <xdr:sp macro="" textlink="">
      <xdr:nvSpPr>
        <xdr:cNvPr id="101" name="Text Box 13">
          <a:extLst>
            <a:ext uri="{FF2B5EF4-FFF2-40B4-BE49-F238E27FC236}">
              <a16:creationId xmlns:a16="http://schemas.microsoft.com/office/drawing/2014/main" id="{C4F94CB7-FBC9-448F-9F21-B87F328C90C5}"/>
            </a:ext>
          </a:extLst>
        </xdr:cNvPr>
        <xdr:cNvSpPr txBox="1">
          <a:spLocks noChangeArrowheads="1"/>
        </xdr:cNvSpPr>
      </xdr:nvSpPr>
      <xdr:spPr bwMode="auto">
        <a:xfrm>
          <a:off x="12373328" y="2704630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570284</xdr:colOff>
      <xdr:row>44</xdr:row>
      <xdr:rowOff>0</xdr:rowOff>
    </xdr:from>
    <xdr:ext cx="152400" cy="457200"/>
    <xdr:sp macro="" textlink="">
      <xdr:nvSpPr>
        <xdr:cNvPr id="100" name="Text Box 13">
          <a:extLst>
            <a:ext uri="{FF2B5EF4-FFF2-40B4-BE49-F238E27FC236}">
              <a16:creationId xmlns:a16="http://schemas.microsoft.com/office/drawing/2014/main" id="{F9E43704-A3DA-47B8-A44E-550DAADDD210}"/>
            </a:ext>
          </a:extLst>
        </xdr:cNvPr>
        <xdr:cNvSpPr txBox="1">
          <a:spLocks noChangeArrowheads="1"/>
        </xdr:cNvSpPr>
      </xdr:nvSpPr>
      <xdr:spPr bwMode="auto">
        <a:xfrm>
          <a:off x="12353062" y="2704630"/>
          <a:ext cx="152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30603</xdr:colOff>
      <xdr:row>44</xdr:row>
      <xdr:rowOff>0</xdr:rowOff>
    </xdr:from>
    <xdr:ext cx="168910" cy="457200"/>
    <xdr:sp macro="" textlink="">
      <xdr:nvSpPr>
        <xdr:cNvPr id="103" name="Text Box 9">
          <a:extLst>
            <a:ext uri="{FF2B5EF4-FFF2-40B4-BE49-F238E27FC236}">
              <a16:creationId xmlns:a16="http://schemas.microsoft.com/office/drawing/2014/main" id="{D88B398D-3438-49EF-839D-62873D37C5E3}"/>
            </a:ext>
          </a:extLst>
        </xdr:cNvPr>
        <xdr:cNvSpPr txBox="1">
          <a:spLocks noChangeArrowheads="1"/>
        </xdr:cNvSpPr>
      </xdr:nvSpPr>
      <xdr:spPr bwMode="auto">
        <a:xfrm>
          <a:off x="3942517" y="270463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0</xdr:colOff>
      <xdr:row>9</xdr:row>
      <xdr:rowOff>0</xdr:rowOff>
    </xdr:from>
    <xdr:ext cx="168910" cy="457200"/>
    <xdr:sp macro="" textlink="">
      <xdr:nvSpPr>
        <xdr:cNvPr id="7" name="Text Box 9">
          <a:extLst>
            <a:ext uri="{FF2B5EF4-FFF2-40B4-BE49-F238E27FC236}">
              <a16:creationId xmlns:a16="http://schemas.microsoft.com/office/drawing/2014/main" id="{FA8522C2-A298-4DE4-BA1C-FAF232FA1FF4}"/>
            </a:ext>
          </a:extLst>
        </xdr:cNvPr>
        <xdr:cNvSpPr txBox="1">
          <a:spLocks noChangeArrowheads="1"/>
        </xdr:cNvSpPr>
      </xdr:nvSpPr>
      <xdr:spPr bwMode="auto">
        <a:xfrm>
          <a:off x="4468813" y="268287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30603</xdr:colOff>
      <xdr:row>9</xdr:row>
      <xdr:rowOff>0</xdr:rowOff>
    </xdr:from>
    <xdr:ext cx="168910" cy="457200"/>
    <xdr:sp macro="" textlink="">
      <xdr:nvSpPr>
        <xdr:cNvPr id="8" name="Text Box 9">
          <a:extLst>
            <a:ext uri="{FF2B5EF4-FFF2-40B4-BE49-F238E27FC236}">
              <a16:creationId xmlns:a16="http://schemas.microsoft.com/office/drawing/2014/main" id="{266DC05A-88BB-4DE0-912F-ED02A6241DEF}"/>
            </a:ext>
          </a:extLst>
        </xdr:cNvPr>
        <xdr:cNvSpPr txBox="1">
          <a:spLocks noChangeArrowheads="1"/>
        </xdr:cNvSpPr>
      </xdr:nvSpPr>
      <xdr:spPr bwMode="auto">
        <a:xfrm>
          <a:off x="4499416" y="268287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0</xdr:colOff>
      <xdr:row>37</xdr:row>
      <xdr:rowOff>0</xdr:rowOff>
    </xdr:from>
    <xdr:ext cx="168910" cy="457200"/>
    <xdr:sp macro="" textlink="">
      <xdr:nvSpPr>
        <xdr:cNvPr id="9" name="Text Box 9">
          <a:extLst>
            <a:ext uri="{FF2B5EF4-FFF2-40B4-BE49-F238E27FC236}">
              <a16:creationId xmlns:a16="http://schemas.microsoft.com/office/drawing/2014/main" id="{B35F42EE-8908-480D-AB6D-D72616D5D3C0}"/>
            </a:ext>
          </a:extLst>
        </xdr:cNvPr>
        <xdr:cNvSpPr txBox="1">
          <a:spLocks noChangeArrowheads="1"/>
        </xdr:cNvSpPr>
      </xdr:nvSpPr>
      <xdr:spPr bwMode="auto">
        <a:xfrm>
          <a:off x="4468813" y="6262688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30603</xdr:colOff>
      <xdr:row>37</xdr:row>
      <xdr:rowOff>0</xdr:rowOff>
    </xdr:from>
    <xdr:ext cx="168910" cy="457200"/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D54EC289-D4BE-4E32-92FA-E789AAEE649F}"/>
            </a:ext>
          </a:extLst>
        </xdr:cNvPr>
        <xdr:cNvSpPr txBox="1">
          <a:spLocks noChangeArrowheads="1"/>
        </xdr:cNvSpPr>
      </xdr:nvSpPr>
      <xdr:spPr bwMode="auto">
        <a:xfrm>
          <a:off x="4499416" y="6262688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28</xdr:col>
      <xdr:colOff>134937</xdr:colOff>
      <xdr:row>44</xdr:row>
      <xdr:rowOff>71438</xdr:rowOff>
    </xdr:from>
    <xdr:ext cx="168910" cy="457200"/>
    <xdr:sp macro="" textlink="">
      <xdr:nvSpPr>
        <xdr:cNvPr id="11" name="Text Box 9">
          <a:extLst>
            <a:ext uri="{FF2B5EF4-FFF2-40B4-BE49-F238E27FC236}">
              <a16:creationId xmlns:a16="http://schemas.microsoft.com/office/drawing/2014/main" id="{1F44824B-DAEA-4C22-8AFB-4BF77B57515A}"/>
            </a:ext>
          </a:extLst>
        </xdr:cNvPr>
        <xdr:cNvSpPr txBox="1">
          <a:spLocks noChangeArrowheads="1"/>
        </xdr:cNvSpPr>
      </xdr:nvSpPr>
      <xdr:spPr bwMode="auto">
        <a:xfrm>
          <a:off x="35107562" y="7485063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9</xdr:row>
      <xdr:rowOff>0</xdr:rowOff>
    </xdr:from>
    <xdr:ext cx="168910" cy="457200"/>
    <xdr:sp macro="" textlink="">
      <xdr:nvSpPr>
        <xdr:cNvPr id="13" name="Text Box 9">
          <a:extLst>
            <a:ext uri="{FF2B5EF4-FFF2-40B4-BE49-F238E27FC236}">
              <a16:creationId xmlns:a16="http://schemas.microsoft.com/office/drawing/2014/main" id="{1FF6270D-2C28-4A66-89E7-D3E8D4B572A5}"/>
            </a:ext>
          </a:extLst>
        </xdr:cNvPr>
        <xdr:cNvSpPr txBox="1">
          <a:spLocks noChangeArrowheads="1"/>
        </xdr:cNvSpPr>
      </xdr:nvSpPr>
      <xdr:spPr bwMode="auto">
        <a:xfrm>
          <a:off x="33821688" y="268287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9</xdr:row>
      <xdr:rowOff>0</xdr:rowOff>
    </xdr:from>
    <xdr:ext cx="168910" cy="457200"/>
    <xdr:sp macro="" textlink="">
      <xdr:nvSpPr>
        <xdr:cNvPr id="41" name="Text Box 9">
          <a:extLst>
            <a:ext uri="{FF2B5EF4-FFF2-40B4-BE49-F238E27FC236}">
              <a16:creationId xmlns:a16="http://schemas.microsoft.com/office/drawing/2014/main" id="{DAE906C8-8CF9-45C0-BEFF-20BF26EA614D}"/>
            </a:ext>
            <a:ext uri="{147F2762-F138-4A5C-976F-8EAC2B608ADB}">
              <a16:predDERef xmlns:a16="http://schemas.microsoft.com/office/drawing/2014/main" pred="{1FF6270D-2C28-4A66-89E7-D3E8D4B572A5}"/>
            </a:ext>
          </a:extLst>
        </xdr:cNvPr>
        <xdr:cNvSpPr txBox="1">
          <a:spLocks noChangeArrowheads="1"/>
        </xdr:cNvSpPr>
      </xdr:nvSpPr>
      <xdr:spPr bwMode="auto">
        <a:xfrm>
          <a:off x="33852291" y="268287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23</xdr:col>
      <xdr:colOff>0</xdr:colOff>
      <xdr:row>37</xdr:row>
      <xdr:rowOff>0</xdr:rowOff>
    </xdr:from>
    <xdr:ext cx="168910" cy="457200"/>
    <xdr:sp macro="" textlink="">
      <xdr:nvSpPr>
        <xdr:cNvPr id="15" name="Text Box 9">
          <a:extLst>
            <a:ext uri="{FF2B5EF4-FFF2-40B4-BE49-F238E27FC236}">
              <a16:creationId xmlns:a16="http://schemas.microsoft.com/office/drawing/2014/main" id="{F0FE6146-2DC1-4117-AD06-787A443BF57A}"/>
            </a:ext>
          </a:extLst>
        </xdr:cNvPr>
        <xdr:cNvSpPr txBox="1">
          <a:spLocks noChangeArrowheads="1"/>
        </xdr:cNvSpPr>
      </xdr:nvSpPr>
      <xdr:spPr bwMode="auto">
        <a:xfrm>
          <a:off x="33821688" y="7183438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37</xdr:row>
      <xdr:rowOff>0</xdr:rowOff>
    </xdr:from>
    <xdr:ext cx="168910" cy="457200"/>
    <xdr:sp macro="" textlink="">
      <xdr:nvSpPr>
        <xdr:cNvPr id="16" name="Text Box 9">
          <a:extLst>
            <a:ext uri="{FF2B5EF4-FFF2-40B4-BE49-F238E27FC236}">
              <a16:creationId xmlns:a16="http://schemas.microsoft.com/office/drawing/2014/main" id="{22419F92-AB04-4098-A5F7-3F01CACA9CB0}"/>
            </a:ext>
          </a:extLst>
        </xdr:cNvPr>
        <xdr:cNvSpPr txBox="1">
          <a:spLocks noChangeArrowheads="1"/>
        </xdr:cNvSpPr>
      </xdr:nvSpPr>
      <xdr:spPr bwMode="auto">
        <a:xfrm>
          <a:off x="33852291" y="7183438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44</xdr:row>
      <xdr:rowOff>0</xdr:rowOff>
    </xdr:from>
    <xdr:ext cx="168910" cy="457200"/>
    <xdr:sp macro="" textlink="">
      <xdr:nvSpPr>
        <xdr:cNvPr id="99" name="Text Box 9">
          <a:extLst>
            <a:ext uri="{FF2B5EF4-FFF2-40B4-BE49-F238E27FC236}">
              <a16:creationId xmlns:a16="http://schemas.microsoft.com/office/drawing/2014/main" id="{A562F6FB-0664-4AA1-8D3E-2401BE7E20A5}"/>
            </a:ext>
          </a:extLst>
        </xdr:cNvPr>
        <xdr:cNvSpPr txBox="1">
          <a:spLocks noChangeArrowheads="1"/>
        </xdr:cNvSpPr>
      </xdr:nvSpPr>
      <xdr:spPr bwMode="auto">
        <a:xfrm>
          <a:off x="33821688" y="9199563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0</xdr:colOff>
      <xdr:row>46</xdr:row>
      <xdr:rowOff>0</xdr:rowOff>
    </xdr:from>
    <xdr:ext cx="168910" cy="457200"/>
    <xdr:sp macro="" textlink="">
      <xdr:nvSpPr>
        <xdr:cNvPr id="95" name="Text Box 9">
          <a:extLst>
            <a:ext uri="{FF2B5EF4-FFF2-40B4-BE49-F238E27FC236}">
              <a16:creationId xmlns:a16="http://schemas.microsoft.com/office/drawing/2014/main" id="{AEA3B9E4-AD1A-4F1E-B5CC-C303ADCF6502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46</xdr:row>
      <xdr:rowOff>0</xdr:rowOff>
    </xdr:from>
    <xdr:ext cx="168910" cy="457200"/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22A1B50C-EECC-4C63-B92A-258E15E00768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50</xdr:row>
      <xdr:rowOff>0</xdr:rowOff>
    </xdr:from>
    <xdr:ext cx="167005" cy="457200"/>
    <xdr:sp macro="" textlink="">
      <xdr:nvSpPr>
        <xdr:cNvPr id="92" name="Text Box 13">
          <a:extLst>
            <a:ext uri="{FF2B5EF4-FFF2-40B4-BE49-F238E27FC236}">
              <a16:creationId xmlns:a16="http://schemas.microsoft.com/office/drawing/2014/main" id="{031DB216-CF5E-46BE-B8E9-B41C6729B972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50</xdr:row>
      <xdr:rowOff>0</xdr:rowOff>
    </xdr:from>
    <xdr:ext cx="167005" cy="457200"/>
    <xdr:sp macro="" textlink="">
      <xdr:nvSpPr>
        <xdr:cNvPr id="91" name="Text Box 13">
          <a:extLst>
            <a:ext uri="{FF2B5EF4-FFF2-40B4-BE49-F238E27FC236}">
              <a16:creationId xmlns:a16="http://schemas.microsoft.com/office/drawing/2014/main" id="{F77042A5-5237-405E-A86D-F2C5473FF77D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570284</xdr:colOff>
      <xdr:row>50</xdr:row>
      <xdr:rowOff>0</xdr:rowOff>
    </xdr:from>
    <xdr:ext cx="152400" cy="457200"/>
    <xdr:sp macro="" textlink="">
      <xdr:nvSpPr>
        <xdr:cNvPr id="90" name="Text Box 13">
          <a:extLst>
            <a:ext uri="{FF2B5EF4-FFF2-40B4-BE49-F238E27FC236}">
              <a16:creationId xmlns:a16="http://schemas.microsoft.com/office/drawing/2014/main" id="{3CB7A0E3-7E1C-4689-9A71-EE7504CFD0D7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52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0</xdr:colOff>
      <xdr:row>50</xdr:row>
      <xdr:rowOff>0</xdr:rowOff>
    </xdr:from>
    <xdr:ext cx="168910" cy="457200"/>
    <xdr:sp macro="" textlink="">
      <xdr:nvSpPr>
        <xdr:cNvPr id="89" name="Text Box 9">
          <a:extLst>
            <a:ext uri="{FF2B5EF4-FFF2-40B4-BE49-F238E27FC236}">
              <a16:creationId xmlns:a16="http://schemas.microsoft.com/office/drawing/2014/main" id="{B11AE881-C4FF-46B8-A100-A67FCF197766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30603</xdr:colOff>
      <xdr:row>50</xdr:row>
      <xdr:rowOff>0</xdr:rowOff>
    </xdr:from>
    <xdr:ext cx="168910" cy="457200"/>
    <xdr:sp macro="" textlink="">
      <xdr:nvSpPr>
        <xdr:cNvPr id="88" name="Text Box 9">
          <a:extLst>
            <a:ext uri="{FF2B5EF4-FFF2-40B4-BE49-F238E27FC236}">
              <a16:creationId xmlns:a16="http://schemas.microsoft.com/office/drawing/2014/main" id="{71503F24-D25E-4EE7-AE1B-EE07551AF797}"/>
            </a:ext>
          </a:extLst>
        </xdr:cNvPr>
        <xdr:cNvSpPr txBox="1">
          <a:spLocks noChangeArrowheads="1"/>
        </xdr:cNvSpPr>
      </xdr:nvSpPr>
      <xdr:spPr bwMode="auto">
        <a:xfrm>
          <a:off x="9047603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50</xdr:row>
      <xdr:rowOff>0</xdr:rowOff>
    </xdr:from>
    <xdr:ext cx="168910" cy="457200"/>
    <xdr:sp macro="" textlink="">
      <xdr:nvSpPr>
        <xdr:cNvPr id="87" name="Text Box 9">
          <a:extLst>
            <a:ext uri="{FF2B5EF4-FFF2-40B4-BE49-F238E27FC236}">
              <a16:creationId xmlns:a16="http://schemas.microsoft.com/office/drawing/2014/main" id="{98CBE1E2-FE89-4DA1-A4BB-92FE17D35B2B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50</xdr:row>
      <xdr:rowOff>0</xdr:rowOff>
    </xdr:from>
    <xdr:ext cx="168910" cy="457200"/>
    <xdr:sp macro="" textlink="">
      <xdr:nvSpPr>
        <xdr:cNvPr id="86" name="Text Box 9">
          <a:extLst>
            <a:ext uri="{FF2B5EF4-FFF2-40B4-BE49-F238E27FC236}">
              <a16:creationId xmlns:a16="http://schemas.microsoft.com/office/drawing/2014/main" id="{3B7A2D64-2CC6-4E05-8CD8-9E4BF56EA901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168910" cy="457200"/>
    <xdr:sp macro="" textlink="">
      <xdr:nvSpPr>
        <xdr:cNvPr id="32" name="Text Box 9">
          <a:extLst>
            <a:ext uri="{FF2B5EF4-FFF2-40B4-BE49-F238E27FC236}">
              <a16:creationId xmlns:a16="http://schemas.microsoft.com/office/drawing/2014/main" id="{BD6D17A4-AFBC-4006-8728-DB77D0A25B31}"/>
            </a:ext>
          </a:extLst>
        </xdr:cNvPr>
        <xdr:cNvSpPr txBox="1">
          <a:spLocks noChangeArrowheads="1"/>
        </xdr:cNvSpPr>
      </xdr:nvSpPr>
      <xdr:spPr bwMode="auto">
        <a:xfrm>
          <a:off x="4468813" y="741362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30603</xdr:colOff>
      <xdr:row>67</xdr:row>
      <xdr:rowOff>0</xdr:rowOff>
    </xdr:from>
    <xdr:ext cx="168910" cy="457200"/>
    <xdr:sp macro="" textlink="">
      <xdr:nvSpPr>
        <xdr:cNvPr id="33" name="Text Box 9">
          <a:extLst>
            <a:ext uri="{FF2B5EF4-FFF2-40B4-BE49-F238E27FC236}">
              <a16:creationId xmlns:a16="http://schemas.microsoft.com/office/drawing/2014/main" id="{2F7C74C7-CEDB-4CDE-AAE6-2087C6A9D502}"/>
            </a:ext>
          </a:extLst>
        </xdr:cNvPr>
        <xdr:cNvSpPr txBox="1">
          <a:spLocks noChangeArrowheads="1"/>
        </xdr:cNvSpPr>
      </xdr:nvSpPr>
      <xdr:spPr bwMode="auto">
        <a:xfrm>
          <a:off x="4499416" y="741362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52</xdr:row>
      <xdr:rowOff>0</xdr:rowOff>
    </xdr:from>
    <xdr:ext cx="167005" cy="457200"/>
    <xdr:sp macro="" textlink="">
      <xdr:nvSpPr>
        <xdr:cNvPr id="34" name="Text Box 13">
          <a:extLst>
            <a:ext uri="{FF2B5EF4-FFF2-40B4-BE49-F238E27FC236}">
              <a16:creationId xmlns:a16="http://schemas.microsoft.com/office/drawing/2014/main" id="{43A1D103-2922-4069-9890-4E8ED2ADDCCF}"/>
            </a:ext>
          </a:extLst>
        </xdr:cNvPr>
        <xdr:cNvSpPr txBox="1">
          <a:spLocks noChangeArrowheads="1"/>
        </xdr:cNvSpPr>
      </xdr:nvSpPr>
      <xdr:spPr bwMode="auto">
        <a:xfrm>
          <a:off x="12615863" y="8540750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52</xdr:row>
      <xdr:rowOff>0</xdr:rowOff>
    </xdr:from>
    <xdr:ext cx="167005" cy="457200"/>
    <xdr:sp macro="" textlink="">
      <xdr:nvSpPr>
        <xdr:cNvPr id="35" name="Text Box 13">
          <a:extLst>
            <a:ext uri="{FF2B5EF4-FFF2-40B4-BE49-F238E27FC236}">
              <a16:creationId xmlns:a16="http://schemas.microsoft.com/office/drawing/2014/main" id="{28222A4C-4E64-4EAB-8ADA-8D91FBC04017}"/>
            </a:ext>
          </a:extLst>
        </xdr:cNvPr>
        <xdr:cNvSpPr txBox="1">
          <a:spLocks noChangeArrowheads="1"/>
        </xdr:cNvSpPr>
      </xdr:nvSpPr>
      <xdr:spPr bwMode="auto">
        <a:xfrm>
          <a:off x="12615863" y="8540750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570284</xdr:colOff>
      <xdr:row>52</xdr:row>
      <xdr:rowOff>0</xdr:rowOff>
    </xdr:from>
    <xdr:ext cx="152400" cy="457200"/>
    <xdr:sp macro="" textlink="">
      <xdr:nvSpPr>
        <xdr:cNvPr id="36" name="Text Box 13">
          <a:extLst>
            <a:ext uri="{FF2B5EF4-FFF2-40B4-BE49-F238E27FC236}">
              <a16:creationId xmlns:a16="http://schemas.microsoft.com/office/drawing/2014/main" id="{8F0BD2E7-5A4B-45B9-8A88-8EC985D322E8}"/>
            </a:ext>
          </a:extLst>
        </xdr:cNvPr>
        <xdr:cNvSpPr txBox="1">
          <a:spLocks noChangeArrowheads="1"/>
        </xdr:cNvSpPr>
      </xdr:nvSpPr>
      <xdr:spPr bwMode="auto">
        <a:xfrm>
          <a:off x="12595597" y="8540750"/>
          <a:ext cx="152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0</xdr:colOff>
      <xdr:row>52</xdr:row>
      <xdr:rowOff>0</xdr:rowOff>
    </xdr:from>
    <xdr:ext cx="168910" cy="457200"/>
    <xdr:sp macro="" textlink="">
      <xdr:nvSpPr>
        <xdr:cNvPr id="37" name="Text Box 9">
          <a:extLst>
            <a:ext uri="{FF2B5EF4-FFF2-40B4-BE49-F238E27FC236}">
              <a16:creationId xmlns:a16="http://schemas.microsoft.com/office/drawing/2014/main" id="{25F8090C-B120-4F90-B9A5-D50C5FC03338}"/>
            </a:ext>
          </a:extLst>
        </xdr:cNvPr>
        <xdr:cNvSpPr txBox="1">
          <a:spLocks noChangeArrowheads="1"/>
        </xdr:cNvSpPr>
      </xdr:nvSpPr>
      <xdr:spPr bwMode="auto">
        <a:xfrm>
          <a:off x="32385000" y="854075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30603</xdr:colOff>
      <xdr:row>52</xdr:row>
      <xdr:rowOff>0</xdr:rowOff>
    </xdr:from>
    <xdr:ext cx="168910" cy="457200"/>
    <xdr:sp macro="" textlink="">
      <xdr:nvSpPr>
        <xdr:cNvPr id="38" name="Text Box 9">
          <a:extLst>
            <a:ext uri="{FF2B5EF4-FFF2-40B4-BE49-F238E27FC236}">
              <a16:creationId xmlns:a16="http://schemas.microsoft.com/office/drawing/2014/main" id="{CB448084-136C-446C-A6D8-D8AA9B528A11}"/>
            </a:ext>
          </a:extLst>
        </xdr:cNvPr>
        <xdr:cNvSpPr txBox="1">
          <a:spLocks noChangeArrowheads="1"/>
        </xdr:cNvSpPr>
      </xdr:nvSpPr>
      <xdr:spPr bwMode="auto">
        <a:xfrm>
          <a:off x="32415603" y="854075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52</xdr:row>
      <xdr:rowOff>0</xdr:rowOff>
    </xdr:from>
    <xdr:ext cx="168910" cy="457200"/>
    <xdr:sp macro="" textlink="">
      <xdr:nvSpPr>
        <xdr:cNvPr id="39" name="Text Box 9">
          <a:extLst>
            <a:ext uri="{FF2B5EF4-FFF2-40B4-BE49-F238E27FC236}">
              <a16:creationId xmlns:a16="http://schemas.microsoft.com/office/drawing/2014/main" id="{5794816B-39A7-4ED8-8B97-F06AB9CD1FAE}"/>
            </a:ext>
          </a:extLst>
        </xdr:cNvPr>
        <xdr:cNvSpPr txBox="1">
          <a:spLocks noChangeArrowheads="1"/>
        </xdr:cNvSpPr>
      </xdr:nvSpPr>
      <xdr:spPr bwMode="auto">
        <a:xfrm>
          <a:off x="25273000" y="854075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52</xdr:row>
      <xdr:rowOff>0</xdr:rowOff>
    </xdr:from>
    <xdr:ext cx="168910" cy="457200"/>
    <xdr:sp macro="" textlink="">
      <xdr:nvSpPr>
        <xdr:cNvPr id="40" name="Text Box 9">
          <a:extLst>
            <a:ext uri="{FF2B5EF4-FFF2-40B4-BE49-F238E27FC236}">
              <a16:creationId xmlns:a16="http://schemas.microsoft.com/office/drawing/2014/main" id="{5DD64ACF-6943-4385-AA5B-D52E5B6F791F}"/>
            </a:ext>
          </a:extLst>
        </xdr:cNvPr>
        <xdr:cNvSpPr txBox="1">
          <a:spLocks noChangeArrowheads="1"/>
        </xdr:cNvSpPr>
      </xdr:nvSpPr>
      <xdr:spPr bwMode="auto">
        <a:xfrm>
          <a:off x="25273000" y="854075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41CE00-E924-4733-B76A-3C4E09FA89B8}" name="Customer_Focus" displayName="Customer_Focus" ref="A14:V20" totalsRowShown="0">
  <autoFilter ref="A14:V20" xr:uid="{BD41CE00-E924-4733-B76A-3C4E09FA89B8}"/>
  <tableColumns count="22">
    <tableColumn id="1" xr3:uid="{3CDE93FE-3575-4F2B-9D26-E6CFD0BD8FA5}" name="Core KPI's"/>
    <tableColumn id="2" xr3:uid="{4AD9CB3C-C41A-49FB-96A3-F2522596E3E9}" name="Metric Owner"/>
    <tableColumn id="3" xr3:uid="{6BF320C8-EAFA-439E-8CE6-EDF71FA9822B}" name="KPI  Definition"/>
    <tableColumn id="4" xr3:uid="{5CA1928B-5D48-475F-946F-67C579E230F7}" name="AOP 2026"/>
    <tableColumn id="5" xr3:uid="{0278EAA7-B2DD-411C-9B4F-AB669F044FB5}" name="Column1"/>
    <tableColumn id="6" xr3:uid="{4152D02C-9C44-40E5-B358-7F09524157C4}" name="Column2"/>
    <tableColumn id="7" xr3:uid="{279FD06B-2CC0-4802-B0CB-7CDA5E03A809}" name="Metric nature"/>
    <tableColumn id="8" xr3:uid="{0ABCA219-7158-480E-B845-CA4CB7311C5E}" name="Units"/>
    <tableColumn id="9" xr3:uid="{980811BB-CB29-492B-B887-17BAC286E2EC}" name="Frequency"/>
    <tableColumn id="10" xr3:uid="{EEF88A28-0DA0-46E4-B6D8-F3386AF148D5}" name="Target/_x000a_Actual"/>
    <tableColumn id="11" xr3:uid="{12D4C314-658D-4323-98C2-FC153B931F31}" name="Jan"/>
    <tableColumn id="12" xr3:uid="{7B6AEC00-9280-4707-B8F7-850A6DF1C479}" name="Feb"/>
    <tableColumn id="13" xr3:uid="{84FC03E8-4336-4E62-86AB-8C88007BEBCA}" name="Q1'26"/>
    <tableColumn id="14" xr3:uid="{962E452A-8AA1-4282-A4EC-37B3D64F1A32}" name="Apr"/>
    <tableColumn id="15" xr3:uid="{7EFE0718-51EA-4AAE-8970-BFAC67BE4256}" name="May"/>
    <tableColumn id="16" xr3:uid="{6894A5BA-1FF6-43AB-87A9-4AF64780C81B}" name="Jun"/>
    <tableColumn id="17" xr3:uid="{D7357AB5-8FB9-4F59-A0EA-52DF476E2A94}" name="Jul"/>
    <tableColumn id="18" xr3:uid="{F70C57D8-B548-4E0E-AD50-8A3D753EFA11}" name="Aug"/>
    <tableColumn id="19" xr3:uid="{416193AE-341D-434D-883B-9204BDA278C7}" name="Sep"/>
    <tableColumn id="20" xr3:uid="{53EE5108-B0D9-4E02-8E57-76133174096C}" name="Oct"/>
    <tableColumn id="21" xr3:uid="{1BB91638-8CD3-4411-991F-F1FBFB9BFCB3}" name="Nov"/>
    <tableColumn id="22" xr3:uid="{A58E320D-9C80-4CF9-AC3C-09CA2655024B}" name="De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3E2200-D023-4D90-9A3F-A0BF5DEF1B34}" name="Improve_DeliverabilityandProfitability" displayName="Improve_DeliverabilityandProfitability" ref="A22:V30" totalsRowShown="0">
  <autoFilter ref="A22:V30" xr:uid="{C33E2200-D023-4D90-9A3F-A0BF5DEF1B34}"/>
  <tableColumns count="22">
    <tableColumn id="1" xr3:uid="{EFEAD161-30C2-4CC2-958C-6FADB21779F3}" name="Core KPI's"/>
    <tableColumn id="2" xr3:uid="{E4B9AB0B-6C28-421B-9438-486D4DB4E3B2}" name="Metric Owner"/>
    <tableColumn id="3" xr3:uid="{98F8A129-AFB3-41C7-8E0D-69FEB8A8CB50}" name="KPI  Definition"/>
    <tableColumn id="4" xr3:uid="{209F48B4-5797-4F92-85A8-9DBA1704224F}" name="AOP 2026"/>
    <tableColumn id="5" xr3:uid="{BCBF99E9-BFE3-4F19-8F27-0653E17EF596}" name="Column1"/>
    <tableColumn id="6" xr3:uid="{C3179FC0-BC07-45BE-85DB-484A3934D59B}" name="Column2"/>
    <tableColumn id="7" xr3:uid="{3570EEF4-4A03-49E7-BFC2-A602F6912AC1}" name="Metric nature"/>
    <tableColumn id="8" xr3:uid="{CE51D233-A249-4136-B089-56038F59913E}" name="Units"/>
    <tableColumn id="9" xr3:uid="{8508CFE5-822C-490B-AC1D-8D184DA8A493}" name="Frequency"/>
    <tableColumn id="10" xr3:uid="{ABD6CAD4-CD29-4CE8-8D72-BA18C3885A0B}" name="Target/_x000a_Actual"/>
    <tableColumn id="11" xr3:uid="{F39B9C0E-63C4-4DC1-975D-974576B8E47A}" name="Jan"/>
    <tableColumn id="12" xr3:uid="{38FEDB98-10E2-478E-AC3E-8CB497E4DDF5}" name="Feb"/>
    <tableColumn id="13" xr3:uid="{CD7575E4-C511-4747-9141-80A4A8A49997}" name="Q1'26"/>
    <tableColumn id="14" xr3:uid="{D5533E71-4D1C-4E1B-8050-BDDCDA68551A}" name="Apr"/>
    <tableColumn id="15" xr3:uid="{08E82932-A16D-4ACB-9C70-37D1F0C8A35E}" name="May"/>
    <tableColumn id="16" xr3:uid="{D60588DE-AA42-4571-B56C-12B0BFC7DCDD}" name="Jun"/>
    <tableColumn id="17" xr3:uid="{08A46F47-CBA7-4FDF-9154-856F866E31AD}" name="Jul"/>
    <tableColumn id="18" xr3:uid="{5946AF6B-D05A-4B55-A7A4-7755761F9588}" name="Aug"/>
    <tableColumn id="19" xr3:uid="{D837788F-C048-4DD4-86A2-9A5D4E7FF2FD}" name="Sep"/>
    <tableColumn id="20" xr3:uid="{8B5BED98-0EEF-4FC0-B0BF-48AE1F8AC50D}" name="Oct"/>
    <tableColumn id="21" xr3:uid="{A5D85EB8-5D5F-4161-B95B-72FD3F24D99E}" name="Nov"/>
    <tableColumn id="22" xr3:uid="{9C2B28E1-22D9-42FD-8CBA-6D20334FD547}" name="De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63CF6F-B64E-48FE-B0A9-3B03BDCE020A}" name="Roadmap_competitivenessandInnovation_agility" displayName="Roadmap_competitivenessandInnovation_agility" ref="A32:V42" totalsRowShown="0">
  <autoFilter ref="A32:V42" xr:uid="{B263CF6F-B64E-48FE-B0A9-3B03BDCE020A}"/>
  <tableColumns count="22">
    <tableColumn id="1" xr3:uid="{CF7AABC5-C0C4-4ED2-A9A2-373D4D12AFDD}" name="Core KPI's"/>
    <tableColumn id="2" xr3:uid="{DA277416-8122-4924-A574-12462A61A5FB}" name="Metric Owner"/>
    <tableColumn id="3" xr3:uid="{55586B76-DA1E-47EE-BC22-BEE5CF78C88A}" name="KPI  Definition"/>
    <tableColumn id="4" xr3:uid="{DFAA3CAA-A961-41A2-9AE3-D198413CC30C}" name="AOP 2026"/>
    <tableColumn id="5" xr3:uid="{ACDB3CA2-1646-4C8C-8266-1DE87D5799CC}" name="Column1"/>
    <tableColumn id="6" xr3:uid="{3A312242-B71A-404F-BCF0-BFC9BE5C590E}" name="Column2"/>
    <tableColumn id="7" xr3:uid="{3BBAC42D-1E5B-4D85-A708-38FFF6BFC30F}" name="Metric nature"/>
    <tableColumn id="8" xr3:uid="{7DD5DBC6-16FD-49B1-A6A7-A2CBD0873901}" name="Units"/>
    <tableColumn id="9" xr3:uid="{51B384CC-3F84-45DF-8E91-8AE728B94D63}" name="Frequency"/>
    <tableColumn id="10" xr3:uid="{9D03784F-8560-47E8-BB3B-1D05D78435B8}" name="Target/_x000a_Actual"/>
    <tableColumn id="11" xr3:uid="{B57C43FF-7964-4FE5-9A03-17A8D375D3D4}" name="Jan"/>
    <tableColumn id="12" xr3:uid="{EC408806-FB80-4B57-A87C-0B43036C9805}" name="Feb"/>
    <tableColumn id="13" xr3:uid="{77A78A01-E439-46D5-8380-B9E306F977E9}" name="Q1'26"/>
    <tableColumn id="14" xr3:uid="{01941CB7-6400-4C0E-85CC-CF2A3CD57E01}" name="Apr"/>
    <tableColumn id="15" xr3:uid="{5960D108-ECFD-476B-AD8C-EBE20F677806}" name="May"/>
    <tableColumn id="16" xr3:uid="{40BAC1D6-957F-48D9-975E-29D49F0516FA}" name="Jun"/>
    <tableColumn id="17" xr3:uid="{A248DF76-E14F-4B61-8880-411EEEBFBDEF}" name="Jul"/>
    <tableColumn id="18" xr3:uid="{19DA8302-317D-4A3C-A68D-95E59B92AFEF}" name="Aug"/>
    <tableColumn id="19" xr3:uid="{BDF9206C-3010-4C75-9004-F821BB919CF1}" name="Sep"/>
    <tableColumn id="20" xr3:uid="{AC646EFD-4A64-429A-8CDD-981E403AF25D}" name="Oct"/>
    <tableColumn id="21" xr3:uid="{5B400C5E-D83A-4325-8647-93C5743EEC32}" name="Nov"/>
    <tableColumn id="22" xr3:uid="{AE0123A1-EBE5-4DDC-BEB6-9144676B9657}" name="De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02E9F8-2812-48E7-AB81-76E8EA403140}" name="Drive_growth_through_CommercialExcellence" displayName="Drive_growth_through_CommercialExcellence" ref="A44:V52" totalsRowShown="0">
  <autoFilter ref="A44:V52" xr:uid="{1402E9F8-2812-48E7-AB81-76E8EA403140}"/>
  <tableColumns count="22">
    <tableColumn id="1" xr3:uid="{4737BA1F-5153-40CF-B9EF-1DAC80D432A0}" name="Core KPI's"/>
    <tableColumn id="2" xr3:uid="{9FCD07B0-3EB8-42AC-AA23-D9C90F662E9D}" name="Metric Owner"/>
    <tableColumn id="3" xr3:uid="{2D94FAB2-89BD-4527-8B10-6BF4A67293D8}" name="KPI  Definition"/>
    <tableColumn id="4" xr3:uid="{6DBE16F3-328B-43F4-B71F-F106C2115BED}" name="AOP 2026"/>
    <tableColumn id="5" xr3:uid="{DF08CB05-0A91-4ED2-8E88-0F4BC44C047A}" name="Column1"/>
    <tableColumn id="6" xr3:uid="{6C791980-D836-412E-9EF2-9C4262E937C9}" name="Column2"/>
    <tableColumn id="7" xr3:uid="{8707C000-B284-441E-BC87-9A96D0D41A6A}" name="Metric nature"/>
    <tableColumn id="8" xr3:uid="{D768D901-B2D4-4D83-9DC9-DFA8164D33BB}" name="Units"/>
    <tableColumn id="9" xr3:uid="{96BEC091-A0E3-4364-9754-927A3F9CC0FB}" name="Frequency"/>
    <tableColumn id="10" xr3:uid="{FCF497A9-37BB-4DFA-AE01-D61EE3286B71}" name="Target/_x000a_Actual"/>
    <tableColumn id="11" xr3:uid="{7D2EBD04-77B7-4F5D-932E-51F36391D7BC}" name="Jan"/>
    <tableColumn id="12" xr3:uid="{8DC4B05D-2604-4BC7-88F3-B069EEE6AE09}" name="Feb"/>
    <tableColumn id="13" xr3:uid="{603A08B7-4C08-43C6-A30B-581CDE874BEC}" name="Q1'26"/>
    <tableColumn id="14" xr3:uid="{6FA8097B-17F3-4546-AC37-264951CE8E68}" name="Apr"/>
    <tableColumn id="15" xr3:uid="{AD5D2277-134F-4997-A2A2-E4BBBB03C322}" name="May"/>
    <tableColumn id="16" xr3:uid="{AD20B1CB-E5A2-496C-BCA1-13809DAE39EE}" name="Jun"/>
    <tableColumn id="17" xr3:uid="{B61B7208-8088-4066-9B09-58337A5EB776}" name="Jul"/>
    <tableColumn id="18" xr3:uid="{21C13EA6-7AC9-4ADD-8A9D-4E6B163D9D2A}" name="Aug"/>
    <tableColumn id="19" xr3:uid="{90ADE731-B14D-40F7-AE84-21FB982DB956}" name="Sep"/>
    <tableColumn id="20" xr3:uid="{712EDF95-4119-42E3-A84F-49A435F5500F}" name="Oct"/>
    <tableColumn id="21" xr3:uid="{C4A9217D-A9E4-4AA3-81CC-6B1B09FF4284}" name="Nov"/>
    <tableColumn id="22" xr3:uid="{4CEFD0A2-F38B-421C-B64C-E2325324BC3A}" name="De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0B7066-3B55-4E9A-A941-C8956344CC37}" name="Environmental_Socialand_Governance" displayName="Environmental_Socialand_Governance" ref="A55:V59" totalsRowShown="0">
  <autoFilter ref="A55:V59" xr:uid="{790B7066-3B55-4E9A-A941-C8956344CC37}"/>
  <tableColumns count="22">
    <tableColumn id="1" xr3:uid="{ED9EAF48-DE62-4B67-ACF9-66908BE4B1C0}" name="Core KPI's"/>
    <tableColumn id="2" xr3:uid="{ECCB9F55-5883-4818-850E-132EC9781ED6}" name="Metric Owner"/>
    <tableColumn id="3" xr3:uid="{9A3096EF-7010-40E8-9ED3-858BC052A454}" name="KPI  Definition"/>
    <tableColumn id="4" xr3:uid="{E590ACA8-A4C1-4630-B040-2170688D75B2}" name="AOP 2026"/>
    <tableColumn id="5" xr3:uid="{83DDF2B0-CB6C-4F3E-B5BB-A0D64E08D7AE}" name="Column1"/>
    <tableColumn id="6" xr3:uid="{74B35317-BEAB-4EAD-B0EC-F582B73E4617}" name="Column2"/>
    <tableColumn id="7" xr3:uid="{4AB859CC-2A56-4528-B760-BFD406E1635F}" name="Metric nature"/>
    <tableColumn id="8" xr3:uid="{7E06A131-F9EA-4D1F-B5B0-E63304FA9FB9}" name="Units"/>
    <tableColumn id="9" xr3:uid="{A51F0554-AC9D-41EB-9911-490F4DDB3204}" name="Frequency"/>
    <tableColumn id="10" xr3:uid="{458E726E-0F7A-4BA1-B59C-A716EBFC5628}" name="Target/_x000a_Actual">
      <calculatedColumnFormula>IF('AOP Critical'!K34="","",'AOP Critical'!K34)</calculatedColumnFormula>
    </tableColumn>
    <tableColumn id="11" xr3:uid="{055011ED-28E3-4DD3-8868-564FCCB39547}" name="Jan">
      <calculatedColumnFormula>IF('AOP Critical'!L34="","",'AOP Critical'!L34)</calculatedColumnFormula>
    </tableColumn>
    <tableColumn id="12" xr3:uid="{35284E48-B413-4471-AE6D-F3C244587EF0}" name="Feb">
      <calculatedColumnFormula>IF('AOP Critical'!M34="","",'AOP Critical'!M34)</calculatedColumnFormula>
    </tableColumn>
    <tableColumn id="13" xr3:uid="{4E837BE3-9E03-4A8F-A64C-E268A563DB71}" name="Q1'26">
      <calculatedColumnFormula>IF('AOP Critical'!N34="","",'AOP Critical'!N34)</calculatedColumnFormula>
    </tableColumn>
    <tableColumn id="14" xr3:uid="{179F9B2C-15F1-45D1-8E3C-C68D01183D4A}" name="Apr">
      <calculatedColumnFormula>IF('AOP Critical'!O34="","",'AOP Critical'!O34)</calculatedColumnFormula>
    </tableColumn>
    <tableColumn id="15" xr3:uid="{CD780B8C-0D87-4EAC-85D1-A25D3F74BA77}" name="May">
      <calculatedColumnFormula>IF('AOP Critical'!P34="","",'AOP Critical'!P34)</calculatedColumnFormula>
    </tableColumn>
    <tableColumn id="16" xr3:uid="{9701CA2C-C5A6-48CB-B086-F139090E2C34}" name="Jun">
      <calculatedColumnFormula>IF('AOP Critical'!Q34="","",'AOP Critical'!Q34)</calculatedColumnFormula>
    </tableColumn>
    <tableColumn id="17" xr3:uid="{591EB1DE-EAB6-4E64-B8DC-93B4BA420567}" name="Jul">
      <calculatedColumnFormula>IF('AOP Critical'!R34="","",'AOP Critical'!R34)</calculatedColumnFormula>
    </tableColumn>
    <tableColumn id="18" xr3:uid="{2283C7F9-CF3F-48F0-B99A-9398F2D4689B}" name="Aug">
      <calculatedColumnFormula>IF('AOP Critical'!S34="","",'AOP Critical'!S34)</calculatedColumnFormula>
    </tableColumn>
    <tableColumn id="19" xr3:uid="{43D92717-21A5-4A4D-B3E8-E20A5CA564CF}" name="Sep">
      <calculatedColumnFormula>IF('AOP Critical'!T34="","",'AOP Critical'!T34)</calculatedColumnFormula>
    </tableColumn>
    <tableColumn id="20" xr3:uid="{13BF765A-670C-43CA-9D98-6054A02004B1}" name="Oct">
      <calculatedColumnFormula>IF('AOP Critical'!U34="","",'AOP Critical'!U34)</calculatedColumnFormula>
    </tableColumn>
    <tableColumn id="21" xr3:uid="{3BD10B8E-E339-44C1-B7F2-1EA8305A1F2F}" name="Nov">
      <calculatedColumnFormula>IF('AOP Critical'!V34="","",'AOP Critical'!V34)</calculatedColumnFormula>
    </tableColumn>
    <tableColumn id="22" xr3:uid="{0406A35C-372D-4D49-9B64-1BD631B1D7C9}" name="Dec">
      <calculatedColumnFormula>IF('AOP Critical'!W34="","",'AOP Critical'!W34)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693AF1-2EE3-485B-B296-EB2AF4308A88}" name="Patient_safetyandQuality" displayName="Patient_safetyandQuality" ref="A4:V12" totalsRowShown="0">
  <autoFilter ref="A4:V12" xr:uid="{B5693AF1-2EE3-485B-B296-EB2AF4308A88}"/>
  <tableColumns count="22">
    <tableColumn id="1" xr3:uid="{8DE7E0A9-F3FA-45FF-BA9B-AFFE815BE236}" name="Core KPI's"/>
    <tableColumn id="2" xr3:uid="{AFD42B44-9B09-44AF-AF7C-DE3E45164156}" name="Metric Owner"/>
    <tableColumn id="3" xr3:uid="{EADEF137-B7D0-484B-9F5E-5075DC738745}" name="KPI  Definition"/>
    <tableColumn id="4" xr3:uid="{69B8C0CD-D7A9-4146-8529-A9ACABBC072A}" name="AOP 2026"/>
    <tableColumn id="5" xr3:uid="{89A53C7D-18A4-4463-8748-A4E664354BC4}" name="Column1"/>
    <tableColumn id="6" xr3:uid="{4DB4B0B8-FDF8-4FB0-8A2A-E611FB27ACE2}" name="Column2"/>
    <tableColumn id="7" xr3:uid="{A88B6152-E69C-4C0E-A7BE-7386A4F0D638}" name="Metric nature"/>
    <tableColumn id="8" xr3:uid="{BF1C01A8-4DBE-43C9-B305-98C68EC1F031}" name="Units"/>
    <tableColumn id="9" xr3:uid="{A7670755-09FA-4441-87D3-424F8A48202B}" name="Frequency"/>
    <tableColumn id="10" xr3:uid="{C7CF5181-6D31-4011-BDDD-0A6F0A5A0F41}" name="Target/_x000a_Actual"/>
    <tableColumn id="11" xr3:uid="{502E39B8-948B-4A40-9B5A-0693A5ABC12D}" name="Jan"/>
    <tableColumn id="12" xr3:uid="{6B0F5486-B6B8-493B-90C3-E2505C5CE9FD}" name="Feb"/>
    <tableColumn id="13" xr3:uid="{504399B0-59EF-4A09-A89B-55EEDF34B362}" name="Q1'26"/>
    <tableColumn id="14" xr3:uid="{9484783C-C0C9-43F4-9BE8-F2A3EAAEA8F1}" name="Apr"/>
    <tableColumn id="15" xr3:uid="{1690AE45-15CF-4F4B-B32B-92C31BF2F429}" name="May"/>
    <tableColumn id="16" xr3:uid="{9C21D677-88B4-4E8D-9D28-AB023DCA5111}" name="Jun"/>
    <tableColumn id="17" xr3:uid="{AAFD9978-2436-4298-A065-89E7DE9E40F2}" name="Jul"/>
    <tableColumn id="18" xr3:uid="{3D8B6804-D906-4252-A3AB-F918484009FC}" name="Aug"/>
    <tableColumn id="19" xr3:uid="{CA5D7EF6-31DF-4586-AB4B-CCB7D7A7ED64}" name="Sep"/>
    <tableColumn id="20" xr3:uid="{34BBCB2F-5941-4750-966B-BCE0D0AF4624}" name="Oct"/>
    <tableColumn id="21" xr3:uid="{EC3CA9B8-B829-45F9-90C1-501B7B754C54}" name="Nov"/>
    <tableColumn id="22" xr3:uid="{6885C2C0-3A72-4397-A338-6510C47C695D}" name="D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5823AB-7E7D-425E-B257-24F15A2DCF86}">
  <we:reference id="cba9fc06-6fc9-492e-9525-923870a3b909" version="2.0.0.0" store="EXCatalog" storeType="EXCatalog"/>
  <we:alternateReferences>
    <we:reference id="WA200010215" version="2.0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STS020210604094742/Pages/KPIDetails.aspx?aWQ9MzEyMw==" TargetMode="External"/><Relationship Id="rId13" Type="http://schemas.openxmlformats.org/officeDocument/2006/relationships/hyperlink" Target="../../../../../../STS020210604094742/Pages/KPIDetails.aspx?aWQ9Mzg=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../../../../../../STS020210604094742/Pages/KPIDetails.aspx?aWQ9MjczNA==" TargetMode="External"/><Relationship Id="rId7" Type="http://schemas.openxmlformats.org/officeDocument/2006/relationships/hyperlink" Target="../../../../../../STS020210604094742/Pages/KPIDetails.aspx?aWQ9NDU=" TargetMode="External"/><Relationship Id="rId12" Type="http://schemas.openxmlformats.org/officeDocument/2006/relationships/hyperlink" Target="../../../../../../STS020210604094742/Pages/KPIDetails.aspx?aWQ9MTk=" TargetMode="External"/><Relationship Id="rId17" Type="http://schemas.openxmlformats.org/officeDocument/2006/relationships/customProperty" Target="../customProperty2.bin"/><Relationship Id="rId2" Type="http://schemas.openxmlformats.org/officeDocument/2006/relationships/hyperlink" Target="../../../../../../STS020210604094742/Pages/KPIDetails.aspx?aWQ9MTQ=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../../../../../../STS020210604094742/Pages/KPIDetails.aspx?aWQ9NQ==" TargetMode="External"/><Relationship Id="rId6" Type="http://schemas.openxmlformats.org/officeDocument/2006/relationships/hyperlink" Target="../../../../../../STS020210604094742/Pages/KPIDetails.aspx?aWQ9OA==" TargetMode="External"/><Relationship Id="rId11" Type="http://schemas.openxmlformats.org/officeDocument/2006/relationships/hyperlink" Target="../../../../../../STS020210604094742/Pages/KPIDetails.aspx?aWQ9MjkxMA==" TargetMode="External"/><Relationship Id="rId5" Type="http://schemas.openxmlformats.org/officeDocument/2006/relationships/hyperlink" Target="../../../../../../STS020210604094742/Pages/KPIDetails.aspx?aWQ9MzAyMg==" TargetMode="External"/><Relationship Id="rId15" Type="http://schemas.openxmlformats.org/officeDocument/2006/relationships/hyperlink" Target="../../../../../../STS020210604094742/Pages/KPIDetails.aspx?aWQ9NTA=" TargetMode="External"/><Relationship Id="rId10" Type="http://schemas.openxmlformats.org/officeDocument/2006/relationships/hyperlink" Target="../../../../../../STS020210604094742/Pages/KPIDetails.aspx?aWQ9NTQ=" TargetMode="External"/><Relationship Id="rId4" Type="http://schemas.openxmlformats.org/officeDocument/2006/relationships/hyperlink" Target="../../../../../../STS020210604094742/Pages/KPIDetails.aspx?aWQ9Mjc=" TargetMode="External"/><Relationship Id="rId9" Type="http://schemas.openxmlformats.org/officeDocument/2006/relationships/hyperlink" Target="../../../../../../STS020210604094742/Pages/KPIDetails.aspx?aWQ9NTI=" TargetMode="External"/><Relationship Id="rId14" Type="http://schemas.openxmlformats.org/officeDocument/2006/relationships/hyperlink" Target="../../../../../../STS020210604094742/Pages/KPIDetails.aspx?aWQ9MTA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D843-49A7-417E-9F24-86908363EFA2}">
  <sheetPr codeName="Sheet2"/>
  <dimension ref="A1:V59"/>
  <sheetViews>
    <sheetView zoomScale="94" zoomScaleNormal="94" workbookViewId="0">
      <pane xSplit="1" topLeftCell="I1" activePane="topRight" state="frozen"/>
      <selection pane="topRight"/>
    </sheetView>
  </sheetViews>
  <sheetFormatPr defaultRowHeight="14.5" x14ac:dyDescent="0.35"/>
  <cols>
    <col min="1" max="1" width="38.1796875" bestFit="1" customWidth="1"/>
    <col min="2" max="2" width="24" bestFit="1" customWidth="1"/>
    <col min="3" max="3" width="55.26953125" bestFit="1" customWidth="1"/>
    <col min="4" max="4" width="48.54296875" customWidth="1"/>
    <col min="5" max="6" width="10.453125" customWidth="1"/>
    <col min="7" max="7" width="13.81640625" customWidth="1"/>
    <col min="9" max="9" width="11.54296875" customWidth="1"/>
    <col min="10" max="10" width="13.81640625" customWidth="1"/>
  </cols>
  <sheetData>
    <row r="1" spans="1:22" ht="16" x14ac:dyDescent="0.4">
      <c r="A1" s="66" t="s">
        <v>0</v>
      </c>
    </row>
    <row r="3" spans="1:22" x14ac:dyDescent="0.35">
      <c r="A3" s="6" t="s">
        <v>1</v>
      </c>
    </row>
    <row r="4" spans="1:22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</row>
    <row r="5" spans="1:22" x14ac:dyDescent="0.35">
      <c r="A5" t="str">
        <f>IF('AOP Critical'!B6="","",'AOP Critical'!B6)</f>
        <v>Complaint Closure</v>
      </c>
      <c r="B5" t="str">
        <f>IF('AOP Critical'!C6="","",'AOP Critical'!C6)</f>
        <v>Neena S</v>
      </c>
      <c r="C5" t="str">
        <f>IF('AOP Critical'!D6="","",'AOP Critical'!D6)</f>
        <v>% Complaints Open &gt; 90 days</v>
      </c>
      <c r="D5">
        <f>IF('AOP Critical'!E6="","",'AOP Critical'!E6)</f>
        <v>10</v>
      </c>
      <c r="E5" t="str">
        <f>IF('AOP Critical'!F6="","",'AOP Critical'!F6)</f>
        <v/>
      </c>
      <c r="G5" t="str">
        <f>IF('AOP Critical'!H6="","",'AOP Critical'!H6)</f>
        <v>Lower the better</v>
      </c>
      <c r="H5" t="str">
        <f>IF('AOP Critical'!I6="","",'AOP Critical'!I6)</f>
        <v>%</v>
      </c>
      <c r="I5" t="str">
        <f>IF('AOP Critical'!J6="","",'AOP Critical'!J6)</f>
        <v>Monthly</v>
      </c>
      <c r="J5" t="str">
        <f>IF('AOP Critical'!K6="","",'AOP Critical'!K6)</f>
        <v>T</v>
      </c>
      <c r="K5" s="68">
        <f>IF('AOP Critical'!L6="","",'AOP Critical'!L6)</f>
        <v>0.08</v>
      </c>
      <c r="L5" s="68">
        <f>IF('AOP Critical'!M6="","",'AOP Critical'!M6)</f>
        <v>0.08</v>
      </c>
      <c r="M5" s="68">
        <f>IF('AOP Critical'!N6="","",'AOP Critical'!N6)</f>
        <v>0.08</v>
      </c>
      <c r="N5" s="68">
        <f>IF('AOP Critical'!O6="","",'AOP Critical'!O6)</f>
        <v>7.0000000000000007E-2</v>
      </c>
      <c r="O5" s="68">
        <f>IF('AOP Critical'!P6="","",'AOP Critical'!P6)</f>
        <v>7.0000000000000007E-2</v>
      </c>
      <c r="P5" s="68">
        <f>IF('AOP Critical'!Q6="","",'AOP Critical'!Q6)</f>
        <v>7.0000000000000007E-2</v>
      </c>
      <c r="Q5" s="68">
        <f>IF('AOP Critical'!R6="","",'AOP Critical'!R6)</f>
        <v>0.06</v>
      </c>
      <c r="R5" s="68">
        <f>IF('AOP Critical'!S6="","",'AOP Critical'!S6)</f>
        <v>0.06</v>
      </c>
      <c r="S5" s="68">
        <f>IF('AOP Critical'!T6="","",'AOP Critical'!T6)</f>
        <v>0.06</v>
      </c>
      <c r="T5" s="68">
        <f>IF('AOP Critical'!U6="","",'AOP Critical'!U6)</f>
        <v>0.05</v>
      </c>
      <c r="U5" s="68">
        <f>IF('AOP Critical'!V6="","",'AOP Critical'!V6)</f>
        <v>0.05</v>
      </c>
      <c r="V5" s="68">
        <f>IF('AOP Critical'!W6="","",'AOP Critical'!W6)</f>
        <v>0.05</v>
      </c>
    </row>
    <row r="6" spans="1:22" x14ac:dyDescent="0.35">
      <c r="A6" t="str">
        <f>IF('AOP Critical'!B6="","",'AOP Critical'!B6)</f>
        <v>Complaint Closure</v>
      </c>
      <c r="B6" t="str">
        <f>IF('AOP Critical'!C6="","",'AOP Critical'!C6)</f>
        <v>Neena S</v>
      </c>
      <c r="C6" t="str">
        <f>IF('AOP Critical'!D6="","",'AOP Critical'!D6)</f>
        <v>% Complaints Open &gt; 90 days</v>
      </c>
      <c r="D6">
        <f>IF('AOP Critical'!E6="","",'AOP Critical'!E6)</f>
        <v>10</v>
      </c>
      <c r="E6" t="str">
        <f>IF('AOP Critical'!F6="","",'AOP Critical'!F6)</f>
        <v/>
      </c>
      <c r="G6" t="str">
        <f>IF('AOP Critical'!H6="","",'AOP Critical'!H6)</f>
        <v>Lower the better</v>
      </c>
      <c r="H6" t="str">
        <f>IF('AOP Critical'!I6="","",'AOP Critical'!I6)</f>
        <v>%</v>
      </c>
      <c r="I6" t="str">
        <f>IF('AOP Critical'!J6="","",'AOP Critical'!J6)</f>
        <v>Monthly</v>
      </c>
      <c r="J6" t="str">
        <f>IF('AOP Critical'!K7="","",'AOP Critical'!K7)</f>
        <v>A</v>
      </c>
      <c r="K6" s="67">
        <f>IF('AOP Critical'!L7="","",'AOP Critical'!L7)</f>
        <v>3.7999999999999999E-2</v>
      </c>
      <c r="L6" s="67">
        <f>IF('AOP Critical'!M7="","",'AOP Critical'!M7)</f>
        <v>3.7999999999999999E-2</v>
      </c>
      <c r="M6" s="67">
        <f>IF('AOP Critical'!N7="","",'AOP Critical'!N7)</f>
        <v>2.8000000000000001E-2</v>
      </c>
      <c r="N6" s="67">
        <f>IF('AOP Critical'!O7="","",'AOP Critical'!O7)</f>
        <v>2.5999999999999999E-2</v>
      </c>
      <c r="O6" s="67">
        <f>IF('AOP Critical'!P7="","",'AOP Critical'!P7)</f>
        <v>2.5999999999999999E-2</v>
      </c>
      <c r="P6" s="67">
        <f>IF('AOP Critical'!Q7="","",'AOP Critical'!Q7)</f>
        <v>0.03</v>
      </c>
      <c r="Q6" s="67">
        <f>IF('AOP Critical'!R7="","",'AOP Critical'!R7)</f>
        <v>3.1E-2</v>
      </c>
      <c r="R6" s="67">
        <f>IF('AOP Critical'!S7="","",'AOP Critical'!S7)</f>
        <v>3.5000000000000003E-2</v>
      </c>
      <c r="S6" s="67">
        <f>IF('AOP Critical'!T7="","",'AOP Critical'!T7)</f>
        <v>3.5000000000000003E-2</v>
      </c>
      <c r="T6" s="67" t="str">
        <f>IF('AOP Critical'!U7="","",'AOP Critical'!U7)</f>
        <v/>
      </c>
      <c r="U6" s="67" t="str">
        <f>IF('AOP Critical'!V7="","",'AOP Critical'!V7)</f>
        <v/>
      </c>
      <c r="V6" s="67">
        <f>IF('AOP Critical'!W7="","",'AOP Critical'!W7)</f>
        <v>7.0000000000000007E-2</v>
      </c>
    </row>
    <row r="7" spans="1:22" x14ac:dyDescent="0.35">
      <c r="A7" t="str">
        <f>IF('AOP Critical'!B8="","",'AOP Critical'!B8)</f>
        <v>% of CAPA investgation</v>
      </c>
      <c r="B7" t="str">
        <f>IF('AOP Critical'!C8="","",'AOP Critical'!C8)</f>
        <v>Neena S</v>
      </c>
      <c r="C7" t="str">
        <f>IF('AOP Critical'!D8="","",'AOP Critical'!D8)</f>
        <v>CAPA investigations ≤ 90 days</v>
      </c>
      <c r="D7">
        <f>IF('AOP Critical'!E8="","",'AOP Critical'!E8)</f>
        <v>90</v>
      </c>
      <c r="E7" t="str">
        <f>IF('AOP Critical'!F8="","",'AOP Critical'!F8)</f>
        <v/>
      </c>
      <c r="G7" t="str">
        <f>IF('AOP Critical'!H8="","",'AOP Critical'!H8)</f>
        <v>Higher the better</v>
      </c>
      <c r="H7" t="str">
        <f>IF('AOP Critical'!I8="","",'AOP Critical'!I8)</f>
        <v>%</v>
      </c>
      <c r="I7" t="str">
        <f>IF('AOP Critical'!J8="","",'AOP Critical'!J8)</f>
        <v>Monthly</v>
      </c>
      <c r="J7" t="str">
        <f>IF('AOP Critical'!K8="","",'AOP Critical'!K8)</f>
        <v>T</v>
      </c>
      <c r="K7" s="69">
        <f>IF('AOP Critical'!L8="","",'AOP Critical'!L8)</f>
        <v>0.9</v>
      </c>
      <c r="L7" s="69">
        <f>IF('AOP Critical'!M8="","",'AOP Critical'!M8)</f>
        <v>0.9</v>
      </c>
      <c r="M7" s="69">
        <f>IF('AOP Critical'!N8="","",'AOP Critical'!N8)</f>
        <v>0.9</v>
      </c>
      <c r="N7" s="69">
        <f>IF('AOP Critical'!O8="","",'AOP Critical'!O8)</f>
        <v>0.9</v>
      </c>
      <c r="O7" s="69">
        <f>IF('AOP Critical'!P8="","",'AOP Critical'!P8)</f>
        <v>0.9</v>
      </c>
      <c r="P7" s="69">
        <f>IF('AOP Critical'!Q8="","",'AOP Critical'!Q8)</f>
        <v>0.9</v>
      </c>
      <c r="Q7" s="69">
        <f>IF('AOP Critical'!R8="","",'AOP Critical'!R8)</f>
        <v>0.9</v>
      </c>
      <c r="R7" s="69">
        <f>IF('AOP Critical'!S8="","",'AOP Critical'!S8)</f>
        <v>0.9</v>
      </c>
      <c r="S7" s="69">
        <f>IF('AOP Critical'!T8="","",'AOP Critical'!T8)</f>
        <v>0.9</v>
      </c>
      <c r="T7" s="69" t="str">
        <f>IF('AOP Critical'!U8="","",'AOP Critical'!U8)</f>
        <v/>
      </c>
      <c r="U7" s="69" t="str">
        <f>IF('AOP Critical'!V8="","",'AOP Critical'!V8)</f>
        <v/>
      </c>
      <c r="V7" s="69" t="str">
        <f>IF('AOP Critical'!W8="","",'AOP Critical'!W8)</f>
        <v/>
      </c>
    </row>
    <row r="8" spans="1:22" x14ac:dyDescent="0.35">
      <c r="A8" t="str">
        <f>IF('AOP Critical'!B8="","",'AOP Critical'!B8)</f>
        <v>% of CAPA investgation</v>
      </c>
      <c r="B8" t="str">
        <f>IF('AOP Critical'!C8="","",'AOP Critical'!C8)</f>
        <v>Neena S</v>
      </c>
      <c r="C8" t="str">
        <f>IF('AOP Critical'!D8="","",'AOP Critical'!D8)</f>
        <v>CAPA investigations ≤ 90 days</v>
      </c>
      <c r="D8">
        <f>IF('AOP Critical'!E8="","",'AOP Critical'!E8)</f>
        <v>90</v>
      </c>
      <c r="E8" t="str">
        <f>IF('AOP Critical'!F8="","",'AOP Critical'!F8)</f>
        <v/>
      </c>
      <c r="G8" t="str">
        <f>IF('AOP Critical'!H8="","",'AOP Critical'!H8)</f>
        <v>Higher the better</v>
      </c>
      <c r="H8" t="str">
        <f>IF('AOP Critical'!I8="","",'AOP Critical'!I8)</f>
        <v>%</v>
      </c>
      <c r="I8" t="str">
        <f>IF('AOP Critical'!J8="","",'AOP Critical'!J8)</f>
        <v>Monthly</v>
      </c>
      <c r="J8" t="str">
        <f>IF('AOP Critical'!K9="","",'AOP Critical'!K9)</f>
        <v>A</v>
      </c>
      <c r="K8" s="70">
        <f>IF('AOP Critical'!L9="","",'AOP Critical'!L9)</f>
        <v>1</v>
      </c>
      <c r="L8" s="70">
        <f>IF('AOP Critical'!M9="","",'AOP Critical'!M9)</f>
        <v>0.75</v>
      </c>
      <c r="M8" s="70">
        <f>IF('AOP Critical'!N9="","",'AOP Critical'!N9)</f>
        <v>0.4</v>
      </c>
      <c r="N8" s="70">
        <f>IF('AOP Critical'!O9="","",'AOP Critical'!O9)</f>
        <v>0</v>
      </c>
      <c r="O8" s="70">
        <f>IF('AOP Critical'!P9="","",'AOP Critical'!P9)</f>
        <v>0</v>
      </c>
      <c r="P8" s="70">
        <f>IF('AOP Critical'!Q9="","",'AOP Critical'!Q9)</f>
        <v>0</v>
      </c>
      <c r="Q8" s="70">
        <f>IF('AOP Critical'!R9="","",'AOP Critical'!R9)</f>
        <v>1</v>
      </c>
      <c r="R8" s="70">
        <f>IF('AOP Critical'!S9="","",'AOP Critical'!S9)</f>
        <v>1</v>
      </c>
      <c r="S8" s="70">
        <f>IF('AOP Critical'!T9="","",'AOP Critical'!T9)</f>
        <v>1</v>
      </c>
      <c r="T8" s="70" t="str">
        <f>IF('AOP Critical'!U9="","",'AOP Critical'!U9)</f>
        <v/>
      </c>
      <c r="U8" s="70" t="str">
        <f>IF('AOP Critical'!V9="","",'AOP Critical'!V9)</f>
        <v/>
      </c>
      <c r="V8" s="70" t="str">
        <f>IF('AOP Critical'!W9="","",'AOP Critical'!W9)</f>
        <v/>
      </c>
    </row>
    <row r="9" spans="1:22" x14ac:dyDescent="0.35">
      <c r="A9" t="str">
        <f>IF('AOP Critical'!B10="","",'AOP Critical'!B10)</f>
        <v xml:space="preserve"># of Corrections &amp; Removals </v>
      </c>
      <c r="B9" t="str">
        <f>IF('AOP Critical'!C10="","",'AOP Critical'!C10)</f>
        <v>Neena S</v>
      </c>
      <c r="C9" t="str">
        <f>IF('AOP Critical'!D10="","",'AOP Critical'!D10)</f>
        <v>C&amp;R Implementation miss per global due date</v>
      </c>
      <c r="D9">
        <f>IF('AOP Critical'!E10="","",'AOP Critical'!E10)</f>
        <v>1</v>
      </c>
      <c r="E9" t="str">
        <f>IF('AOP Critical'!F10="","",'AOP Critical'!F10)</f>
        <v/>
      </c>
      <c r="G9" t="str">
        <f>IF('AOP Critical'!H10="","",'AOP Critical'!H10)</f>
        <v>Lower the better</v>
      </c>
      <c r="H9" t="str">
        <f>IF('AOP Critical'!I10="","",'AOP Critical'!I10)</f>
        <v>No.</v>
      </c>
      <c r="I9" t="str">
        <f>IF('AOP Critical'!J10="","",'AOP Critical'!J10)</f>
        <v>Monthly</v>
      </c>
      <c r="J9" t="str">
        <f>IF('AOP Critical'!K10="","",'AOP Critical'!K10)</f>
        <v>T</v>
      </c>
      <c r="K9">
        <f>IF('AOP Critical'!L10="","",'AOP Critical'!L10)</f>
        <v>1</v>
      </c>
      <c r="L9">
        <f>IF('AOP Critical'!M10="","",'AOP Critical'!M10)</f>
        <v>1</v>
      </c>
      <c r="M9">
        <f>IF('AOP Critical'!N10="","",'AOP Critical'!N10)</f>
        <v>1</v>
      </c>
      <c r="N9">
        <f>IF('AOP Critical'!O10="","",'AOP Critical'!O10)</f>
        <v>1</v>
      </c>
      <c r="O9">
        <f>IF('AOP Critical'!P10="","",'AOP Critical'!P10)</f>
        <v>1</v>
      </c>
      <c r="P9">
        <f>IF('AOP Critical'!Q10="","",'AOP Critical'!Q10)</f>
        <v>1</v>
      </c>
      <c r="Q9">
        <f>IF('AOP Critical'!R10="","",'AOP Critical'!R10)</f>
        <v>1</v>
      </c>
      <c r="R9">
        <f>IF('AOP Critical'!S10="","",'AOP Critical'!S10)</f>
        <v>1</v>
      </c>
      <c r="S9">
        <f>IF('AOP Critical'!T10="","",'AOP Critical'!T10)</f>
        <v>1</v>
      </c>
      <c r="T9" t="str">
        <f>IF('AOP Critical'!U10="","",'AOP Critical'!U10)</f>
        <v/>
      </c>
      <c r="U9" t="str">
        <f>IF('AOP Critical'!V10="","",'AOP Critical'!V10)</f>
        <v/>
      </c>
      <c r="V9" t="str">
        <f>IF('AOP Critical'!W10="","",'AOP Critical'!W10)</f>
        <v/>
      </c>
    </row>
    <row r="10" spans="1:22" x14ac:dyDescent="0.35">
      <c r="A10" t="str">
        <f>IF('AOP Critical'!B10="","",'AOP Critical'!B10)</f>
        <v xml:space="preserve"># of Corrections &amp; Removals </v>
      </c>
      <c r="B10" t="str">
        <f>IF('AOP Critical'!C10="","",'AOP Critical'!C10)</f>
        <v>Neena S</v>
      </c>
      <c r="C10" t="str">
        <f>IF('AOP Critical'!D10="","",'AOP Critical'!D10)</f>
        <v>C&amp;R Implementation miss per global due date</v>
      </c>
      <c r="D10">
        <f>IF('AOP Critical'!E10="","",'AOP Critical'!E10)</f>
        <v>1</v>
      </c>
      <c r="E10" t="str">
        <f>IF('AOP Critical'!F10="","",'AOP Critical'!F10)</f>
        <v/>
      </c>
      <c r="G10" t="str">
        <f>IF('AOP Critical'!H10="","",'AOP Critical'!H10)</f>
        <v>Lower the better</v>
      </c>
      <c r="H10" t="str">
        <f>IF('AOP Critical'!I10="","",'AOP Critical'!I10)</f>
        <v>No.</v>
      </c>
      <c r="I10" t="str">
        <f>IF('AOP Critical'!J10="","",'AOP Critical'!J10)</f>
        <v>Monthly</v>
      </c>
      <c r="J10" t="str">
        <f>IF('AOP Critical'!K11="","",'AOP Critical'!K11)</f>
        <v>A</v>
      </c>
      <c r="K10">
        <f>IF('AOP Critical'!L11="","",'AOP Critical'!L11)</f>
        <v>2</v>
      </c>
      <c r="L10">
        <f>IF('AOP Critical'!M11="","",'AOP Critical'!M11)</f>
        <v>1</v>
      </c>
      <c r="M10">
        <f>IF('AOP Critical'!N11="","",'AOP Critical'!N11)</f>
        <v>1</v>
      </c>
      <c r="N10">
        <f>IF('AOP Critical'!O11="","",'AOP Critical'!O11)</f>
        <v>0</v>
      </c>
      <c r="O10">
        <f>IF('AOP Critical'!P11="","",'AOP Critical'!P11)</f>
        <v>0</v>
      </c>
      <c r="P10">
        <f>IF('AOP Critical'!Q11="","",'AOP Critical'!Q11)</f>
        <v>0</v>
      </c>
      <c r="Q10">
        <f>IF('AOP Critical'!R11="","",'AOP Critical'!R11)</f>
        <v>0</v>
      </c>
      <c r="R10">
        <f>IF('AOP Critical'!S11="","",'AOP Critical'!S11)</f>
        <v>0</v>
      </c>
      <c r="S10">
        <f>IF('AOP Critical'!T11="","",'AOP Critical'!T11)</f>
        <v>0</v>
      </c>
      <c r="T10" t="str">
        <f>IF('AOP Critical'!U11="","",'AOP Critical'!U11)</f>
        <v/>
      </c>
      <c r="U10" t="str">
        <f>IF('AOP Critical'!V11="","",'AOP Critical'!V11)</f>
        <v/>
      </c>
      <c r="V10" t="str">
        <f>IF('AOP Critical'!W11="","",'AOP Critical'!W11)</f>
        <v/>
      </c>
    </row>
    <row r="11" spans="1:22" x14ac:dyDescent="0.35">
      <c r="A11" t="str">
        <f>IF('AOP Critical'!B41="","",'AOP Critical'!B41)</f>
        <v>Cost Of Non-Quality as % of Sales</v>
      </c>
      <c r="B11" t="str">
        <f>IF('AOP Critical'!C41="","",'AOP Critical'!C41)</f>
        <v>Neena S</v>
      </c>
      <c r="C11" t="str">
        <f>IF('AOP Critical'!D41="","",'AOP Critical'!D41)</f>
        <v>Cost of FCO, Warranty, Obsolescence, Scrap and Rework.</v>
      </c>
      <c r="D11" t="str">
        <f>IF('AOP Critical'!E41="","",'AOP Critical'!E41)</f>
        <v>TBD</v>
      </c>
      <c r="E11" t="str">
        <f>IF('AOP Critical'!F41="","",'AOP Critical'!F41)</f>
        <v>TBD</v>
      </c>
      <c r="G11" t="str">
        <f>IF('AOP Critical'!H41="","",'AOP Critical'!H41)</f>
        <v>Lower the better</v>
      </c>
      <c r="H11" t="str">
        <f>IF('AOP Critical'!I41="","",'AOP Critical'!I41)</f>
        <v>%</v>
      </c>
      <c r="I11" t="str">
        <f>IF('AOP Critical'!J41="","",'AOP Critical'!J41)</f>
        <v>Monthly</v>
      </c>
      <c r="J11" t="str">
        <f>IF('AOP Critical'!K41="","",'AOP Critical'!K41)</f>
        <v>T</v>
      </c>
      <c r="K11" s="71">
        <f>IF('AOP Critical'!L41="","",'AOP Critical'!L41)</f>
        <v>1.9099999999999999E-2</v>
      </c>
      <c r="L11" s="71">
        <f>IF('AOP Critical'!M41="","",'AOP Critical'!M41)</f>
        <v>4.07E-2</v>
      </c>
      <c r="M11" s="71">
        <f>IF('AOP Critical'!N41="","",'AOP Critical'!N41)</f>
        <v>4.6199999999999998E-2</v>
      </c>
      <c r="N11" s="71">
        <f>IF('AOP Critical'!O41="","",'AOP Critical'!O41)</f>
        <v>3.8600000000000002E-2</v>
      </c>
      <c r="O11" s="71">
        <f>IF('AOP Critical'!P41="","",'AOP Critical'!P41)</f>
        <v>3.5299999999999998E-2</v>
      </c>
      <c r="P11" s="71">
        <f>IF('AOP Critical'!Q41="","",'AOP Critical'!Q41)</f>
        <v>2.7099999999999999E-2</v>
      </c>
      <c r="Q11" s="71">
        <f>IF('AOP Critical'!R41="","",'AOP Critical'!R41)</f>
        <v>2.5100000000000001E-2</v>
      </c>
      <c r="R11" s="71">
        <f>IF('AOP Critical'!S41="","",'AOP Critical'!S41)</f>
        <v>2.41E-2</v>
      </c>
      <c r="S11" s="71">
        <f>IF('AOP Critical'!T41="","",'AOP Critical'!T41)</f>
        <v>3.1600000000000003E-2</v>
      </c>
      <c r="T11" s="71">
        <f>IF('AOP Critical'!U41="","",'AOP Critical'!U41)</f>
        <v>3.1099999999999999E-2</v>
      </c>
      <c r="U11" s="71">
        <f>IF('AOP Critical'!V41="","",'AOP Critical'!V41)</f>
        <v>3.5700000000000003E-2</v>
      </c>
      <c r="V11" s="71">
        <f>IF('AOP Critical'!W41="","",'AOP Critical'!W41)</f>
        <v>3.32E-2</v>
      </c>
    </row>
    <row r="12" spans="1:22" x14ac:dyDescent="0.35">
      <c r="A12" t="str">
        <f>IF('AOP Critical'!B41="","",'AOP Critical'!B41)</f>
        <v>Cost Of Non-Quality as % of Sales</v>
      </c>
      <c r="B12" t="str">
        <f>IF('AOP Critical'!C41="","",'AOP Critical'!C41)</f>
        <v>Neena S</v>
      </c>
      <c r="C12" t="str">
        <f>IF('AOP Critical'!D41="","",'AOP Critical'!D41)</f>
        <v>Cost of FCO, Warranty, Obsolescence, Scrap and Rework.</v>
      </c>
      <c r="D12" t="str">
        <f>IF('AOP Critical'!E41="","",'AOP Critical'!E41)</f>
        <v>TBD</v>
      </c>
      <c r="E12" t="str">
        <f>IF('AOP Critical'!F41="","",'AOP Critical'!F41)</f>
        <v>TBD</v>
      </c>
      <c r="G12" t="str">
        <f>IF('AOP Critical'!H41="","",'AOP Critical'!H41)</f>
        <v>Lower the better</v>
      </c>
      <c r="H12" t="str">
        <f>IF('AOP Critical'!I41="","",'AOP Critical'!I41)</f>
        <v>%</v>
      </c>
      <c r="I12" t="str">
        <f>IF('AOP Critical'!J41="","",'AOP Critical'!J41)</f>
        <v>Monthly</v>
      </c>
      <c r="J12" t="str">
        <f>IF('AOP Critical'!K42="","",'AOP Critical'!K42)</f>
        <v>A</v>
      </c>
      <c r="K12" s="71">
        <f>IF('AOP Critical'!L42="","",'AOP Critical'!L42)</f>
        <v>9.1999999999999998E-3</v>
      </c>
      <c r="L12" s="71">
        <f>IF('AOP Critical'!M42="","",'AOP Critical'!M42)</f>
        <v>1.5800000000000002E-2</v>
      </c>
      <c r="M12" s="71">
        <f>IF('AOP Critical'!N42="","",'AOP Critical'!N42)</f>
        <v>1.7600000000000001E-2</v>
      </c>
      <c r="N12" s="71">
        <f>IF('AOP Critical'!O42="","",'AOP Critical'!O42)</f>
        <v>1.5800000000000002E-2</v>
      </c>
      <c r="O12" s="71">
        <f>IF('AOP Critical'!P42="","",'AOP Critical'!P42)</f>
        <v>8.6E-3</v>
      </c>
      <c r="P12" s="71">
        <f>IF('AOP Critical'!Q42="","",'AOP Critical'!Q42)</f>
        <v>1.2699999999999999E-2</v>
      </c>
      <c r="Q12" s="71">
        <f>IF('AOP Critical'!R42="","",'AOP Critical'!R42)</f>
        <v>1.3299999999999999E-2</v>
      </c>
      <c r="R12" s="71">
        <f>IF('AOP Critical'!S42="","",'AOP Critical'!S42)</f>
        <v>1.3899999999999999E-2</v>
      </c>
      <c r="S12" s="71">
        <f>IF('AOP Critical'!T42="","",'AOP Critical'!T42)</f>
        <v>1.7000000000000001E-2</v>
      </c>
      <c r="T12" s="71" t="str">
        <f>IF('AOP Critical'!U42="","",'AOP Critical'!U42)</f>
        <v/>
      </c>
      <c r="U12" s="71" t="str">
        <f>IF('AOP Critical'!V42="","",'AOP Critical'!V42)</f>
        <v/>
      </c>
      <c r="V12" s="71" t="str">
        <f>IF('AOP Critical'!W42="","",'AOP Critical'!W42)</f>
        <v/>
      </c>
    </row>
    <row r="13" spans="1:22" x14ac:dyDescent="0.35">
      <c r="A13" s="6" t="s">
        <v>24</v>
      </c>
    </row>
    <row r="14" spans="1:22" x14ac:dyDescent="0.3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  <c r="J14" t="s">
        <v>11</v>
      </c>
      <c r="K14" t="s">
        <v>12</v>
      </c>
      <c r="L14" t="s">
        <v>13</v>
      </c>
      <c r="M14" t="s">
        <v>14</v>
      </c>
      <c r="N14" t="s">
        <v>15</v>
      </c>
      <c r="O14" t="s">
        <v>16</v>
      </c>
      <c r="P14" t="s">
        <v>17</v>
      </c>
      <c r="Q14" t="s">
        <v>18</v>
      </c>
      <c r="R14" t="s">
        <v>19</v>
      </c>
      <c r="S14" t="s">
        <v>20</v>
      </c>
      <c r="T14" t="s">
        <v>21</v>
      </c>
      <c r="U14" t="s">
        <v>22</v>
      </c>
      <c r="V14" t="s">
        <v>23</v>
      </c>
    </row>
    <row r="15" spans="1:22" x14ac:dyDescent="0.35">
      <c r="A15" t="str">
        <f>IF('AOP Critical'!B12="","",'AOP Critical'!B12)</f>
        <v>Ontime In Full</v>
      </c>
      <c r="B15" t="str">
        <f>IF('AOP Critical'!C12="","",'AOP Critical'!C12)</f>
        <v>Rupali J</v>
      </c>
      <c r="C15" t="str">
        <f>IF('AOP Critical'!D12="","",'AOP Critical'!D12)</f>
        <v>On Time In Full Z4-Z10</v>
      </c>
      <c r="D15">
        <f>IF('AOP Critical'!E12="","",'AOP Critical'!E12)</f>
        <v>84</v>
      </c>
      <c r="E15" t="str">
        <f>IF('AOP Critical'!F12="","",'AOP Critical'!F12)</f>
        <v/>
      </c>
      <c r="F15" t="str">
        <f>IF('AOP Critical'!G12="","",'AOP Critical'!G12)</f>
        <v/>
      </c>
      <c r="G15" t="str">
        <f>IF('AOP Critical'!H12="","",'AOP Critical'!H12)</f>
        <v>Higher the better</v>
      </c>
      <c r="H15" t="str">
        <f>IF('AOP Critical'!I12="","",'AOP Critical'!I12)</f>
        <v>%</v>
      </c>
      <c r="I15" t="str">
        <f>IF('AOP Critical'!J12="","",'AOP Critical'!J12)</f>
        <v>Monthly</v>
      </c>
      <c r="J15" t="str">
        <f>IF('AOP Critical'!K12="","",'AOP Critical'!K12)</f>
        <v>T</v>
      </c>
      <c r="K15" s="69">
        <f>IF('AOP Critical'!L12="","",'AOP Critical'!L12)</f>
        <v>0.69</v>
      </c>
      <c r="L15" s="69">
        <f>IF('AOP Critical'!M12="","",'AOP Critical'!M12)</f>
        <v>0.69</v>
      </c>
      <c r="M15" s="69">
        <f>IF('AOP Critical'!N12="","",'AOP Critical'!N12)</f>
        <v>0.69</v>
      </c>
      <c r="N15" s="69">
        <f>IF('AOP Critical'!O12="","",'AOP Critical'!O12)</f>
        <v>0.72</v>
      </c>
      <c r="O15" s="69">
        <f>IF('AOP Critical'!P12="","",'AOP Critical'!P12)</f>
        <v>0.72</v>
      </c>
      <c r="P15" s="69">
        <f>IF('AOP Critical'!Q12="","",'AOP Critical'!Q12)</f>
        <v>0.72</v>
      </c>
      <c r="Q15" s="69">
        <f>IF('AOP Critical'!R12="","",'AOP Critical'!R12)</f>
        <v>0.74</v>
      </c>
      <c r="R15" s="69">
        <f>IF('AOP Critical'!S12="","",'AOP Critical'!S12)</f>
        <v>0.74</v>
      </c>
      <c r="S15" s="69">
        <f>IF('AOP Critical'!T12="","",'AOP Critical'!T12)</f>
        <v>0.74</v>
      </c>
      <c r="T15" s="69">
        <f>IF('AOP Critical'!U12="","",'AOP Critical'!U12)</f>
        <v>0.79</v>
      </c>
      <c r="U15" s="69">
        <f>IF('AOP Critical'!V12="","",'AOP Critical'!V12)</f>
        <v>0.79</v>
      </c>
      <c r="V15" s="69">
        <f>IF('AOP Critical'!W12="","",'AOP Critical'!W12)</f>
        <v>0.79</v>
      </c>
    </row>
    <row r="16" spans="1:22" x14ac:dyDescent="0.35">
      <c r="A16" t="str">
        <f>IF('AOP Critical'!B12="","",'AOP Critical'!B12)</f>
        <v>Ontime In Full</v>
      </c>
      <c r="B16" t="str">
        <f>IF('AOP Critical'!C12="","",'AOP Critical'!C12)</f>
        <v>Rupali J</v>
      </c>
      <c r="C16" t="str">
        <f>IF('AOP Critical'!D12="","",'AOP Critical'!D12)</f>
        <v>On Time In Full Z4-Z10</v>
      </c>
      <c r="D16">
        <f>IF('AOP Critical'!E12="","",'AOP Critical'!E12)</f>
        <v>84</v>
      </c>
      <c r="E16" t="str">
        <f>IF('AOP Critical'!F12="","",'AOP Critical'!F12)</f>
        <v/>
      </c>
      <c r="F16" t="str">
        <f>IF('AOP Critical'!G12="","",'AOP Critical'!G12)</f>
        <v/>
      </c>
      <c r="G16" t="str">
        <f>IF('AOP Critical'!H12="","",'AOP Critical'!H12)</f>
        <v>Higher the better</v>
      </c>
      <c r="H16" t="str">
        <f>IF('AOP Critical'!I12="","",'AOP Critical'!I12)</f>
        <v>%</v>
      </c>
      <c r="I16" t="str">
        <f>IF('AOP Critical'!J12="","",'AOP Critical'!J12)</f>
        <v>Monthly</v>
      </c>
      <c r="J16" t="str">
        <f>IF('AOP Critical'!K13="","",'AOP Critical'!K13)</f>
        <v>A</v>
      </c>
      <c r="K16" s="69">
        <f>IF('AOP Critical'!L13="","",'AOP Critical'!L13)</f>
        <v>0.83</v>
      </c>
      <c r="L16" s="69">
        <f>IF('AOP Critical'!M13="","",'AOP Critical'!M13)</f>
        <v>0.82</v>
      </c>
      <c r="M16" s="69">
        <f>IF('AOP Critical'!N13="","",'AOP Critical'!N13)</f>
        <v>0.81</v>
      </c>
      <c r="N16" s="69">
        <f>IF('AOP Critical'!O13="","",'AOP Critical'!O13)</f>
        <v>0.6</v>
      </c>
      <c r="O16" s="69">
        <f>IF('AOP Critical'!P13="","",'AOP Critical'!P13)</f>
        <v>0.87</v>
      </c>
      <c r="P16" s="69">
        <f>IF('AOP Critical'!Q13="","",'AOP Critical'!Q13)</f>
        <v>0.77</v>
      </c>
      <c r="Q16" s="69">
        <f>IF('AOP Critical'!R13="","",'AOP Critical'!R13)</f>
        <v>0.75</v>
      </c>
      <c r="R16" s="69">
        <f>IF('AOP Critical'!S13="","",'AOP Critical'!S13)</f>
        <v>0.81</v>
      </c>
      <c r="S16" s="69">
        <f>IF('AOP Critical'!T13="","",'AOP Critical'!T13)</f>
        <v>0.89</v>
      </c>
      <c r="T16" s="69" t="str">
        <f>IF('AOP Critical'!U13="","",'AOP Critical'!U13)</f>
        <v/>
      </c>
      <c r="U16" s="69" t="str">
        <f>IF('AOP Critical'!V13="","",'AOP Critical'!V13)</f>
        <v/>
      </c>
      <c r="V16" s="69" t="str">
        <f>IF('AOP Critical'!W13="","",'AOP Critical'!W13)</f>
        <v/>
      </c>
    </row>
    <row r="17" spans="1:22" x14ac:dyDescent="0.35">
      <c r="A17" t="str">
        <f>IF('AOP Critical'!B14="","",'AOP Critical'!B14)</f>
        <v>Contract Penetration</v>
      </c>
      <c r="B17" t="str">
        <f>IF('AOP Critical'!C14="","",'AOP Critical'!C14)</f>
        <v>Sangram T</v>
      </c>
      <c r="C17" t="str">
        <f>IF('AOP Critical'!D14="","",'AOP Critical'!D14)</f>
        <v>Increase contract penetration %</v>
      </c>
      <c r="D17">
        <f>IF('AOP Critical'!E14="","",'AOP Critical'!E14)</f>
        <v>54.6</v>
      </c>
      <c r="E17" t="str">
        <f>IF('AOP Critical'!F14="","",'AOP Critical'!F14)</f>
        <v/>
      </c>
      <c r="F17" t="str">
        <f>IF('AOP Critical'!G14="","",'AOP Critical'!G14)</f>
        <v/>
      </c>
      <c r="G17" t="str">
        <f>IF('AOP Critical'!H14="","",'AOP Critical'!H14)</f>
        <v>Higher the better</v>
      </c>
      <c r="H17" t="str">
        <f>IF('AOP Critical'!I14="","",'AOP Critical'!I14)</f>
        <v>%</v>
      </c>
      <c r="I17" t="str">
        <f>IF('AOP Critical'!J14="","",'AOP Critical'!J14)</f>
        <v>Monthly</v>
      </c>
      <c r="J17" t="str">
        <f>IF('AOP Critical'!K14="","",'AOP Critical'!K14)</f>
        <v>T</v>
      </c>
      <c r="K17" s="70">
        <f>IF('AOP Critical'!L14="","",'AOP Critical'!L14)</f>
        <v>0.54249999999999998</v>
      </c>
      <c r="L17" s="70">
        <f>IF('AOP Critical'!M14="","",'AOP Critical'!M14)</f>
        <v>0.54399999999999993</v>
      </c>
      <c r="M17" s="70">
        <f>IF('AOP Critical'!N14="","",'AOP Critical'!N14)</f>
        <v>0.54549999999999987</v>
      </c>
      <c r="N17" s="70">
        <f>IF('AOP Critical'!O14="","",'AOP Critical'!O14)</f>
        <v>0.54699999999999982</v>
      </c>
      <c r="O17" s="70">
        <f>IF('AOP Critical'!P14="","",'AOP Critical'!P14)</f>
        <v>0.54849999999999977</v>
      </c>
      <c r="P17" s="70">
        <f>IF('AOP Critical'!Q14="","",'AOP Critical'!Q14)</f>
        <v>0.54999999999999971</v>
      </c>
      <c r="Q17" s="70">
        <f>IF('AOP Critical'!R14="","",'AOP Critical'!R14)</f>
        <v>0.55149999999999966</v>
      </c>
      <c r="R17" s="70">
        <f>IF('AOP Critical'!S14="","",'AOP Critical'!S14)</f>
        <v>0.54510000000000003</v>
      </c>
      <c r="S17" s="70">
        <f>IF('AOP Critical'!T14="","",'AOP Critical'!T14)</f>
        <v>0.54610000000000003</v>
      </c>
      <c r="T17" s="70" t="str">
        <f>IF('AOP Critical'!U14="","",'AOP Critical'!U14)</f>
        <v/>
      </c>
      <c r="U17" s="70" t="str">
        <f>IF('AOP Critical'!V14="","",'AOP Critical'!V14)</f>
        <v/>
      </c>
      <c r="V17" s="70" t="str">
        <f>IF('AOP Critical'!W14="","",'AOP Critical'!W14)</f>
        <v/>
      </c>
    </row>
    <row r="18" spans="1:22" x14ac:dyDescent="0.35">
      <c r="A18" t="str">
        <f>IF('AOP Critical'!B14="","",'AOP Critical'!B14)</f>
        <v>Contract Penetration</v>
      </c>
      <c r="B18" t="str">
        <f>IF('AOP Critical'!C14="","",'AOP Critical'!C14)</f>
        <v>Sangram T</v>
      </c>
      <c r="C18" t="str">
        <f>IF('AOP Critical'!D14="","",'AOP Critical'!D14)</f>
        <v>Increase contract penetration %</v>
      </c>
      <c r="D18">
        <f>IF('AOP Critical'!E14="","",'AOP Critical'!E14)</f>
        <v>54.6</v>
      </c>
      <c r="E18" t="str">
        <f>IF('AOP Critical'!F14="","",'AOP Critical'!F14)</f>
        <v/>
      </c>
      <c r="F18" t="str">
        <f>IF('AOP Critical'!G14="","",'AOP Critical'!G14)</f>
        <v/>
      </c>
      <c r="G18" t="str">
        <f>IF('AOP Critical'!H14="","",'AOP Critical'!H14)</f>
        <v>Higher the better</v>
      </c>
      <c r="H18" t="str">
        <f>IF('AOP Critical'!I14="","",'AOP Critical'!I14)</f>
        <v>%</v>
      </c>
      <c r="I18" t="str">
        <f>IF('AOP Critical'!J14="","",'AOP Critical'!J14)</f>
        <v>Monthly</v>
      </c>
      <c r="J18" t="str">
        <f>IF('AOP Critical'!K15="","",'AOP Critical'!K15)</f>
        <v>A</v>
      </c>
      <c r="K18" s="70">
        <f>IF('AOP Critical'!L15="","",'AOP Critical'!L15)</f>
        <v>0.51780000000000004</v>
      </c>
      <c r="L18" s="70">
        <f>IF('AOP Critical'!M15="","",'AOP Critical'!M15)</f>
        <v>0.54100000000000004</v>
      </c>
      <c r="M18" s="70">
        <f>IF('AOP Critical'!N15="","",'AOP Critical'!N15)</f>
        <v>0.54100000000000004</v>
      </c>
      <c r="N18" s="70">
        <f>IF('AOP Critical'!O15="","",'AOP Critical'!O15)</f>
        <v>0.53969999999999996</v>
      </c>
      <c r="O18" s="70">
        <f>IF('AOP Critical'!P15="","",'AOP Critical'!P15)</f>
        <v>0.54100000000000004</v>
      </c>
      <c r="P18" s="70">
        <f>IF('AOP Critical'!Q15="","",'AOP Critical'!Q15)</f>
        <v>0.53800000000000003</v>
      </c>
      <c r="Q18" s="70">
        <f>IF('AOP Critical'!R15="","",'AOP Critical'!R15)</f>
        <v>0.53600000000000003</v>
      </c>
      <c r="R18" s="70">
        <f>IF('AOP Critical'!S15="","",'AOP Critical'!S15)</f>
        <v>0.5363</v>
      </c>
      <c r="S18" s="70">
        <f>IF('AOP Critical'!T15="","",'AOP Critical'!T15)</f>
        <v>0.53749999999999998</v>
      </c>
      <c r="T18" s="70" t="str">
        <f>IF('AOP Critical'!U15="","",'AOP Critical'!U15)</f>
        <v/>
      </c>
      <c r="U18" s="70" t="str">
        <f>IF('AOP Critical'!V15="","",'AOP Critical'!V15)</f>
        <v/>
      </c>
      <c r="V18" s="70" t="str">
        <f>IF('AOP Critical'!W15="","",'AOP Critical'!W15)</f>
        <v/>
      </c>
    </row>
    <row r="19" spans="1:22" x14ac:dyDescent="0.35">
      <c r="A19" t="str">
        <f>IF('AOP Critical'!B49="","",'AOP Critical'!B49)</f>
        <v>Services - Time To System Up (TTSU)</v>
      </c>
      <c r="B19" t="str">
        <f>IF('AOP Critical'!C49="","",'AOP Critical'!C49)</f>
        <v>Sangram T</v>
      </c>
      <c r="C19" t="str">
        <f>IF('AOP Critical'!D49="","",'AOP Critical'!D49)</f>
        <v>% of system down cases back up &lt;48hrs</v>
      </c>
      <c r="D19">
        <f>IF('AOP Critical'!E49="","",'AOP Critical'!E49)</f>
        <v>74</v>
      </c>
      <c r="E19" t="str">
        <f>IF('AOP Critical'!F49="","",'AOP Critical'!F49)</f>
        <v>TBD</v>
      </c>
      <c r="F19" t="str">
        <f>IF('AOP Critical'!G49="","",'AOP Critical'!G49)</f>
        <v>TBD</v>
      </c>
      <c r="G19" t="str">
        <f>IF('AOP Critical'!H49="","",'AOP Critical'!H49)</f>
        <v>Higher the better</v>
      </c>
      <c r="H19" t="str">
        <f>IF('AOP Critical'!I49="","",'AOP Critical'!I49)</f>
        <v>%</v>
      </c>
      <c r="I19" t="str">
        <f>IF('AOP Critical'!J49="","",'AOP Critical'!J49)</f>
        <v>Monthly</v>
      </c>
      <c r="J19" t="str">
        <f>IF('AOP Critical'!K49="","",'AOP Critical'!K49)</f>
        <v>T</v>
      </c>
      <c r="K19" s="71">
        <f>IF('AOP Critical'!L49="","",'AOP Critical'!L49)</f>
        <v>0.73199999999999998</v>
      </c>
      <c r="L19" s="71">
        <f>IF('AOP Critical'!M49="","",'AOP Critical'!M49)</f>
        <v>0.72749999999999992</v>
      </c>
      <c r="M19" s="71">
        <f>IF('AOP Critical'!N49="","",'AOP Critical'!N49)</f>
        <v>0.7287499999999999</v>
      </c>
      <c r="N19" s="71">
        <f>IF('AOP Critical'!O49="","",'AOP Critical'!O49)</f>
        <v>0.72999999999999987</v>
      </c>
      <c r="O19" s="71">
        <f>IF('AOP Critical'!P49="","",'AOP Critical'!P49)</f>
        <v>0.73124999999999984</v>
      </c>
      <c r="P19" s="71">
        <f>IF('AOP Critical'!Q49="","",'AOP Critical'!Q49)</f>
        <v>0.73249999999999982</v>
      </c>
      <c r="Q19" s="71">
        <f>IF('AOP Critical'!R49="","",'AOP Critical'!R49)</f>
        <v>0.73374999999999979</v>
      </c>
      <c r="R19" s="71">
        <f>IF('AOP Critical'!S49="","",'AOP Critical'!S49)</f>
        <v>0.73499999999999976</v>
      </c>
      <c r="S19" s="71">
        <f>IF('AOP Critical'!T49="","",'AOP Critical'!T49)</f>
        <v>0.73624999999999974</v>
      </c>
      <c r="T19" s="71">
        <f>IF('AOP Critical'!U49="","",'AOP Critical'!U49)</f>
        <v>0.73749999999999971</v>
      </c>
      <c r="U19" s="71">
        <f>IF('AOP Critical'!V49="","",'AOP Critical'!V49)</f>
        <v>0.73874999999999968</v>
      </c>
      <c r="V19" s="71">
        <f>IF('AOP Critical'!W49="","",'AOP Critical'!W49)</f>
        <v>0.73999999999999966</v>
      </c>
    </row>
    <row r="20" spans="1:22" x14ac:dyDescent="0.35">
      <c r="A20" t="str">
        <f>IF('AOP Critical'!B49="","",'AOP Critical'!B49)</f>
        <v>Services - Time To System Up (TTSU)</v>
      </c>
      <c r="B20" t="str">
        <f>IF('AOP Critical'!C49="","",'AOP Critical'!C49)</f>
        <v>Sangram T</v>
      </c>
      <c r="C20" t="str">
        <f>IF('AOP Critical'!D49="","",'AOP Critical'!D49)</f>
        <v>% of system down cases back up &lt;48hrs</v>
      </c>
      <c r="D20">
        <f>IF('AOP Critical'!E49="","",'AOP Critical'!E49)</f>
        <v>74</v>
      </c>
      <c r="E20" t="str">
        <f>IF('AOP Critical'!F49="","",'AOP Critical'!F49)</f>
        <v>TBD</v>
      </c>
      <c r="F20" t="str">
        <f>IF('AOP Critical'!G49="","",'AOP Critical'!G49)</f>
        <v>TBD</v>
      </c>
      <c r="G20" t="str">
        <f>IF('AOP Critical'!H49="","",'AOP Critical'!H49)</f>
        <v>Higher the better</v>
      </c>
      <c r="H20" t="str">
        <f>IF('AOP Critical'!I49="","",'AOP Critical'!I49)</f>
        <v>%</v>
      </c>
      <c r="I20" t="str">
        <f>IF('AOP Critical'!J49="","",'AOP Critical'!J49)</f>
        <v>Monthly</v>
      </c>
      <c r="J20" t="str">
        <f>IF('AOP Critical'!K50="","",'AOP Critical'!K50)</f>
        <v>A</v>
      </c>
      <c r="K20" s="71">
        <f>IF('AOP Critical'!L50="","",'AOP Critical'!L50)</f>
        <v>0.69299999999999995</v>
      </c>
      <c r="L20" s="71">
        <f>IF('AOP Critical'!M50="","",'AOP Critical'!M50)</f>
        <v>0.71099999999999997</v>
      </c>
      <c r="M20" s="71">
        <f>IF('AOP Critical'!N50="","",'AOP Critical'!N50)</f>
        <v>0.72499999999999998</v>
      </c>
      <c r="N20" s="71">
        <f>IF('AOP Critical'!O50="","",'AOP Critical'!O50)</f>
        <v>0.72299999999999998</v>
      </c>
      <c r="O20" s="71">
        <f>IF('AOP Critical'!P50="","",'AOP Critical'!P50)</f>
        <v>0.73599999999999999</v>
      </c>
      <c r="P20" s="71">
        <f>IF('AOP Critical'!Q50="","",'AOP Critical'!Q50)</f>
        <v>0.74150000000000005</v>
      </c>
      <c r="Q20" s="71">
        <f>IF('AOP Critical'!R50="","",'AOP Critical'!R50)</f>
        <v>0.74099999999999999</v>
      </c>
      <c r="R20" s="71">
        <f>IF('AOP Critical'!S50="","",'AOP Critical'!S50)</f>
        <v>0.74450000000000005</v>
      </c>
      <c r="S20" s="71">
        <f>IF('AOP Critical'!T50="","",'AOP Critical'!T50)</f>
        <v>0.74770000000000003</v>
      </c>
      <c r="T20" s="71" t="str">
        <f>IF('AOP Critical'!U50="","",'AOP Critical'!U50)</f>
        <v/>
      </c>
      <c r="U20" s="71" t="str">
        <f>IF('AOP Critical'!V50="","",'AOP Critical'!V50)</f>
        <v/>
      </c>
      <c r="V20" s="71" t="str">
        <f>IF('AOP Critical'!W50="","",'AOP Critical'!W50)</f>
        <v/>
      </c>
    </row>
    <row r="21" spans="1:22" x14ac:dyDescent="0.35">
      <c r="A21" s="6" t="s">
        <v>25</v>
      </c>
    </row>
    <row r="22" spans="1:22" x14ac:dyDescent="0.35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  <c r="H22" t="s">
        <v>9</v>
      </c>
      <c r="I22" t="s">
        <v>10</v>
      </c>
      <c r="J22" t="s">
        <v>11</v>
      </c>
      <c r="K22" t="s">
        <v>12</v>
      </c>
      <c r="L22" t="s">
        <v>13</v>
      </c>
      <c r="M22" t="s">
        <v>14</v>
      </c>
      <c r="N22" t="s">
        <v>15</v>
      </c>
      <c r="O22" t="s">
        <v>16</v>
      </c>
      <c r="P22" t="s">
        <v>17</v>
      </c>
      <c r="Q22" t="s">
        <v>18</v>
      </c>
      <c r="R22" t="s">
        <v>19</v>
      </c>
      <c r="S22" t="s">
        <v>20</v>
      </c>
      <c r="T22" t="s">
        <v>21</v>
      </c>
      <c r="U22" t="s">
        <v>22</v>
      </c>
      <c r="V22" t="s">
        <v>23</v>
      </c>
    </row>
    <row r="23" spans="1:22" x14ac:dyDescent="0.35">
      <c r="A23" t="str">
        <f>IF('AOP Critical'!B16="","",'AOP Critical'!B16)</f>
        <v>Adjusted EBITA %</v>
      </c>
      <c r="B23" t="str">
        <f>IF('AOP Critical'!C16="","",'AOP Critical'!C16)</f>
        <v>Chetan L</v>
      </c>
      <c r="C23" t="str">
        <f>IF('AOP Critical'!D16="","",'AOP Critical'!D16)</f>
        <v>Adjusted EBIT per comitted 2026</v>
      </c>
      <c r="D23" t="str">
        <f>IF('AOP Critical'!E16="","",'AOP Critical'!E16)</f>
        <v>AOP</v>
      </c>
      <c r="E23" t="str">
        <f>IF('AOP Critical'!F16="","",'AOP Critical'!F16)</f>
        <v/>
      </c>
      <c r="F23" t="str">
        <f>IF('AOP Critical'!G16="","",'AOP Critical'!G16)</f>
        <v/>
      </c>
      <c r="G23" t="str">
        <f>IF('AOP Critical'!H16="","",'AOP Critical'!H16)</f>
        <v>Higher the better</v>
      </c>
      <c r="H23" t="str">
        <f>IF('AOP Critical'!I16="","",'AOP Critical'!I16)</f>
        <v>%</v>
      </c>
      <c r="I23" t="str">
        <f>IF('AOP Critical'!J16="","",'AOP Critical'!J16)</f>
        <v>Monthly</v>
      </c>
      <c r="J23" t="str">
        <f>IF('AOP Critical'!K16="","",'AOP Critical'!K16)</f>
        <v>T</v>
      </c>
      <c r="K23" s="70">
        <f>IF('AOP Critical'!L16="","",'AOP Critical'!L16)</f>
        <v>0.11774014693384624</v>
      </c>
      <c r="L23" s="70">
        <f>IF('AOP Critical'!M16="","",'AOP Critical'!M16)</f>
        <v>7.6823633140503819E-2</v>
      </c>
      <c r="M23" s="70">
        <f>IF('AOP Critical'!N16="","",'AOP Critical'!N16)</f>
        <v>7.3999999999999996E-2</v>
      </c>
      <c r="N23" s="70">
        <f>IF('AOP Critical'!O16="","",'AOP Critical'!O16)</f>
        <v>9.9962463776604421E-2</v>
      </c>
      <c r="O23" s="70">
        <f>IF('AOP Critical'!P16="","",'AOP Critical'!P16)</f>
        <v>0.1038498729590533</v>
      </c>
      <c r="P23" s="70">
        <f>IF('AOP Critical'!Q16="","",'AOP Critical'!Q16)</f>
        <v>0.11814554963094943</v>
      </c>
      <c r="Q23" s="70">
        <f>IF('AOP Critical'!R16="","",'AOP Critical'!R16)</f>
        <v>0.13344842106998206</v>
      </c>
      <c r="R23" s="70">
        <f>IF('AOP Critical'!S16="","",'AOP Critical'!S16)</f>
        <v>0.13972119594175969</v>
      </c>
      <c r="S23" s="70">
        <f>IF('AOP Critical'!T16="","",'AOP Critical'!T16)</f>
        <v>0.13600000000000001</v>
      </c>
      <c r="T23" s="70" t="str">
        <f>IF('AOP Critical'!U16="","",'AOP Critical'!U16)</f>
        <v/>
      </c>
      <c r="U23" s="70" t="str">
        <f>IF('AOP Critical'!V16="","",'AOP Critical'!V16)</f>
        <v/>
      </c>
      <c r="V23" s="70" t="str">
        <f>IF('AOP Critical'!W16="","",'AOP Critical'!W16)</f>
        <v/>
      </c>
    </row>
    <row r="24" spans="1:22" x14ac:dyDescent="0.35">
      <c r="A24" t="str">
        <f>IF('AOP Critical'!B16="","",'AOP Critical'!B16)</f>
        <v>Adjusted EBITA %</v>
      </c>
      <c r="B24" t="str">
        <f>IF('AOP Critical'!C16="","",'AOP Critical'!C16)</f>
        <v>Chetan L</v>
      </c>
      <c r="C24" t="str">
        <f>IF('AOP Critical'!D16="","",'AOP Critical'!D16)</f>
        <v>Adjusted EBIT per comitted 2026</v>
      </c>
      <c r="D24" t="str">
        <f>IF('AOP Critical'!E16="","",'AOP Critical'!E16)</f>
        <v>AOP</v>
      </c>
      <c r="E24" t="str">
        <f>IF('AOP Critical'!F16="","",'AOP Critical'!F16)</f>
        <v/>
      </c>
      <c r="F24" t="str">
        <f>IF('AOP Critical'!G16="","",'AOP Critical'!G16)</f>
        <v/>
      </c>
      <c r="G24" t="str">
        <f>IF('AOP Critical'!H16="","",'AOP Critical'!H16)</f>
        <v>Higher the better</v>
      </c>
      <c r="H24" t="str">
        <f>IF('AOP Critical'!I16="","",'AOP Critical'!I16)</f>
        <v>%</v>
      </c>
      <c r="I24" t="str">
        <f>IF('AOP Critical'!J16="","",'AOP Critical'!J16)</f>
        <v>Monthly</v>
      </c>
      <c r="J24" t="str">
        <f>IF('AOP Critical'!K17="","",'AOP Critical'!K17)</f>
        <v>A</v>
      </c>
      <c r="K24" s="70">
        <f>IF('AOP Critical'!L17="","",'AOP Critical'!L17)</f>
        <v>-4.253311543933095E-2</v>
      </c>
      <c r="L24" s="70">
        <f>IF('AOP Critical'!M17="","",'AOP Critical'!M17)</f>
        <v>7.8013174622509063E-2</v>
      </c>
      <c r="M24" s="70">
        <f>IF('AOP Critical'!N17="","",'AOP Critical'!N17)</f>
        <v>0.14699999999999999</v>
      </c>
      <c r="N24" s="70">
        <f>IF('AOP Critical'!O17="","",'AOP Critical'!O17)</f>
        <v>0.13678322320362704</v>
      </c>
      <c r="O24" s="70">
        <f>IF('AOP Critical'!P17="","",'AOP Critical'!P17)</f>
        <v>0.14558303908159406</v>
      </c>
      <c r="P24" s="70">
        <f>IF('AOP Critical'!Q17="","",'AOP Critical'!Q17)</f>
        <v>0.12590494186157489</v>
      </c>
      <c r="Q24" s="70">
        <f>IF('AOP Critical'!R17="","",'AOP Critical'!R17)</f>
        <v>0.10712720377087674</v>
      </c>
      <c r="R24" s="70">
        <f>IF('AOP Critical'!S17="","",'AOP Critical'!S17)</f>
        <v>0.12649723977955013</v>
      </c>
      <c r="S24" s="70">
        <f>IF('AOP Critical'!T17="","",'AOP Critical'!T17)</f>
        <v>0.14699999999999999</v>
      </c>
      <c r="T24" s="70" t="str">
        <f>IF('AOP Critical'!U17="","",'AOP Critical'!U17)</f>
        <v/>
      </c>
      <c r="U24" s="70" t="str">
        <f>IF('AOP Critical'!V17="","",'AOP Critical'!V17)</f>
        <v/>
      </c>
      <c r="V24" s="70" t="str">
        <f>IF('AOP Critical'!W17="","",'AOP Critical'!W17)</f>
        <v/>
      </c>
    </row>
    <row r="25" spans="1:22" x14ac:dyDescent="0.35">
      <c r="A25" t="str">
        <f>IF('AOP Critical'!B18="","",'AOP Critical'!B18)</f>
        <v>Productivity</v>
      </c>
      <c r="B25" t="str">
        <f>IF('AOP Critical'!C18="","",'AOP Critical'!C18)</f>
        <v>Chetan L</v>
      </c>
      <c r="C25" t="str">
        <f>IF('AOP Critical'!D18="","",'AOP Critical'!D18)</f>
        <v xml:space="preserve"> Monthly Cost Savings</v>
      </c>
      <c r="D25" t="str">
        <f>IF('AOP Critical'!E18="","",'AOP Critical'!E18)</f>
        <v>AOP</v>
      </c>
      <c r="E25" t="str">
        <f>IF('AOP Critical'!F18="","",'AOP Critical'!F18)</f>
        <v/>
      </c>
      <c r="F25" t="str">
        <f>IF('AOP Critical'!G18="","",'AOP Critical'!G18)</f>
        <v/>
      </c>
      <c r="G25" t="str">
        <f>IF('AOP Critical'!H18="","",'AOP Critical'!H18)</f>
        <v>Higher the better</v>
      </c>
      <c r="H25" t="str">
        <f>IF('AOP Critical'!I18="","",'AOP Critical'!I18)</f>
        <v>Mn</v>
      </c>
      <c r="I25" t="str">
        <f>IF('AOP Critical'!J18="","",'AOP Critical'!J18)</f>
        <v>Monthly</v>
      </c>
      <c r="J25" t="str">
        <f>IF('AOP Critical'!K18="","",'AOP Critical'!K18)</f>
        <v>T</v>
      </c>
      <c r="K25" s="73">
        <f>IF('AOP Critical'!L18="","",'AOP Critical'!L18)</f>
        <v>0.224</v>
      </c>
      <c r="L25" s="73">
        <f>IF('AOP Critical'!M18="","",'AOP Critical'!M18)</f>
        <v>0.35800000000000004</v>
      </c>
      <c r="M25" s="73">
        <f>IF('AOP Critical'!N18="","",'AOP Critical'!N18)</f>
        <v>0.79700000000000004</v>
      </c>
      <c r="N25" s="73">
        <f>IF('AOP Critical'!O18="","",'AOP Critical'!O18)</f>
        <v>1.0409999999999999</v>
      </c>
      <c r="O25" s="73">
        <f>IF('AOP Critical'!P18="","",'AOP Critical'!P18)</f>
        <v>1.155</v>
      </c>
      <c r="P25" s="73">
        <f>IF('AOP Critical'!Q18="","",'AOP Critical'!Q18)</f>
        <v>1.6040000000000001</v>
      </c>
      <c r="Q25" s="73">
        <f>IF('AOP Critical'!R18="","",'AOP Critical'!R18)</f>
        <v>2.4180000000000001</v>
      </c>
      <c r="R25" s="73">
        <f>IF('AOP Critical'!S18="","",'AOP Critical'!S18)</f>
        <v>2.93</v>
      </c>
      <c r="S25" s="73">
        <f>IF('AOP Critical'!T18="","",'AOP Critical'!T18)</f>
        <v>4.2699999999999996</v>
      </c>
      <c r="T25" s="73" t="str">
        <f>IF('AOP Critical'!U18="","",'AOP Critical'!U18)</f>
        <v/>
      </c>
      <c r="U25" s="73" t="str">
        <f>IF('AOP Critical'!V18="","",'AOP Critical'!V18)</f>
        <v/>
      </c>
      <c r="V25" s="73" t="str">
        <f>IF('AOP Critical'!W18="","",'AOP Critical'!W18)</f>
        <v/>
      </c>
    </row>
    <row r="26" spans="1:22" x14ac:dyDescent="0.35">
      <c r="A26" t="str">
        <f>IF('AOP Critical'!B18="","",'AOP Critical'!B18)</f>
        <v>Productivity</v>
      </c>
      <c r="B26" t="str">
        <f>IF('AOP Critical'!C18="","",'AOP Critical'!C18)</f>
        <v>Chetan L</v>
      </c>
      <c r="C26" t="str">
        <f>IF('AOP Critical'!D18="","",'AOP Critical'!D18)</f>
        <v xml:space="preserve"> Monthly Cost Savings</v>
      </c>
      <c r="D26" t="str">
        <f>IF('AOP Critical'!E18="","",'AOP Critical'!E18)</f>
        <v>AOP</v>
      </c>
      <c r="E26" t="str">
        <f>IF('AOP Critical'!F18="","",'AOP Critical'!F18)</f>
        <v/>
      </c>
      <c r="F26" t="str">
        <f>IF('AOP Critical'!G18="","",'AOP Critical'!G18)</f>
        <v/>
      </c>
      <c r="G26" t="str">
        <f>IF('AOP Critical'!H18="","",'AOP Critical'!H18)</f>
        <v>Higher the better</v>
      </c>
      <c r="H26" t="str">
        <f>IF('AOP Critical'!I18="","",'AOP Critical'!I18)</f>
        <v>Mn</v>
      </c>
      <c r="I26" t="str">
        <f>IF('AOP Critical'!J18="","",'AOP Critical'!J18)</f>
        <v>Monthly</v>
      </c>
      <c r="J26" t="str">
        <f>IF('AOP Critical'!K19="","",'AOP Critical'!K19)</f>
        <v>A</v>
      </c>
      <c r="K26" s="73">
        <f>IF('AOP Critical'!L19="","",'AOP Critical'!L19)</f>
        <v>0.2598381666666667</v>
      </c>
      <c r="L26" s="73">
        <f>IF('AOP Critical'!M19="","",'AOP Critical'!M19)</f>
        <v>0.3838381666666667</v>
      </c>
      <c r="M26" s="73">
        <f>IF('AOP Critical'!N19="","",'AOP Critical'!N19)</f>
        <v>1.1128381666666667</v>
      </c>
      <c r="N26" s="73">
        <f>IF('AOP Critical'!O19="","",'AOP Critical'!O19)</f>
        <v>1.3223861666666668</v>
      </c>
      <c r="O26" s="73">
        <f>IF('AOP Critical'!P19="","",'AOP Critical'!P19)</f>
        <v>1.6513861666666667</v>
      </c>
      <c r="P26" s="73">
        <f>IF('AOP Critical'!Q19="","",'AOP Critical'!Q19)</f>
        <v>2.1303861666666668</v>
      </c>
      <c r="Q26" s="73">
        <f>IF('AOP Critical'!R19="","",'AOP Critical'!R19)</f>
        <v>2.6433861666666667</v>
      </c>
      <c r="R26" s="73">
        <f>IF('AOP Critical'!S19="","",'AOP Critical'!S19)</f>
        <v>3.3972231666666666</v>
      </c>
      <c r="S26" s="73">
        <f>IF('AOP Critical'!T19="","",'AOP Critical'!T19)</f>
        <v>4.5205241666666662</v>
      </c>
      <c r="T26" s="73" t="str">
        <f>IF('AOP Critical'!U19="","",'AOP Critical'!U19)</f>
        <v/>
      </c>
      <c r="U26" s="73" t="str">
        <f>IF('AOP Critical'!V19="","",'AOP Critical'!V19)</f>
        <v/>
      </c>
      <c r="V26" s="73" t="str">
        <f>IF('AOP Critical'!W19="","",'AOP Critical'!W19)</f>
        <v/>
      </c>
    </row>
    <row r="27" spans="1:22" x14ac:dyDescent="0.35">
      <c r="A27" t="str">
        <f>IF('AOP Critical'!B20="","",'AOP Critical'!B20)</f>
        <v>Inventory MAT sales</v>
      </c>
      <c r="B27" t="str">
        <f>IF('AOP Critical'!C20="","",'AOP Critical'!C20)</f>
        <v>Rupali J</v>
      </c>
      <c r="C27" t="str">
        <f>IF('AOP Critical'!D20="","",'AOP Critical'!D20)</f>
        <v>Inventory as a % MAT sales</v>
      </c>
      <c r="D27" t="str">
        <f>IF('AOP Critical'!E20="","",'AOP Critical'!E20)</f>
        <v>AOP</v>
      </c>
      <c r="E27" t="str">
        <f>IF('AOP Critical'!F20="","",'AOP Critical'!F20)</f>
        <v/>
      </c>
      <c r="F27" t="str">
        <f>IF('AOP Critical'!G20="","",'AOP Critical'!G20)</f>
        <v/>
      </c>
      <c r="G27" t="str">
        <f>IF('AOP Critical'!H20="","",'AOP Critical'!H20)</f>
        <v>Lower the better</v>
      </c>
      <c r="H27" t="str">
        <f>IF('AOP Critical'!I20="","",'AOP Critical'!I20)</f>
        <v>%</v>
      </c>
      <c r="I27" t="str">
        <f>IF('AOP Critical'!J20="","",'AOP Critical'!J20)</f>
        <v>Monthly</v>
      </c>
      <c r="J27" t="str">
        <f>IF('AOP Critical'!K20="","",'AOP Critical'!K20)</f>
        <v>T</v>
      </c>
      <c r="K27" s="69">
        <f>IF('AOP Critical'!L20="","",'AOP Critical'!L20)</f>
        <v>0.28399999999999997</v>
      </c>
      <c r="L27" s="69">
        <f>IF('AOP Critical'!M20="","",'AOP Critical'!M20)</f>
        <v>0.28260000000000002</v>
      </c>
      <c r="M27" s="69">
        <f>IF('AOP Critical'!N20="","",'AOP Critical'!N20)</f>
        <v>0.28999999999999998</v>
      </c>
      <c r="N27" s="69">
        <f>IF('AOP Critical'!O20="","",'AOP Critical'!O20)</f>
        <v>0.28999999999999998</v>
      </c>
      <c r="O27" s="69">
        <f>IF('AOP Critical'!P20="","",'AOP Critical'!P20)</f>
        <v>0.27</v>
      </c>
      <c r="P27" s="69">
        <f>IF('AOP Critical'!Q20="","",'AOP Critical'!Q20)</f>
        <v>0.26</v>
      </c>
      <c r="Q27" s="69">
        <f>IF('AOP Critical'!R20="","",'AOP Critical'!R20)</f>
        <v>0.24</v>
      </c>
      <c r="R27" s="69">
        <f>IF('AOP Critical'!S20="","",'AOP Critical'!S20)</f>
        <v>0.23</v>
      </c>
      <c r="S27" s="69">
        <f>IF('AOP Critical'!T20="","",'AOP Critical'!T20)</f>
        <v>0.25</v>
      </c>
      <c r="T27" s="69" t="str">
        <f>IF('AOP Critical'!U20="","",'AOP Critical'!U20)</f>
        <v/>
      </c>
      <c r="U27" s="69" t="str">
        <f>IF('AOP Critical'!V20="","",'AOP Critical'!V20)</f>
        <v/>
      </c>
      <c r="V27" s="69" t="str">
        <f>IF('AOP Critical'!W20="","",'AOP Critical'!W20)</f>
        <v/>
      </c>
    </row>
    <row r="28" spans="1:22" x14ac:dyDescent="0.35">
      <c r="A28" t="str">
        <f>IF('AOP Critical'!B20="","",'AOP Critical'!B20)</f>
        <v>Inventory MAT sales</v>
      </c>
      <c r="B28" t="str">
        <f>IF('AOP Critical'!C20="","",'AOP Critical'!C20)</f>
        <v>Rupali J</v>
      </c>
      <c r="C28" t="str">
        <f>IF('AOP Critical'!D20="","",'AOP Critical'!D20)</f>
        <v>Inventory as a % MAT sales</v>
      </c>
      <c r="D28" t="str">
        <f>IF('AOP Critical'!E20="","",'AOP Critical'!E20)</f>
        <v>AOP</v>
      </c>
      <c r="E28" t="str">
        <f>IF('AOP Critical'!F20="","",'AOP Critical'!F20)</f>
        <v/>
      </c>
      <c r="F28" t="str">
        <f>IF('AOP Critical'!G20="","",'AOP Critical'!G20)</f>
        <v/>
      </c>
      <c r="G28" t="str">
        <f>IF('AOP Critical'!H20="","",'AOP Critical'!H20)</f>
        <v>Lower the better</v>
      </c>
      <c r="H28" t="str">
        <f>IF('AOP Critical'!I20="","",'AOP Critical'!I20)</f>
        <v>%</v>
      </c>
      <c r="I28" t="str">
        <f>IF('AOP Critical'!J20="","",'AOP Critical'!J20)</f>
        <v>Monthly</v>
      </c>
      <c r="J28" t="str">
        <f>IF('AOP Critical'!K21="","",'AOP Critical'!K21)</f>
        <v>A</v>
      </c>
      <c r="K28" s="69">
        <f>IF('AOP Critical'!L21="","",'AOP Critical'!L21)</f>
        <v>0.27400000000000002</v>
      </c>
      <c r="L28" s="69">
        <f>IF('AOP Critical'!M21="","",'AOP Critical'!M21)</f>
        <v>0.29899999999999999</v>
      </c>
      <c r="M28" s="69">
        <f>IF('AOP Critical'!N21="","",'AOP Critical'!N21)</f>
        <v>0.28999999999999998</v>
      </c>
      <c r="N28" s="69">
        <f>IF('AOP Critical'!O21="","",'AOP Critical'!O21)</f>
        <v>0.3</v>
      </c>
      <c r="O28" s="69">
        <f>IF('AOP Critical'!P21="","",'AOP Critical'!P21)</f>
        <v>0.31</v>
      </c>
      <c r="P28" s="69">
        <f>IF('AOP Critical'!Q21="","",'AOP Critical'!Q21)</f>
        <v>0.28999999999999998</v>
      </c>
      <c r="Q28" s="69">
        <f>IF('AOP Critical'!R21="","",'AOP Critical'!R21)</f>
        <v>0.3</v>
      </c>
      <c r="R28" s="69">
        <f>IF('AOP Critical'!S21="","",'AOP Critical'!S21)</f>
        <v>0.3</v>
      </c>
      <c r="S28" s="69">
        <f>IF('AOP Critical'!T21="","",'AOP Critical'!T21)</f>
        <v>0.27</v>
      </c>
      <c r="T28" s="69" t="str">
        <f>IF('AOP Critical'!U21="","",'AOP Critical'!U21)</f>
        <v/>
      </c>
      <c r="U28" s="69" t="str">
        <f>IF('AOP Critical'!V21="","",'AOP Critical'!V21)</f>
        <v/>
      </c>
      <c r="V28" s="69" t="str">
        <f>IF('AOP Critical'!W21="","",'AOP Critical'!W21)</f>
        <v/>
      </c>
    </row>
    <row r="29" spans="1:22" x14ac:dyDescent="0.35">
      <c r="A29" t="str">
        <f>IF('AOP Critical'!B51="","",'AOP Critical'!B51)</f>
        <v>Profitability - Margin Expansion</v>
      </c>
      <c r="B29" t="str">
        <f>IF('AOP Critical'!C51="","",'AOP Critical'!C51)</f>
        <v>Chetan L</v>
      </c>
      <c r="C29" t="str">
        <f>IF('AOP Critical'!D51="","",'AOP Critical'!D51)</f>
        <v xml:space="preserve">Driving profitability via margin expansion  </v>
      </c>
      <c r="D29">
        <f>IF('AOP Critical'!E51="","",'AOP Critical'!E51)</f>
        <v>33.1</v>
      </c>
      <c r="E29" t="str">
        <f>IF('AOP Critical'!F51="","",'AOP Critical'!F51)</f>
        <v>TBD</v>
      </c>
      <c r="F29" t="str">
        <f>IF('AOP Critical'!G51="","",'AOP Critical'!G51)</f>
        <v>TBD</v>
      </c>
      <c r="G29" t="str">
        <f>IF('AOP Critical'!H51="","",'AOP Critical'!H51)</f>
        <v>Higher the better</v>
      </c>
      <c r="H29" t="str">
        <f>IF('AOP Critical'!I51="","",'AOP Critical'!I51)</f>
        <v>%</v>
      </c>
      <c r="I29" t="str">
        <f>IF('AOP Critical'!J51="","",'AOP Critical'!J51)</f>
        <v>Monthly</v>
      </c>
      <c r="J29" t="str">
        <f>IF('AOP Critical'!K51="","",'AOP Critical'!K51)</f>
        <v>T</v>
      </c>
      <c r="K29" s="70">
        <f>IF('AOP Critical'!L51="","",'AOP Critical'!L51)</f>
        <v>0.34700072985878605</v>
      </c>
      <c r="L29" s="70">
        <f>IF('AOP Critical'!M51="","",'AOP Critical'!M51)</f>
        <v>0.32854527661902383</v>
      </c>
      <c r="M29" s="70">
        <f>IF('AOP Critical'!N51="","",'AOP Critical'!N51)</f>
        <v>0.30191652751587683</v>
      </c>
      <c r="N29" s="70">
        <f>IF('AOP Critical'!O51="","",'AOP Critical'!O51)</f>
        <v>0.32233175889748933</v>
      </c>
      <c r="O29" s="70">
        <f>IF('AOP Critical'!P51="","",'AOP Critical'!P51)</f>
        <v>0.32732965712929335</v>
      </c>
      <c r="P29" s="70">
        <f>IF('AOP Critical'!Q51="","",'AOP Critical'!Q51)</f>
        <v>0.31564073493651035</v>
      </c>
      <c r="Q29" s="70">
        <f>IF('AOP Critical'!R51="","",'AOP Critical'!R51)</f>
        <v>0.33096935042775388</v>
      </c>
      <c r="R29" s="70">
        <f>IF('AOP Critical'!S51="","",'AOP Critical'!S51)</f>
        <v>0.33943248102419393</v>
      </c>
      <c r="S29" s="70">
        <f>IF('AOP Critical'!T51="","",'AOP Critical'!T51)</f>
        <v>0.33082830926903184</v>
      </c>
      <c r="T29" s="70" t="str">
        <f>IF('AOP Critical'!U51="","",'AOP Critical'!U51)</f>
        <v/>
      </c>
      <c r="U29" s="70" t="str">
        <f>IF('AOP Critical'!V51="","",'AOP Critical'!V51)</f>
        <v/>
      </c>
      <c r="V29" s="70" t="str">
        <f>IF('AOP Critical'!W51="","",'AOP Critical'!W51)</f>
        <v/>
      </c>
    </row>
    <row r="30" spans="1:22" x14ac:dyDescent="0.35">
      <c r="A30" t="str">
        <f>IF('AOP Critical'!B51="","",'AOP Critical'!B51)</f>
        <v>Profitability - Margin Expansion</v>
      </c>
      <c r="B30" t="str">
        <f>IF('AOP Critical'!C51="","",'AOP Critical'!C51)</f>
        <v>Chetan L</v>
      </c>
      <c r="C30" t="str">
        <f>IF('AOP Critical'!D51="","",'AOP Critical'!D51)</f>
        <v xml:space="preserve">Driving profitability via margin expansion  </v>
      </c>
      <c r="D30">
        <f>IF('AOP Critical'!E51="","",'AOP Critical'!E51)</f>
        <v>33.1</v>
      </c>
      <c r="E30" t="str">
        <f>IF('AOP Critical'!F51="","",'AOP Critical'!F51)</f>
        <v>TBD</v>
      </c>
      <c r="F30" t="str">
        <f>IF('AOP Critical'!G51="","",'AOP Critical'!G51)</f>
        <v>TBD</v>
      </c>
      <c r="G30" t="str">
        <f>IF('AOP Critical'!H51="","",'AOP Critical'!H51)</f>
        <v>Higher the better</v>
      </c>
      <c r="H30" t="str">
        <f>IF('AOP Critical'!I51="","",'AOP Critical'!I51)</f>
        <v>%</v>
      </c>
      <c r="I30" t="str">
        <f>IF('AOP Critical'!J51="","",'AOP Critical'!J51)</f>
        <v>Monthly</v>
      </c>
      <c r="J30" t="str">
        <f>IF('AOP Critical'!K52="","",'AOP Critical'!K52)</f>
        <v>A</v>
      </c>
      <c r="K30" s="70">
        <f>IF('AOP Critical'!L52="","",'AOP Critical'!L52)</f>
        <v>0.36591770011686803</v>
      </c>
      <c r="L30" s="70">
        <f>IF('AOP Critical'!M52="","",'AOP Critical'!M52)</f>
        <v>0.43346514302305739</v>
      </c>
      <c r="M30" s="70">
        <f>IF('AOP Critical'!N52="","",'AOP Critical'!N52)</f>
        <v>0.41319844449711768</v>
      </c>
      <c r="N30" s="70">
        <f>IF('AOP Critical'!O52="","",'AOP Critical'!O52)</f>
        <v>0.41195005974326776</v>
      </c>
      <c r="O30" s="70">
        <f>IF('AOP Critical'!P52="","",'AOP Critical'!P52)</f>
        <v>0.40747704161607318</v>
      </c>
      <c r="P30" s="70">
        <f>IF('AOP Critical'!Q52="","",'AOP Critical'!Q52)</f>
        <v>0.36849551470072495</v>
      </c>
      <c r="Q30" s="70">
        <f>IF('AOP Critical'!R52="","",'AOP Critical'!R52)</f>
        <v>0.35573521911109235</v>
      </c>
      <c r="R30" s="70">
        <f>IF('AOP Critical'!S52="","",'AOP Critical'!S52)</f>
        <v>0.36691053201149237</v>
      </c>
      <c r="S30" s="70">
        <f>IF('AOP Critical'!T52="","",'AOP Critical'!T52)</f>
        <v>0.36899999999999999</v>
      </c>
      <c r="T30" s="70" t="str">
        <f>IF('AOP Critical'!U52="","",'AOP Critical'!U52)</f>
        <v/>
      </c>
      <c r="U30" s="70" t="str">
        <f>IF('AOP Critical'!V52="","",'AOP Critical'!V52)</f>
        <v/>
      </c>
      <c r="V30" s="70" t="str">
        <f>IF('AOP Critical'!W52="","",'AOP Critical'!W52)</f>
        <v/>
      </c>
    </row>
    <row r="31" spans="1:22" x14ac:dyDescent="0.35">
      <c r="A31" s="6" t="s">
        <v>26</v>
      </c>
    </row>
    <row r="32" spans="1:22" x14ac:dyDescent="0.35">
      <c r="A32" t="s">
        <v>2</v>
      </c>
      <c r="B32" t="s">
        <v>3</v>
      </c>
      <c r="C32" t="s">
        <v>4</v>
      </c>
      <c r="D32" t="s">
        <v>5</v>
      </c>
      <c r="E32" t="s">
        <v>6</v>
      </c>
      <c r="F32" t="s">
        <v>7</v>
      </c>
      <c r="G32" t="s">
        <v>8</v>
      </c>
      <c r="H32" t="s">
        <v>9</v>
      </c>
      <c r="I32" t="s">
        <v>10</v>
      </c>
      <c r="J32" t="s">
        <v>11</v>
      </c>
      <c r="K32" t="s">
        <v>12</v>
      </c>
      <c r="L32" t="s">
        <v>13</v>
      </c>
      <c r="M32" t="s">
        <v>14</v>
      </c>
      <c r="N32" t="s">
        <v>15</v>
      </c>
      <c r="O32" t="s">
        <v>16</v>
      </c>
      <c r="P32" t="s">
        <v>17</v>
      </c>
      <c r="Q32" t="s">
        <v>18</v>
      </c>
      <c r="R32" t="s">
        <v>19</v>
      </c>
      <c r="S32" t="s">
        <v>20</v>
      </c>
      <c r="T32" t="s">
        <v>21</v>
      </c>
      <c r="U32" t="s">
        <v>22</v>
      </c>
      <c r="V32" t="s">
        <v>23</v>
      </c>
    </row>
    <row r="33" spans="1:22" x14ac:dyDescent="0.35">
      <c r="A33" t="str">
        <f>IF('AOP Critical'!B26="","",'AOP Critical'!B26)</f>
        <v xml:space="preserve">Win Rate </v>
      </c>
      <c r="B33" t="str">
        <f>IF('AOP Critical'!C26="","",'AOP Critical'!C26)</f>
        <v>Sarika P</v>
      </c>
      <c r="C33" t="str">
        <f>IF('AOP Critical'!D26="","",'AOP Critical'!D26)</f>
        <v>(Philips OIT) / (Philips OIT + lost SFDC + not pursuing SFDC)</v>
      </c>
      <c r="D33">
        <f>IF('AOP Critical'!E26="","",'AOP Critical'!E26)</f>
        <v>34</v>
      </c>
      <c r="E33" t="str">
        <f>IF('AOP Critical'!F26="","",'AOP Critical'!F26)</f>
        <v/>
      </c>
      <c r="F33" t="str">
        <f>IF('AOP Critical'!G26="","",'AOP Critical'!G26)</f>
        <v/>
      </c>
      <c r="G33" t="str">
        <f>IF('AOP Critical'!H26="","",'AOP Critical'!H26)</f>
        <v>Higher the better</v>
      </c>
      <c r="H33" t="str">
        <f>IF('AOP Critical'!I26="","",'AOP Critical'!I26)</f>
        <v>%</v>
      </c>
      <c r="I33" t="str">
        <f>IF('AOP Critical'!J26="","",'AOP Critical'!J26)</f>
        <v>Monthly</v>
      </c>
      <c r="J33" t="str">
        <f>IF('AOP Critical'!K26="","",'AOP Critical'!K26)</f>
        <v>T</v>
      </c>
      <c r="K33" s="69">
        <f>IF('AOP Critical'!L26="","",'AOP Critical'!L26)</f>
        <v>0.34</v>
      </c>
      <c r="L33" s="69">
        <f>IF('AOP Critical'!M26="","",'AOP Critical'!M26)</f>
        <v>0.34</v>
      </c>
      <c r="M33" s="69">
        <f>IF('AOP Critical'!N26="","",'AOP Critical'!N26)</f>
        <v>0.34</v>
      </c>
      <c r="N33" s="69">
        <f>IF('AOP Critical'!O26="","",'AOP Critical'!O26)</f>
        <v>0.34</v>
      </c>
      <c r="O33" s="69">
        <f>IF('AOP Critical'!P26="","",'AOP Critical'!P26)</f>
        <v>0.34</v>
      </c>
      <c r="P33" s="69">
        <f>IF('AOP Critical'!Q26="","",'AOP Critical'!Q26)</f>
        <v>0.34</v>
      </c>
      <c r="Q33" s="69">
        <f>IF('AOP Critical'!R26="","",'AOP Critical'!R26)</f>
        <v>0.34</v>
      </c>
      <c r="R33" s="69">
        <f>IF('AOP Critical'!S26="","",'AOP Critical'!S26)</f>
        <v>0.34</v>
      </c>
      <c r="S33" s="69">
        <f>IF('AOP Critical'!T26="","",'AOP Critical'!T26)</f>
        <v>0.34</v>
      </c>
      <c r="T33" s="69" t="str">
        <f>IF('AOP Critical'!U26="","",'AOP Critical'!U26)</f>
        <v/>
      </c>
      <c r="U33" s="69" t="str">
        <f>IF('AOP Critical'!V26="","",'AOP Critical'!V26)</f>
        <v/>
      </c>
      <c r="V33" s="69" t="str">
        <f>IF('AOP Critical'!W26="","",'AOP Critical'!W26)</f>
        <v/>
      </c>
    </row>
    <row r="34" spans="1:22" x14ac:dyDescent="0.35">
      <c r="A34" t="str">
        <f>IF('AOP Critical'!B26="","",'AOP Critical'!B26)</f>
        <v xml:space="preserve">Win Rate </v>
      </c>
      <c r="B34" t="str">
        <f>IF('AOP Critical'!C26="","",'AOP Critical'!C26)</f>
        <v>Sarika P</v>
      </c>
      <c r="C34" t="str">
        <f>IF('AOP Critical'!D26="","",'AOP Critical'!D26)</f>
        <v>(Philips OIT) / (Philips OIT + lost SFDC + not pursuing SFDC)</v>
      </c>
      <c r="D34">
        <f>IF('AOP Critical'!E26="","",'AOP Critical'!E26)</f>
        <v>34</v>
      </c>
      <c r="E34" t="str">
        <f>IF('AOP Critical'!F26="","",'AOP Critical'!F26)</f>
        <v/>
      </c>
      <c r="F34" t="str">
        <f>IF('AOP Critical'!G26="","",'AOP Critical'!G26)</f>
        <v/>
      </c>
      <c r="G34" t="str">
        <f>IF('AOP Critical'!H26="","",'AOP Critical'!H26)</f>
        <v>Higher the better</v>
      </c>
      <c r="H34" t="str">
        <f>IF('AOP Critical'!I26="","",'AOP Critical'!I26)</f>
        <v>%</v>
      </c>
      <c r="I34" t="str">
        <f>IF('AOP Critical'!J26="","",'AOP Critical'!J26)</f>
        <v>Monthly</v>
      </c>
      <c r="J34" t="str">
        <f>IF('AOP Critical'!K27="","",'AOP Critical'!K27)</f>
        <v>A</v>
      </c>
      <c r="K34" s="69">
        <f>IF('AOP Critical'!L27="","",'AOP Critical'!L27)</f>
        <v>0.318</v>
      </c>
      <c r="L34" s="69">
        <f>IF('AOP Critical'!M27="","",'AOP Critical'!M27)</f>
        <v>0.35799999999999998</v>
      </c>
      <c r="M34" s="69">
        <f>IF('AOP Critical'!N27="","",'AOP Critical'!N27)</f>
        <v>0.41499999999999998</v>
      </c>
      <c r="N34" s="69">
        <f>IF('AOP Critical'!O27="","",'AOP Critical'!O27)</f>
        <v>0.40500000000000003</v>
      </c>
      <c r="O34" s="69">
        <f>IF('AOP Critical'!P27="","",'AOP Critical'!P27)</f>
        <v>0.371</v>
      </c>
      <c r="P34" s="69">
        <f>IF('AOP Critical'!Q27="","",'AOP Critical'!Q27)</f>
        <v>0.41899999999999998</v>
      </c>
      <c r="Q34" s="69">
        <f>IF('AOP Critical'!R27="","",'AOP Critical'!R27)</f>
        <v>0.39900000000000002</v>
      </c>
      <c r="R34" s="69">
        <f>IF('AOP Critical'!S27="","",'AOP Critical'!S27)</f>
        <v>0.41199999999999998</v>
      </c>
      <c r="S34" s="69">
        <f>IF('AOP Critical'!T27="","",'AOP Critical'!T27)</f>
        <v>0.42299999999999999</v>
      </c>
      <c r="T34" s="69" t="str">
        <f>IF('AOP Critical'!U27="","",'AOP Critical'!U27)</f>
        <v/>
      </c>
      <c r="U34" s="69" t="str">
        <f>IF('AOP Critical'!V27="","",'AOP Critical'!V27)</f>
        <v/>
      </c>
      <c r="V34" s="69" t="str">
        <f>IF('AOP Critical'!W27="","",'AOP Critical'!W27)</f>
        <v/>
      </c>
    </row>
    <row r="35" spans="1:22" x14ac:dyDescent="0.35">
      <c r="A35" t="str">
        <f>IF('AOP Critical'!B22="","",'AOP Critical'!B22)</f>
        <v>NPI Schedule Adherence</v>
      </c>
      <c r="B35" t="str">
        <f>IF('AOP Critical'!C22="","",'AOP Critical'!C22)</f>
        <v>Shivaraj G</v>
      </c>
      <c r="C35" t="str">
        <f>IF('AOP Critical'!D22="","",'AOP Critical'!D22)</f>
        <v>Dhruv  Schedule Adherence</v>
      </c>
      <c r="D35">
        <f>IF('AOP Critical'!E22="","",'AOP Critical'!E22)</f>
        <v>90</v>
      </c>
      <c r="E35" t="str">
        <f>IF('AOP Critical'!F22="","",'AOP Critical'!F22)</f>
        <v/>
      </c>
      <c r="F35" t="str">
        <f>IF('AOP Critical'!G22="","",'AOP Critical'!G22)</f>
        <v/>
      </c>
      <c r="G35" t="str">
        <f>IF('AOP Critical'!H22="","",'AOP Critical'!H22)</f>
        <v>Higher the better</v>
      </c>
      <c r="H35" t="str">
        <f>IF('AOP Critical'!I22="","",'AOP Critical'!I22)</f>
        <v>%</v>
      </c>
      <c r="I35" t="str">
        <f>IF('AOP Critical'!J22="","",'AOP Critical'!J22)</f>
        <v>Monthly</v>
      </c>
      <c r="J35" t="str">
        <f>IF('AOP Critical'!K22="","",'AOP Critical'!K22)</f>
        <v>T</v>
      </c>
      <c r="K35" s="69">
        <f>IF('AOP Critical'!L22="","",'AOP Critical'!L22)</f>
        <v>0.9</v>
      </c>
      <c r="L35" s="69">
        <f>IF('AOP Critical'!M22="","",'AOP Critical'!M22)</f>
        <v>0.9</v>
      </c>
      <c r="M35" s="69">
        <f>IF('AOP Critical'!N22="","",'AOP Critical'!N22)</f>
        <v>0.9</v>
      </c>
      <c r="N35" s="69">
        <f>IF('AOP Critical'!O22="","",'AOP Critical'!O22)</f>
        <v>0.9</v>
      </c>
      <c r="O35" s="69">
        <f>IF('AOP Critical'!P22="","",'AOP Critical'!P22)</f>
        <v>0.9</v>
      </c>
      <c r="P35" s="69">
        <f>IF('AOP Critical'!Q22="","",'AOP Critical'!Q22)</f>
        <v>0.9</v>
      </c>
      <c r="Q35" s="69">
        <f>IF('AOP Critical'!R22="","",'AOP Critical'!R22)</f>
        <v>0.9</v>
      </c>
      <c r="R35" s="69">
        <f>IF('AOP Critical'!S22="","",'AOP Critical'!S22)</f>
        <v>0.9</v>
      </c>
      <c r="S35" s="69">
        <f>IF('AOP Critical'!T22="","",'AOP Critical'!T22)</f>
        <v>0.9</v>
      </c>
      <c r="T35" s="69">
        <f>IF('AOP Critical'!U22="","",'AOP Critical'!U22)</f>
        <v>0.9</v>
      </c>
      <c r="U35" s="69">
        <f>IF('AOP Critical'!V22="","",'AOP Critical'!V22)</f>
        <v>0.9</v>
      </c>
      <c r="V35" s="69">
        <f>IF('AOP Critical'!W22="","",'AOP Critical'!W22)</f>
        <v>0.9</v>
      </c>
    </row>
    <row r="36" spans="1:22" x14ac:dyDescent="0.35">
      <c r="A36" t="str">
        <f>IF('AOP Critical'!B22="","",'AOP Critical'!B22)</f>
        <v>NPI Schedule Adherence</v>
      </c>
      <c r="B36" t="str">
        <f>IF('AOP Critical'!C22="","",'AOP Critical'!C22)</f>
        <v>Shivaraj G</v>
      </c>
      <c r="C36" t="str">
        <f>IF('AOP Critical'!D22="","",'AOP Critical'!D22)</f>
        <v>Dhruv  Schedule Adherence</v>
      </c>
      <c r="D36">
        <f>IF('AOP Critical'!E22="","",'AOP Critical'!E22)</f>
        <v>90</v>
      </c>
      <c r="E36" t="str">
        <f>IF('AOP Critical'!F22="","",'AOP Critical'!F22)</f>
        <v/>
      </c>
      <c r="F36" t="str">
        <f>IF('AOP Critical'!G22="","",'AOP Critical'!G22)</f>
        <v/>
      </c>
      <c r="G36" t="str">
        <f>IF('AOP Critical'!H22="","",'AOP Critical'!H22)</f>
        <v>Higher the better</v>
      </c>
      <c r="H36" t="str">
        <f>IF('AOP Critical'!I22="","",'AOP Critical'!I22)</f>
        <v>%</v>
      </c>
      <c r="I36" t="str">
        <f>IF('AOP Critical'!J22="","",'AOP Critical'!J22)</f>
        <v>Monthly</v>
      </c>
      <c r="J36" t="str">
        <f>IF('AOP Critical'!K23="","",'AOP Critical'!K23)</f>
        <v>A</v>
      </c>
      <c r="K36" s="69">
        <f>IF('AOP Critical'!L23="","",'AOP Critical'!L23)</f>
        <v>0.81</v>
      </c>
      <c r="L36" s="69">
        <f>IF('AOP Critical'!M23="","",'AOP Critical'!M23)</f>
        <v>0.78</v>
      </c>
      <c r="M36" s="69">
        <f>IF('AOP Critical'!N23="","",'AOP Critical'!N23)</f>
        <v>0.8</v>
      </c>
      <c r="N36" s="69">
        <f>IF('AOP Critical'!O23="","",'AOP Critical'!O23)</f>
        <v>0.82</v>
      </c>
      <c r="O36" s="69">
        <f>IF('AOP Critical'!P23="","",'AOP Critical'!P23)</f>
        <v>0.79500000000000004</v>
      </c>
      <c r="P36" s="69">
        <f>IF('AOP Critical'!Q23="","",'AOP Critical'!Q23)</f>
        <v>0.86</v>
      </c>
      <c r="Q36" s="69">
        <f>IF('AOP Critical'!R23="","",'AOP Critical'!R23)</f>
        <v>0.88</v>
      </c>
      <c r="R36" s="69">
        <f>IF('AOP Critical'!S23="","",'AOP Critical'!S23)</f>
        <v>0.94</v>
      </c>
      <c r="S36" s="69">
        <f>IF('AOP Critical'!T23="","",'AOP Critical'!T23)</f>
        <v>0.94</v>
      </c>
      <c r="T36" s="69" t="str">
        <f>IF('AOP Critical'!U23="","",'AOP Critical'!U23)</f>
        <v/>
      </c>
      <c r="U36" s="69" t="str">
        <f>IF('AOP Critical'!V23="","",'AOP Critical'!V23)</f>
        <v/>
      </c>
      <c r="V36" s="69" t="str">
        <f>IF('AOP Critical'!W23="","",'AOP Critical'!W23)</f>
        <v/>
      </c>
    </row>
    <row r="37" spans="1:22" x14ac:dyDescent="0.35">
      <c r="A37" t="str">
        <f>IF('AOP Critical'!B43="","",'AOP Critical'!B43)</f>
        <v>Competitive Roadmap</v>
      </c>
      <c r="B37" t="str">
        <f>IF('AOP Critical'!C43="","",'AOP Critical'!C43)</f>
        <v>Sarika P</v>
      </c>
      <c r="C37" t="str">
        <f>IF('AOP Critical'!D43="","",'AOP Critical'!D43)</f>
        <v>Roadmap MS% delivery (NPI OIT)</v>
      </c>
      <c r="D37" t="str">
        <f>IF('AOP Critical'!E43="","",'AOP Critical'!E43)</f>
        <v>TBD</v>
      </c>
      <c r="E37" t="str">
        <f>IF('AOP Critical'!F43="","",'AOP Critical'!F43)</f>
        <v>TBD</v>
      </c>
      <c r="F37" t="str">
        <f>IF('AOP Critical'!G43="","",'AOP Critical'!G43)</f>
        <v>TBD</v>
      </c>
      <c r="G37" t="str">
        <f>IF('AOP Critical'!H43="","",'AOP Critical'!H43)</f>
        <v>Higher the better</v>
      </c>
      <c r="H37" t="str">
        <f>IF('AOP Critical'!I43="","",'AOP Critical'!I43)</f>
        <v>%</v>
      </c>
      <c r="I37" t="str">
        <f>IF('AOP Critical'!J43="","",'AOP Critical'!J43)</f>
        <v>Quarterly</v>
      </c>
      <c r="J37" t="str">
        <f>IF('AOP Critical'!K43="","",'AOP Critical'!K43)</f>
        <v>T</v>
      </c>
      <c r="K37" s="70" t="str">
        <f>IF('AOP Critical'!L43="","",'AOP Critical'!L43)</f>
        <v/>
      </c>
      <c r="L37" s="70" t="str">
        <f>IF('AOP Critical'!M43="","",'AOP Critical'!M43)</f>
        <v/>
      </c>
      <c r="M37" s="70">
        <f>IF('AOP Critical'!N43="","",'AOP Critical'!N43)</f>
        <v>0.05</v>
      </c>
      <c r="N37" s="70" t="str">
        <f>IF('AOP Critical'!O43="","",'AOP Critical'!O43)</f>
        <v/>
      </c>
      <c r="O37" s="70" t="str">
        <f>IF('AOP Critical'!P43="","",'AOP Critical'!P43)</f>
        <v/>
      </c>
      <c r="P37" s="70">
        <f>IF('AOP Critical'!Q43="","",'AOP Critical'!Q43)</f>
        <v>5.5E-2</v>
      </c>
      <c r="Q37" s="70" t="str">
        <f>IF('AOP Critical'!R43="","",'AOP Critical'!R43)</f>
        <v/>
      </c>
      <c r="R37" s="70" t="str">
        <f>IF('AOP Critical'!S43="","",'AOP Critical'!S43)</f>
        <v/>
      </c>
      <c r="S37" s="70" t="str">
        <f>IF('AOP Critical'!T43="","",'AOP Critical'!T43)</f>
        <v/>
      </c>
      <c r="T37" s="70" t="str">
        <f>IF('AOP Critical'!U43="","",'AOP Critical'!U43)</f>
        <v/>
      </c>
      <c r="U37" s="70" t="str">
        <f>IF('AOP Critical'!V43="","",'AOP Critical'!V43)</f>
        <v/>
      </c>
      <c r="V37" s="70" t="str">
        <f>IF('AOP Critical'!W43="","",'AOP Critical'!W43)</f>
        <v/>
      </c>
    </row>
    <row r="38" spans="1:22" x14ac:dyDescent="0.35">
      <c r="A38" t="str">
        <f>IF('AOP Critical'!B43="","",'AOP Critical'!B43)</f>
        <v>Competitive Roadmap</v>
      </c>
      <c r="B38" t="str">
        <f>IF('AOP Critical'!C43="","",'AOP Critical'!C43)</f>
        <v>Sarika P</v>
      </c>
      <c r="C38" t="str">
        <f>IF('AOP Critical'!D43="","",'AOP Critical'!D43)</f>
        <v>Roadmap MS% delivery (NPI OIT)</v>
      </c>
      <c r="D38" t="str">
        <f>IF('AOP Critical'!E43="","",'AOP Critical'!E43)</f>
        <v>TBD</v>
      </c>
      <c r="E38" t="str">
        <f>IF('AOP Critical'!F43="","",'AOP Critical'!F43)</f>
        <v>TBD</v>
      </c>
      <c r="F38" t="str">
        <f>IF('AOP Critical'!G43="","",'AOP Critical'!G43)</f>
        <v>TBD</v>
      </c>
      <c r="G38" t="str">
        <f>IF('AOP Critical'!H43="","",'AOP Critical'!H43)</f>
        <v>Higher the better</v>
      </c>
      <c r="H38" t="str">
        <f>IF('AOP Critical'!I43="","",'AOP Critical'!I43)</f>
        <v>%</v>
      </c>
      <c r="I38" t="str">
        <f>IF('AOP Critical'!J43="","",'AOP Critical'!J43)</f>
        <v>Quarterly</v>
      </c>
      <c r="J38" t="str">
        <f>IF('AOP Critical'!K44="","",'AOP Critical'!K44)</f>
        <v>A</v>
      </c>
      <c r="K38" t="str">
        <f>IF('AOP Critical'!L44="","",'AOP Critical'!L44)</f>
        <v>QTR</v>
      </c>
      <c r="L38" t="str">
        <f>IF('AOP Critical'!M44="","",'AOP Critical'!M44)</f>
        <v>QTR</v>
      </c>
      <c r="M38">
        <f>IF('AOP Critical'!N44="","",'AOP Critical'!N44)</f>
        <v>4.2000000000000003E-2</v>
      </c>
      <c r="N38" t="str">
        <f>IF('AOP Critical'!O44="","",'AOP Critical'!O44)</f>
        <v>QTR</v>
      </c>
      <c r="O38" t="str">
        <f>IF('AOP Critical'!P44="","",'AOP Critical'!P44)</f>
        <v>QTR</v>
      </c>
      <c r="P38">
        <f>IF('AOP Critical'!Q44="","",'AOP Critical'!Q44)</f>
        <v>0.04</v>
      </c>
      <c r="Q38" t="str">
        <f>IF('AOP Critical'!R44="","",'AOP Critical'!R44)</f>
        <v>QTR</v>
      </c>
      <c r="R38" t="str">
        <f>IF('AOP Critical'!S44="","",'AOP Critical'!S44)</f>
        <v>QTR</v>
      </c>
      <c r="S38" t="str">
        <f>IF('AOP Critical'!T44="","",'AOP Critical'!T44)</f>
        <v/>
      </c>
      <c r="T38" t="str">
        <f>IF('AOP Critical'!U44="","",'AOP Critical'!U44)</f>
        <v>QTR</v>
      </c>
      <c r="U38" t="str">
        <f>IF('AOP Critical'!V44="","",'AOP Critical'!V44)</f>
        <v>QTR</v>
      </c>
      <c r="V38" t="str">
        <f>IF('AOP Critical'!W44="","",'AOP Critical'!W44)</f>
        <v/>
      </c>
    </row>
    <row r="39" spans="1:22" x14ac:dyDescent="0.35">
      <c r="A39" t="str">
        <f>IF('AOP Critical'!B45="","",'AOP Critical'!B45)</f>
        <v>Vitality index</v>
      </c>
      <c r="B39" t="str">
        <f>IF('AOP Critical'!C45="","",'AOP Critical'!C45)</f>
        <v>Sarika P</v>
      </c>
      <c r="C39" t="str">
        <f>IF('AOP Critical'!D45="","",'AOP Critical'!D45)</f>
        <v>% of sales from MoS Innovation &lt; 3 years</v>
      </c>
      <c r="D39" t="str">
        <f>IF('AOP Critical'!E45="","",'AOP Critical'!E45)</f>
        <v>TBD</v>
      </c>
      <c r="E39" t="str">
        <f>IF('AOP Critical'!F45="","",'AOP Critical'!F45)</f>
        <v>TBD</v>
      </c>
      <c r="F39" t="str">
        <f>IF('AOP Critical'!G45="","",'AOP Critical'!G45)</f>
        <v>TBD</v>
      </c>
      <c r="G39" t="str">
        <f>IF('AOP Critical'!H45="","",'AOP Critical'!H45)</f>
        <v>Higher the better</v>
      </c>
      <c r="H39" t="str">
        <f>IF('AOP Critical'!I45="","",'AOP Critical'!I45)</f>
        <v>%</v>
      </c>
      <c r="I39" t="str">
        <f>IF('AOP Critical'!J45="","",'AOP Critical'!J45)</f>
        <v>Monthly</v>
      </c>
      <c r="J39" t="str">
        <f>IF('AOP Critical'!K45="","",'AOP Critical'!K45)</f>
        <v>T</v>
      </c>
      <c r="K39" s="70">
        <f>IF('AOP Critical'!L45="","",'AOP Critical'!L45)</f>
        <v>0.4</v>
      </c>
      <c r="L39" s="70">
        <f>IF('AOP Critical'!M45="","",'AOP Critical'!M45)</f>
        <v>0.4</v>
      </c>
      <c r="M39" s="70">
        <f>IF('AOP Critical'!N45="","",'AOP Critical'!N45)</f>
        <v>0.4</v>
      </c>
      <c r="N39" s="70">
        <f>IF('AOP Critical'!O45="","",'AOP Critical'!O45)</f>
        <v>0.4</v>
      </c>
      <c r="O39" s="70">
        <f>IF('AOP Critical'!P45="","",'AOP Critical'!P45)</f>
        <v>0.4</v>
      </c>
      <c r="P39" s="70">
        <f>IF('AOP Critical'!Q45="","",'AOP Critical'!Q45)</f>
        <v>0.4</v>
      </c>
      <c r="Q39" s="70">
        <f>IF('AOP Critical'!R45="","",'AOP Critical'!R45)</f>
        <v>0.4</v>
      </c>
      <c r="R39" s="70">
        <f>IF('AOP Critical'!S45="","",'AOP Critical'!S45)</f>
        <v>0.4</v>
      </c>
      <c r="S39" s="70">
        <f>IF('AOP Critical'!T45="","",'AOP Critical'!T45)</f>
        <v>0.4</v>
      </c>
      <c r="T39" s="70" t="str">
        <f>IF('AOP Critical'!U45="","",'AOP Critical'!U45)</f>
        <v/>
      </c>
      <c r="U39" s="70" t="str">
        <f>IF('AOP Critical'!V45="","",'AOP Critical'!V45)</f>
        <v/>
      </c>
      <c r="V39" s="70" t="str">
        <f>IF('AOP Critical'!W45="","",'AOP Critical'!W45)</f>
        <v/>
      </c>
    </row>
    <row r="40" spans="1:22" x14ac:dyDescent="0.35">
      <c r="A40" t="str">
        <f>IF('AOP Critical'!B45="","",'AOP Critical'!B45)</f>
        <v>Vitality index</v>
      </c>
      <c r="B40" t="str">
        <f>IF('AOP Critical'!C45="","",'AOP Critical'!C45)</f>
        <v>Sarika P</v>
      </c>
      <c r="C40" t="str">
        <f>IF('AOP Critical'!D45="","",'AOP Critical'!D45)</f>
        <v>% of sales from MoS Innovation &lt; 3 years</v>
      </c>
      <c r="D40" t="str">
        <f>IF('AOP Critical'!E45="","",'AOP Critical'!E45)</f>
        <v>TBD</v>
      </c>
      <c r="E40" t="str">
        <f>IF('AOP Critical'!F45="","",'AOP Critical'!F45)</f>
        <v>TBD</v>
      </c>
      <c r="F40" t="str">
        <f>IF('AOP Critical'!G45="","",'AOP Critical'!G45)</f>
        <v>TBD</v>
      </c>
      <c r="G40" t="str">
        <f>IF('AOP Critical'!H45="","",'AOP Critical'!H45)</f>
        <v>Higher the better</v>
      </c>
      <c r="H40" t="str">
        <f>IF('AOP Critical'!I45="","",'AOP Critical'!I45)</f>
        <v>%</v>
      </c>
      <c r="I40" t="str">
        <f>IF('AOP Critical'!J45="","",'AOP Critical'!J45)</f>
        <v>Monthly</v>
      </c>
      <c r="J40" t="str">
        <f>IF('AOP Critical'!K46="","",'AOP Critical'!K46)</f>
        <v>A</v>
      </c>
      <c r="K40" s="70">
        <f>IF('AOP Critical'!L46="","",'AOP Critical'!L46)</f>
        <v>0.66</v>
      </c>
      <c r="L40" s="70">
        <f>IF('AOP Critical'!M46="","",'AOP Critical'!M46)</f>
        <v>0.34</v>
      </c>
      <c r="M40" s="70">
        <f>IF('AOP Critical'!N46="","",'AOP Critical'!N46)</f>
        <v>0.41</v>
      </c>
      <c r="N40" s="70">
        <f>IF('AOP Critical'!O46="","",'AOP Critical'!O46)</f>
        <v>0.39</v>
      </c>
      <c r="O40" s="70">
        <f>IF('AOP Critical'!P46="","",'AOP Critical'!P46)</f>
        <v>0.40799999999999997</v>
      </c>
      <c r="P40" s="70">
        <f>IF('AOP Critical'!Q46="","",'AOP Critical'!Q46)</f>
        <v>0.43</v>
      </c>
      <c r="Q40" s="70">
        <f>IF('AOP Critical'!R46="","",'AOP Critical'!R46)</f>
        <v>0.56000000000000005</v>
      </c>
      <c r="R40" s="70">
        <f>IF('AOP Critical'!S46="","",'AOP Critical'!S46)</f>
        <v>0.39</v>
      </c>
      <c r="S40" s="70">
        <f>IF('AOP Critical'!T46="","",'AOP Critical'!T46)</f>
        <v>0.37</v>
      </c>
      <c r="T40" s="70" t="str">
        <f>IF('AOP Critical'!U46="","",'AOP Critical'!U46)</f>
        <v/>
      </c>
      <c r="U40" s="70" t="str">
        <f>IF('AOP Critical'!V46="","",'AOP Critical'!V46)</f>
        <v/>
      </c>
      <c r="V40" s="70" t="str">
        <f>IF('AOP Critical'!W46="","",'AOP Critical'!W46)</f>
        <v/>
      </c>
    </row>
    <row r="41" spans="1:22" x14ac:dyDescent="0.35">
      <c r="A41" t="str">
        <f>IF('AOP Critical'!B47="","",'AOP Critical'!B47)</f>
        <v>I2M Value Creation</v>
      </c>
      <c r="B41" t="str">
        <f>IF('AOP Critical'!C47="","",'AOP Critical'!C47)</f>
        <v>Shivaraj G</v>
      </c>
      <c r="C41" t="str">
        <f>IF('AOP Critical'!D47="","",'AOP Critical'!D47)</f>
        <v>Development progress (per year, per quarter, %) X Incremental IGM</v>
      </c>
      <c r="D41" t="str">
        <f>IF('AOP Critical'!E47="","",'AOP Critical'!E47)</f>
        <v>TBD</v>
      </c>
      <c r="E41" t="str">
        <f>IF('AOP Critical'!F47="","",'AOP Critical'!F47)</f>
        <v>TBD</v>
      </c>
      <c r="F41" t="str">
        <f>IF('AOP Critical'!G47="","",'AOP Critical'!G47)</f>
        <v>TBD</v>
      </c>
      <c r="G41" t="str">
        <f>IF('AOP Critical'!H47="","",'AOP Critical'!H47)</f>
        <v>Higher the better</v>
      </c>
      <c r="H41" t="str">
        <f>IF('AOP Critical'!I47="","",'AOP Critical'!I47)</f>
        <v>Mn</v>
      </c>
      <c r="I41" t="str">
        <f>IF('AOP Critical'!J47="","",'AOP Critical'!J47)</f>
        <v>Monthly</v>
      </c>
      <c r="J41" t="str">
        <f>IF('AOP Critical'!K47="","",'AOP Critical'!K47)</f>
        <v>T</v>
      </c>
      <c r="K41">
        <f>IF('AOP Critical'!L47="","",'AOP Critical'!L47)</f>
        <v>5.5</v>
      </c>
      <c r="L41">
        <f>IF('AOP Critical'!M47="","",'AOP Critical'!M47)</f>
        <v>11</v>
      </c>
      <c r="M41">
        <f>IF('AOP Critical'!N47="","",'AOP Critical'!N47)</f>
        <v>16.5</v>
      </c>
      <c r="N41">
        <f>IF('AOP Critical'!O47="","",'AOP Critical'!O47)</f>
        <v>22</v>
      </c>
      <c r="O41">
        <f>IF('AOP Critical'!P47="","",'AOP Critical'!P47)</f>
        <v>27.5</v>
      </c>
      <c r="P41">
        <f>IF('AOP Critical'!Q47="","",'AOP Critical'!Q47)</f>
        <v>33</v>
      </c>
      <c r="Q41">
        <f>IF('AOP Critical'!R47="","",'AOP Critical'!R47)</f>
        <v>38.5</v>
      </c>
      <c r="R41">
        <f>IF('AOP Critical'!S47="","",'AOP Critical'!S47)</f>
        <v>44</v>
      </c>
      <c r="S41">
        <f>IF('AOP Critical'!T47="","",'AOP Critical'!T47)</f>
        <v>49.5</v>
      </c>
      <c r="T41">
        <f>IF('AOP Critical'!U47="","",'AOP Critical'!U47)</f>
        <v>55</v>
      </c>
      <c r="U41">
        <f>IF('AOP Critical'!V47="","",'AOP Critical'!V47)</f>
        <v>60.5</v>
      </c>
      <c r="V41">
        <f>IF('AOP Critical'!W47="","",'AOP Critical'!W47)</f>
        <v>67</v>
      </c>
    </row>
    <row r="42" spans="1:22" x14ac:dyDescent="0.35">
      <c r="A42" t="str">
        <f>IF('AOP Critical'!B47="","",'AOP Critical'!B47)</f>
        <v>I2M Value Creation</v>
      </c>
      <c r="B42" t="str">
        <f>IF('AOP Critical'!C47="","",'AOP Critical'!C47)</f>
        <v>Shivaraj G</v>
      </c>
      <c r="C42" t="str">
        <f>IF('AOP Critical'!D47="","",'AOP Critical'!D47)</f>
        <v>Development progress (per year, per quarter, %) X Incremental IGM</v>
      </c>
      <c r="D42" t="str">
        <f>IF('AOP Critical'!E47="","",'AOP Critical'!E47)</f>
        <v>TBD</v>
      </c>
      <c r="E42" t="str">
        <f>IF('AOP Critical'!F47="","",'AOP Critical'!F47)</f>
        <v>TBD</v>
      </c>
      <c r="F42" t="str">
        <f>IF('AOP Critical'!G47="","",'AOP Critical'!G47)</f>
        <v>TBD</v>
      </c>
      <c r="G42" t="str">
        <f>IF('AOP Critical'!H47="","",'AOP Critical'!H47)</f>
        <v>Higher the better</v>
      </c>
      <c r="H42" t="str">
        <f>IF('AOP Critical'!I47="","",'AOP Critical'!I47)</f>
        <v>Mn</v>
      </c>
      <c r="I42" t="str">
        <f>IF('AOP Critical'!J47="","",'AOP Critical'!J47)</f>
        <v>Monthly</v>
      </c>
      <c r="J42" t="str">
        <f>IF('AOP Critical'!K48="","",'AOP Critical'!K48)</f>
        <v>A</v>
      </c>
      <c r="K42">
        <f>IF('AOP Critical'!L48="","",'AOP Critical'!L48)</f>
        <v>9</v>
      </c>
      <c r="L42">
        <f>IF('AOP Critical'!M48="","",'AOP Critical'!M48)</f>
        <v>17.3</v>
      </c>
      <c r="M42">
        <f>IF('AOP Critical'!N48="","",'AOP Critical'!N48)</f>
        <v>24.6</v>
      </c>
      <c r="N42">
        <f>IF('AOP Critical'!O48="","",'AOP Critical'!O48)</f>
        <v>26.3</v>
      </c>
      <c r="O42">
        <f>IF('AOP Critical'!P48="","",'AOP Critical'!P48)</f>
        <v>31</v>
      </c>
      <c r="P42">
        <f>IF('AOP Critical'!Q48="","",'AOP Critical'!Q48)</f>
        <v>37</v>
      </c>
      <c r="Q42">
        <f>IF('AOP Critical'!R48="","",'AOP Critical'!R48)</f>
        <v>49.7</v>
      </c>
      <c r="R42">
        <f>IF('AOP Critical'!S48="","",'AOP Critical'!S48)</f>
        <v>51.9</v>
      </c>
      <c r="S42">
        <f>IF('AOP Critical'!T48="","",'AOP Critical'!T48)</f>
        <v>55.8</v>
      </c>
      <c r="T42" t="str">
        <f>IF('AOP Critical'!U48="","",'AOP Critical'!U48)</f>
        <v/>
      </c>
      <c r="U42" t="str">
        <f>IF('AOP Critical'!V48="","",'AOP Critical'!V48)</f>
        <v/>
      </c>
      <c r="V42" t="str">
        <f>IF('AOP Critical'!W48="","",'AOP Critical'!W48)</f>
        <v/>
      </c>
    </row>
    <row r="43" spans="1:22" x14ac:dyDescent="0.35">
      <c r="A43" s="6" t="s">
        <v>27</v>
      </c>
    </row>
    <row r="44" spans="1:22" x14ac:dyDescent="0.35">
      <c r="A44" t="s">
        <v>2</v>
      </c>
      <c r="B44" t="s">
        <v>3</v>
      </c>
      <c r="C44" t="s">
        <v>4</v>
      </c>
      <c r="D44" t="s">
        <v>5</v>
      </c>
      <c r="E44" t="s">
        <v>6</v>
      </c>
      <c r="F44" t="s">
        <v>7</v>
      </c>
      <c r="G44" t="s">
        <v>8</v>
      </c>
      <c r="H44" t="s">
        <v>9</v>
      </c>
      <c r="I44" t="s">
        <v>10</v>
      </c>
      <c r="J44" t="s">
        <v>11</v>
      </c>
      <c r="K44" t="s">
        <v>12</v>
      </c>
      <c r="L44" t="s">
        <v>13</v>
      </c>
      <c r="M44" t="s">
        <v>14</v>
      </c>
      <c r="N44" t="s">
        <v>15</v>
      </c>
      <c r="O44" t="s">
        <v>16</v>
      </c>
      <c r="P44" t="s">
        <v>17</v>
      </c>
      <c r="Q44" t="s">
        <v>18</v>
      </c>
      <c r="R44" t="s">
        <v>19</v>
      </c>
      <c r="S44" t="s">
        <v>20</v>
      </c>
      <c r="T44" t="s">
        <v>21</v>
      </c>
      <c r="U44" t="s">
        <v>22</v>
      </c>
      <c r="V44" t="s">
        <v>23</v>
      </c>
    </row>
    <row r="45" spans="1:22" x14ac:dyDescent="0.35">
      <c r="A45" t="str">
        <f>IF('AOP Critical'!D28="","",'AOP Critical'!D28)</f>
        <v>OIT Growth % (EQ)</v>
      </c>
      <c r="B45" t="str">
        <f>IF('AOP Critical'!C28="","",'AOP Critical'!C28)</f>
        <v>Chetan L</v>
      </c>
      <c r="C45" t="str">
        <f>IF('AOP Critical'!D28="","",'AOP Critical'!D28)</f>
        <v>OIT Growth % (EQ)</v>
      </c>
      <c r="D45" t="str">
        <f>IF('AOP Critical'!E28="","",'AOP Critical'!E28)</f>
        <v>AOP</v>
      </c>
      <c r="E45" t="str">
        <f>IF('AOP Critical'!F28="","",'AOP Critical'!F28)</f>
        <v/>
      </c>
      <c r="F45" t="str">
        <f>IF('AOP Critical'!G28="","",'AOP Critical'!G28)</f>
        <v/>
      </c>
      <c r="G45" t="str">
        <f>IF('AOP Critical'!H28="","",'AOP Critical'!H28)</f>
        <v>Higher the better</v>
      </c>
      <c r="H45" t="str">
        <f>IF('AOP Critical'!I28="","",'AOP Critical'!I28)</f>
        <v>%</v>
      </c>
      <c r="I45" t="str">
        <f>IF('AOP Critical'!J28="","",'AOP Critical'!J28)</f>
        <v>Monthly</v>
      </c>
      <c r="J45" t="str">
        <f>IF('AOP Critical'!K28="","",'AOP Critical'!K28)</f>
        <v>T</v>
      </c>
      <c r="K45" s="70" vm="1">
        <f>IF('AOP Critical'!L28="","",'AOP Critical'!L28)</f>
        <v>3.6951550944796852E-2</v>
      </c>
      <c r="L45" s="70" vm="3">
        <f>IF('AOP Critical'!M28="","",'AOP Critical'!M28)</f>
        <v>0.43621586155644376</v>
      </c>
      <c r="M45" s="70" vm="6">
        <f>IF('AOP Critical'!N28="","",'AOP Critical'!N28)</f>
        <v>6.9838696752701823E-2</v>
      </c>
      <c r="N45" s="70" vm="10">
        <f>IF('AOP Critical'!O28="","",'AOP Critical'!O28)</f>
        <v>0.21843539773619547</v>
      </c>
      <c r="O45" s="70" vm="12">
        <f>IF('AOP Critical'!P28="","",'AOP Critical'!P28)</f>
        <v>0.20239261325941293</v>
      </c>
      <c r="P45" s="70" vm="14">
        <f>IF('AOP Critical'!Q28="","",'AOP Critical'!Q28)</f>
        <v>0.29754592225545773</v>
      </c>
      <c r="Q45" s="70" vm="18">
        <f>IF('AOP Critical'!R28="","",'AOP Critical'!R28)</f>
        <v>0.26300517799117751</v>
      </c>
      <c r="R45" s="70" vm="22">
        <f>IF('AOP Critical'!S28="","",'AOP Critical'!S28)</f>
        <v>0.30756202137510114</v>
      </c>
      <c r="S45" s="70">
        <f>IF('AOP Critical'!T28="","",'AOP Critical'!T28)</f>
        <v>0.38100000000000001</v>
      </c>
      <c r="T45" s="70" t="str">
        <f>IF('AOP Critical'!U28="","",'AOP Critical'!U28)</f>
        <v/>
      </c>
      <c r="U45" s="70" t="str">
        <f>IF('AOP Critical'!V28="","",'AOP Critical'!V28)</f>
        <v/>
      </c>
      <c r="V45" s="70" t="str">
        <f>IF('AOP Critical'!W28="","",'AOP Critical'!W28)</f>
        <v/>
      </c>
    </row>
    <row r="46" spans="1:22" x14ac:dyDescent="0.35">
      <c r="A46" t="str">
        <f>IF('AOP Critical'!D28="","",'AOP Critical'!D28)</f>
        <v>OIT Growth % (EQ)</v>
      </c>
      <c r="B46" t="str">
        <f>IF('AOP Critical'!C28="","",'AOP Critical'!C28)</f>
        <v>Chetan L</v>
      </c>
      <c r="C46" t="str">
        <f>IF('AOP Critical'!D28="","",'AOP Critical'!D28)</f>
        <v>OIT Growth % (EQ)</v>
      </c>
      <c r="D46" t="str">
        <f>IF('AOP Critical'!E28="","",'AOP Critical'!E28)</f>
        <v>AOP</v>
      </c>
      <c r="E46" t="str">
        <f>IF('AOP Critical'!F28="","",'AOP Critical'!F28)</f>
        <v/>
      </c>
      <c r="F46" t="str">
        <f>IF('AOP Critical'!G28="","",'AOP Critical'!G28)</f>
        <v/>
      </c>
      <c r="G46" t="str">
        <f>IF('AOP Critical'!H28="","",'AOP Critical'!H28)</f>
        <v>Higher the better</v>
      </c>
      <c r="H46" t="str">
        <f>IF('AOP Critical'!I28="","",'AOP Critical'!I28)</f>
        <v>%</v>
      </c>
      <c r="I46" t="str">
        <f>IF('AOP Critical'!J28="","",'AOP Critical'!J28)</f>
        <v>Monthly</v>
      </c>
      <c r="J46" t="str">
        <f>IF('AOP Critical'!K29="","",'AOP Critical'!K29)</f>
        <v>A</v>
      </c>
      <c r="K46" s="70" vm="2">
        <f>IF('AOP Critical'!L29="","",'AOP Critical'!L29)</f>
        <v>-0.21537837470975407</v>
      </c>
      <c r="L46" s="70">
        <f>IF('AOP Critical'!M29="","",'AOP Critical'!M29)</f>
        <v>0.27400000000000002</v>
      </c>
      <c r="M46" s="70" vm="7">
        <f>IF('AOP Critical'!N29="","",'AOP Critical'!N29)</f>
        <v>0.17956999989031885</v>
      </c>
      <c r="N46" s="70" vm="11">
        <f>IF('AOP Critical'!O29="","",'AOP Critical'!O29)</f>
        <v>0.24020098639758425</v>
      </c>
      <c r="O46" s="70" vm="13">
        <f>IF('AOP Critical'!P29="","",'AOP Critical'!P29)</f>
        <v>0.12891206138967748</v>
      </c>
      <c r="P46" s="70" vm="15">
        <f>IF('AOP Critical'!Q29="","",'AOP Critical'!Q29)</f>
        <v>0.37665227402645685</v>
      </c>
      <c r="Q46" s="70" vm="19">
        <f>IF('AOP Critical'!R29="","",'AOP Critical'!R29)</f>
        <v>0.26390638821134749</v>
      </c>
      <c r="R46" s="70" vm="23">
        <f>IF('AOP Critical'!S29="","",'AOP Critical'!S29)</f>
        <v>0.28426058124592513</v>
      </c>
      <c r="S46" s="70">
        <f>IF('AOP Critical'!T29="","",'AOP Critical'!T29)</f>
        <v>0.378</v>
      </c>
      <c r="T46" s="70" t="str">
        <f>IF('AOP Critical'!U29="","",'AOP Critical'!U29)</f>
        <v/>
      </c>
      <c r="U46" s="70" t="str">
        <f>IF('AOP Critical'!V29="","",'AOP Critical'!V29)</f>
        <v/>
      </c>
      <c r="V46" s="70" t="str">
        <f>IF('AOP Critical'!W29="","",'AOP Critical'!W29)</f>
        <v/>
      </c>
    </row>
    <row r="47" spans="1:22" x14ac:dyDescent="0.35">
      <c r="A47" t="str">
        <f>IF('AOP Critical'!D30="","",'AOP Critical'!D30)</f>
        <v>OIT Growth % (CS)</v>
      </c>
      <c r="B47" t="str">
        <f>IF('AOP Critical'!C30="","",'AOP Critical'!C30)</f>
        <v>Chetan L</v>
      </c>
      <c r="C47" t="str">
        <f>IF('AOP Critical'!D30="","",'AOP Critical'!D30)</f>
        <v>OIT Growth % (CS)</v>
      </c>
      <c r="D47" t="str">
        <f>IF('AOP Critical'!E30="","",'AOP Critical'!E30)</f>
        <v>AOP</v>
      </c>
      <c r="E47" t="str">
        <f>IF('AOP Critical'!F30="","",'AOP Critical'!F30)</f>
        <v/>
      </c>
      <c r="F47" t="str">
        <f>IF('AOP Critical'!G30="","",'AOP Critical'!G30)</f>
        <v/>
      </c>
      <c r="G47" t="str">
        <f>IF('AOP Critical'!H30="","",'AOP Critical'!H30)</f>
        <v>Higher the better</v>
      </c>
      <c r="H47" t="str">
        <f>IF('AOP Critical'!I30="","",'AOP Critical'!I30)</f>
        <v>%</v>
      </c>
      <c r="I47" t="str">
        <f>IF('AOP Critical'!J30="","",'AOP Critical'!J30)</f>
        <v>Monthly</v>
      </c>
      <c r="J47" t="str">
        <f>IF('AOP Critical'!K30="","",'AOP Critical'!K30)</f>
        <v>T</v>
      </c>
      <c r="K47" s="70"/>
      <c r="L47" s="70" vm="4">
        <f>IF('AOP Critical'!M30="","",'AOP Critical'!M30)</f>
        <v>9.8925321866648819E-2</v>
      </c>
      <c r="M47" s="70" vm="8">
        <f>IF('AOP Critical'!N30="","",'AOP Critical'!N30)</f>
        <v>0.11712228373869382</v>
      </c>
      <c r="N47" s="70">
        <f>IF('AOP Critical'!O30="","",'AOP Critical'!O30)</f>
        <v>0.15809999999999999</v>
      </c>
      <c r="O47" s="70">
        <f>IF('AOP Critical'!P30="","",'AOP Critical'!P30)</f>
        <v>0.151</v>
      </c>
      <c r="P47" s="70" vm="16">
        <f>IF('AOP Critical'!Q30="","",'AOP Critical'!Q30)</f>
        <v>0.12551463489599346</v>
      </c>
      <c r="Q47" s="70" vm="20">
        <f>IF('AOP Critical'!R30="","",'AOP Critical'!R30)</f>
        <v>0.10280225768958351</v>
      </c>
      <c r="R47" s="70">
        <f>IF('AOP Critical'!S30="","",'AOP Critical'!S30)</f>
        <v>0.13500000000000001</v>
      </c>
      <c r="S47" s="70">
        <f>IF('AOP Critical'!T30="","",'AOP Critical'!T30)</f>
        <v>0.11600000000000001</v>
      </c>
      <c r="T47" s="70" t="str">
        <f>IF('AOP Critical'!U30="","",'AOP Critical'!U30)</f>
        <v/>
      </c>
      <c r="U47" s="70" t="str">
        <f>IF('AOP Critical'!V30="","",'AOP Critical'!V30)</f>
        <v/>
      </c>
      <c r="V47" s="70" t="str">
        <f>IF('AOP Critical'!W30="","",'AOP Critical'!W30)</f>
        <v/>
      </c>
    </row>
    <row r="48" spans="1:22" x14ac:dyDescent="0.35">
      <c r="A48" t="str">
        <f>IF('AOP Critical'!D30="","",'AOP Critical'!D30)</f>
        <v>OIT Growth % (CS)</v>
      </c>
      <c r="C48" t="str">
        <f>IF('AOP Critical'!D30="","",'AOP Critical'!D30)</f>
        <v>OIT Growth % (CS)</v>
      </c>
      <c r="D48" t="str">
        <f>IF('AOP Critical'!E30="","",'AOP Critical'!E30)</f>
        <v>AOP</v>
      </c>
      <c r="E48" t="str">
        <f>IF('AOP Critical'!F30="","",'AOP Critical'!F30)</f>
        <v/>
      </c>
      <c r="F48" t="str">
        <f>IF('AOP Critical'!G30="","",'AOP Critical'!G30)</f>
        <v/>
      </c>
      <c r="G48" t="str">
        <f>IF('AOP Critical'!H30="","",'AOP Critical'!H30)</f>
        <v>Higher the better</v>
      </c>
      <c r="H48" t="str">
        <f>IF('AOP Critical'!I30="","",'AOP Critical'!I30)</f>
        <v>%</v>
      </c>
      <c r="I48" t="str">
        <f>IF('AOP Critical'!J30="","",'AOP Critical'!J30)</f>
        <v>Monthly</v>
      </c>
      <c r="J48" t="str">
        <f>IF('AOP Critical'!K31="","",'AOP Critical'!K31)</f>
        <v>A</v>
      </c>
      <c r="K48" s="70">
        <f>IF('AOP Critical'!L31="","",'AOP Critical'!L31)</f>
        <v>0.32500000000000001</v>
      </c>
      <c r="L48" s="70" vm="5">
        <f>IF('AOP Critical'!M31="","",'AOP Critical'!M31)</f>
        <v>0.19016698273293486</v>
      </c>
      <c r="M48" s="70" vm="9">
        <f>IF('AOP Critical'!N31="","",'AOP Critical'!N31)</f>
        <v>0.14313042982821633</v>
      </c>
      <c r="N48" s="70">
        <f>IF('AOP Critical'!O31="","",'AOP Critical'!O31)</f>
        <v>0.2399</v>
      </c>
      <c r="O48" s="70">
        <f>IF('AOP Critical'!P31="","",'AOP Critical'!P31)</f>
        <v>0.20599999999999999</v>
      </c>
      <c r="P48" s="70" vm="17">
        <f>IF('AOP Critical'!Q31="","",'AOP Critical'!Q31)</f>
        <v>0.15714973912715791</v>
      </c>
      <c r="Q48" s="70" vm="21">
        <f>IF('AOP Critical'!R31="","",'AOP Critical'!R31)</f>
        <v>0.10382365349216505</v>
      </c>
      <c r="R48" s="70">
        <f>IF('AOP Critical'!S31="","",'AOP Critical'!S31)</f>
        <v>0.151</v>
      </c>
      <c r="S48" s="70">
        <f>IF('AOP Critical'!T31="","",'AOP Critical'!T31)</f>
        <v>0.17799999999999999</v>
      </c>
      <c r="T48" s="70" t="str">
        <f>IF('AOP Critical'!U31="","",'AOP Critical'!U31)</f>
        <v/>
      </c>
      <c r="U48" s="70" t="str">
        <f>IF('AOP Critical'!V31="","",'AOP Critical'!V31)</f>
        <v/>
      </c>
      <c r="V48" s="70" t="str">
        <f>IF('AOP Critical'!W31="","",'AOP Critical'!W31)</f>
        <v/>
      </c>
    </row>
    <row r="49" spans="1:22" x14ac:dyDescent="0.35">
      <c r="A49" t="str">
        <f>IF('AOP Critical'!B32="","",'AOP Critical'!B32)</f>
        <v>Comparable Sales</v>
      </c>
      <c r="B49" t="str">
        <f>IF('AOP Critical'!C32="","",'AOP Critical'!C32)</f>
        <v>Rupali J</v>
      </c>
      <c r="C49" t="str">
        <f>IF('AOP Critical'!D32="","",'AOP Critical'!D32)</f>
        <v>Monthly Sales recognized (EQ)</v>
      </c>
      <c r="D49" t="str">
        <f>IF('AOP Critical'!E32="","",'AOP Critical'!E32)</f>
        <v>AOP</v>
      </c>
      <c r="E49" t="str">
        <f>IF('AOP Critical'!F32="","",'AOP Critical'!F32)</f>
        <v/>
      </c>
      <c r="F49" t="str">
        <f>IF('AOP Critical'!G32="","",'AOP Critical'!G32)</f>
        <v/>
      </c>
      <c r="G49" t="str">
        <f>IF('AOP Critical'!H32="","",'AOP Critical'!H32)</f>
        <v>Higher the better</v>
      </c>
      <c r="H49" t="str">
        <f>IF('AOP Critical'!I32="","",'AOP Critical'!I32)</f>
        <v>Mn</v>
      </c>
      <c r="I49" t="str">
        <f>IF('AOP Critical'!J32="","",'AOP Critical'!J32)</f>
        <v>Monthly</v>
      </c>
      <c r="J49" t="str">
        <f>IF('AOP Critical'!K32="","",'AOP Critical'!K32)</f>
        <v>T</v>
      </c>
      <c r="K49" s="72">
        <f>IF('AOP Critical'!L32="","",'AOP Critical'!L32)</f>
        <v>8.6903037999999988</v>
      </c>
      <c r="L49" s="72">
        <f>IF('AOP Critical'!M32="","",'AOP Critical'!M32)</f>
        <v>14.05</v>
      </c>
      <c r="M49" s="72">
        <f>IF('AOP Critical'!N32="","",'AOP Critical'!N32)</f>
        <v>24.179069699999999</v>
      </c>
      <c r="N49" s="72">
        <f>IF('AOP Critical'!O32="","",'AOP Critical'!O32)</f>
        <v>33.551317699999998</v>
      </c>
      <c r="O49" s="72">
        <f>IF('AOP Critical'!P32="","",'AOP Critical'!P32)</f>
        <v>41.442849800000005</v>
      </c>
      <c r="P49" s="72">
        <f>IF('AOP Critical'!Q32="","",'AOP Critical'!Q32)</f>
        <v>60.823965100000009</v>
      </c>
      <c r="Q49" s="72">
        <f>IF('AOP Critical'!R32="","",'AOP Critical'!R32)</f>
        <v>72.599999999999994</v>
      </c>
      <c r="R49" s="72">
        <f>IF('AOP Critical'!S32="","",'AOP Critical'!S32)</f>
        <v>82.449704499999996</v>
      </c>
      <c r="S49" s="72">
        <f>IF('AOP Critical'!T32="","",'AOP Critical'!T32)</f>
        <v>97.4</v>
      </c>
      <c r="T49" s="72" t="str">
        <f>IF('AOP Critical'!U32="","",'AOP Critical'!U32)</f>
        <v/>
      </c>
      <c r="U49" s="72" t="str">
        <f>IF('AOP Critical'!V32="","",'AOP Critical'!V32)</f>
        <v/>
      </c>
      <c r="V49" s="72" t="str">
        <f>IF('AOP Critical'!W32="","",'AOP Critical'!W32)</f>
        <v/>
      </c>
    </row>
    <row r="50" spans="1:22" x14ac:dyDescent="0.35">
      <c r="A50" t="str">
        <f>IF('AOP Critical'!B32="","",'AOP Critical'!B32)</f>
        <v>Comparable Sales</v>
      </c>
      <c r="B50" t="str">
        <f>IF('AOP Critical'!C32="","",'AOP Critical'!C32)</f>
        <v>Rupali J</v>
      </c>
      <c r="C50" t="str">
        <f>IF('AOP Critical'!D32="","",'AOP Critical'!D32)</f>
        <v>Monthly Sales recognized (EQ)</v>
      </c>
      <c r="D50" t="str">
        <f>IF('AOP Critical'!E32="","",'AOP Critical'!E32)</f>
        <v>AOP</v>
      </c>
      <c r="E50" t="str">
        <f>IF('AOP Critical'!F32="","",'AOP Critical'!F32)</f>
        <v/>
      </c>
      <c r="F50" t="str">
        <f>IF('AOP Critical'!G32="","",'AOP Critical'!G32)</f>
        <v/>
      </c>
      <c r="G50" t="str">
        <f>IF('AOP Critical'!H32="","",'AOP Critical'!H32)</f>
        <v>Higher the better</v>
      </c>
      <c r="H50" t="str">
        <f>IF('AOP Critical'!I32="","",'AOP Critical'!I32)</f>
        <v>Mn</v>
      </c>
      <c r="I50" t="str">
        <f>IF('AOP Critical'!J32="","",'AOP Critical'!J32)</f>
        <v>Monthly</v>
      </c>
      <c r="J50" t="str">
        <f>IF('AOP Critical'!K33="","",'AOP Critical'!K33)</f>
        <v>A</v>
      </c>
      <c r="K50" s="72">
        <f>IF('AOP Critical'!L33="","",'AOP Critical'!L33)</f>
        <v>4.05</v>
      </c>
      <c r="L50" s="72">
        <f>IF('AOP Critical'!M33="","",'AOP Critical'!M33)</f>
        <v>9.7989724000000002</v>
      </c>
      <c r="M50" s="72">
        <f>IF('AOP Critical'!N33="","",'AOP Critical'!N33)</f>
        <v>25.313448100000002</v>
      </c>
      <c r="N50" s="72">
        <f>IF('AOP Critical'!O33="","",'AOP Critical'!O33)</f>
        <v>31.452557499999998</v>
      </c>
      <c r="O50" s="72">
        <f>IF('AOP Critical'!P33="","",'AOP Critical'!P33)</f>
        <v>41.128122899999994</v>
      </c>
      <c r="P50" s="72">
        <f>IF('AOP Critical'!Q33="","",'AOP Critical'!Q33)</f>
        <v>55.164574999999999</v>
      </c>
      <c r="Q50" s="72">
        <f>IF('AOP Critical'!R33="","",'AOP Critical'!R33)</f>
        <v>61.940289700000001</v>
      </c>
      <c r="R50" s="72">
        <f>IF('AOP Critical'!S33="","",'AOP Critical'!S33)</f>
        <v>72.779408199999978</v>
      </c>
      <c r="S50" s="72">
        <f>IF('AOP Critical'!T33="","",'AOP Critical'!T33)</f>
        <v>91.2</v>
      </c>
      <c r="T50" s="72" t="str">
        <f>IF('AOP Critical'!U33="","",'AOP Critical'!U33)</f>
        <v/>
      </c>
      <c r="U50" s="72" t="str">
        <f>IF('AOP Critical'!V33="","",'AOP Critical'!V33)</f>
        <v/>
      </c>
      <c r="V50" s="72" t="str">
        <f>IF('AOP Critical'!W33="","",'AOP Critical'!W33)</f>
        <v/>
      </c>
    </row>
    <row r="51" spans="1:22" x14ac:dyDescent="0.35">
      <c r="A51" t="str">
        <f>IF('AOP Critical'!B24="","",'AOP Critical'!B24)</f>
        <v>Implied Market Share Gain</v>
      </c>
      <c r="B51" t="str">
        <f>IF('AOP Critical'!C24="","",'AOP Critical'!C24)</f>
        <v>Sarika P</v>
      </c>
      <c r="C51" t="str">
        <f>IF('AOP Critical'!D24="","",'AOP Critical'!D24)</f>
        <v>Implied Market Share Gain (ITQ)</v>
      </c>
      <c r="D51" t="str">
        <f>IF('AOP Critical'!E24="","",'AOP Critical'!E24)</f>
        <v>TBD</v>
      </c>
      <c r="E51" t="str">
        <f>IF('AOP Critical'!F24="","",'AOP Critical'!F24)</f>
        <v>TBD</v>
      </c>
      <c r="F51" t="str">
        <f>IF('AOP Critical'!G24="","",'AOP Critical'!G24)</f>
        <v>TBD</v>
      </c>
      <c r="G51" t="str">
        <f>IF('AOP Critical'!H24="","",'AOP Critical'!H24)</f>
        <v>Higher the better</v>
      </c>
      <c r="H51" t="str">
        <f>IF('AOP Critical'!I24="","",'AOP Critical'!I24)</f>
        <v>%</v>
      </c>
      <c r="I51" t="str">
        <f>IF('AOP Critical'!J24="","",'AOP Critical'!J24)</f>
        <v>Quarterly</v>
      </c>
      <c r="J51" t="str">
        <f>IF('AOP Critical'!K24="","",'AOP Critical'!K24)</f>
        <v>T</v>
      </c>
      <c r="K51" s="70" t="str">
        <f>IF('AOP Critical'!L24="","",'AOP Critical'!L24)</f>
        <v/>
      </c>
      <c r="L51" s="70" t="str">
        <f>IF('AOP Critical'!M24="","",'AOP Critical'!M24)</f>
        <v/>
      </c>
      <c r="M51" s="70">
        <f>IF('AOP Critical'!N24="","",'AOP Critical'!N24)</f>
        <v>0.104</v>
      </c>
      <c r="N51" s="70" t="str">
        <f>IF('AOP Critical'!O24="","",'AOP Critical'!O24)</f>
        <v>QTR</v>
      </c>
      <c r="O51" s="70" t="str">
        <f>IF('AOP Critical'!P24="","",'AOP Critical'!P24)</f>
        <v>QTR</v>
      </c>
      <c r="P51" s="70">
        <f>IF('AOP Critical'!Q24="","",'AOP Critical'!Q24)</f>
        <v>0.11799999999999999</v>
      </c>
      <c r="Q51" s="70" t="str">
        <f>IF('AOP Critical'!R24="","",'AOP Critical'!R24)</f>
        <v>QTR</v>
      </c>
      <c r="R51" s="70" t="str">
        <f>IF('AOP Critical'!S24="","",'AOP Critical'!S24)</f>
        <v>QTR</v>
      </c>
      <c r="S51" s="70" t="str">
        <f>IF('AOP Critical'!T24="","",'AOP Critical'!T24)</f>
        <v>QTR</v>
      </c>
      <c r="T51" s="70" t="str">
        <f>IF('AOP Critical'!U24="","",'AOP Critical'!U24)</f>
        <v/>
      </c>
      <c r="U51" s="70" t="str">
        <f>IF('AOP Critical'!V24="","",'AOP Critical'!V24)</f>
        <v/>
      </c>
      <c r="V51" s="70" t="str">
        <f>IF('AOP Critical'!W24="","",'AOP Critical'!W24)</f>
        <v/>
      </c>
    </row>
    <row r="52" spans="1:22" x14ac:dyDescent="0.35">
      <c r="A52" t="str">
        <f>IF('AOP Critical'!B24="","",'AOP Critical'!B24)</f>
        <v>Implied Market Share Gain</v>
      </c>
      <c r="B52" t="str">
        <f>IF('AOP Critical'!C24="","",'AOP Critical'!C24)</f>
        <v>Sarika P</v>
      </c>
      <c r="C52" t="str">
        <f>IF('AOP Critical'!D24="","",'AOP Critical'!D24)</f>
        <v>Implied Market Share Gain (ITQ)</v>
      </c>
      <c r="D52" t="str">
        <f>IF('AOP Critical'!E24="","",'AOP Critical'!E24)</f>
        <v>TBD</v>
      </c>
      <c r="E52" t="str">
        <f>IF('AOP Critical'!F24="","",'AOP Critical'!F24)</f>
        <v>TBD</v>
      </c>
      <c r="F52" t="str">
        <f>IF('AOP Critical'!G24="","",'AOP Critical'!G24)</f>
        <v>TBD</v>
      </c>
      <c r="G52" t="str">
        <f>IF('AOP Critical'!H24="","",'AOP Critical'!H24)</f>
        <v>Higher the better</v>
      </c>
      <c r="H52" t="str">
        <f>IF('AOP Critical'!I24="","",'AOP Critical'!I24)</f>
        <v>%</v>
      </c>
      <c r="I52" t="str">
        <f>IF('AOP Critical'!J24="","",'AOP Critical'!J24)</f>
        <v>Quarterly</v>
      </c>
      <c r="J52" t="str">
        <f>IF('AOP Critical'!K25="","",'AOP Critical'!K25)</f>
        <v>A</v>
      </c>
      <c r="K52" t="str">
        <f>IF('AOP Critical'!L25="","",'AOP Critical'!L25)</f>
        <v>QTR</v>
      </c>
      <c r="L52" t="str">
        <f>IF('AOP Critical'!M25="","",'AOP Critical'!M25)</f>
        <v>QTR</v>
      </c>
      <c r="M52">
        <f>IF('AOP Critical'!N25="","",'AOP Critical'!N25)</f>
        <v>0.115</v>
      </c>
      <c r="N52" t="str">
        <f>IF('AOP Critical'!O25="","",'AOP Critical'!O25)</f>
        <v>QTR</v>
      </c>
      <c r="O52" t="str">
        <f>IF('AOP Critical'!P25="","",'AOP Critical'!P25)</f>
        <v>QTR</v>
      </c>
      <c r="P52">
        <f>IF('AOP Critical'!Q25="","",'AOP Critical'!Q25)</f>
        <v>0.12</v>
      </c>
      <c r="Q52" t="str">
        <f>IF('AOP Critical'!R25="","",'AOP Critical'!R25)</f>
        <v>QTR</v>
      </c>
      <c r="R52" t="str">
        <f>IF('AOP Critical'!S25="","",'AOP Critical'!S25)</f>
        <v>QTR</v>
      </c>
      <c r="S52" t="str">
        <f>IF('AOP Critical'!T25="","",'AOP Critical'!T25)</f>
        <v>QTR</v>
      </c>
      <c r="T52" t="str">
        <f>IF('AOP Critical'!U25="","",'AOP Critical'!U25)</f>
        <v/>
      </c>
      <c r="U52" t="str">
        <f>IF('AOP Critical'!V25="","",'AOP Critical'!V25)</f>
        <v/>
      </c>
      <c r="V52" t="str">
        <f>IF('AOP Critical'!W25="","",'AOP Critical'!W25)</f>
        <v/>
      </c>
    </row>
    <row r="54" spans="1:22" x14ac:dyDescent="0.35">
      <c r="A54" s="6" t="s">
        <v>28</v>
      </c>
    </row>
    <row r="55" spans="1:22" x14ac:dyDescent="0.35">
      <c r="A55" t="s">
        <v>2</v>
      </c>
      <c r="B55" t="s">
        <v>3</v>
      </c>
      <c r="C55" t="s">
        <v>4</v>
      </c>
      <c r="D55" t="s">
        <v>5</v>
      </c>
      <c r="E55" t="s">
        <v>6</v>
      </c>
      <c r="F55" t="s">
        <v>7</v>
      </c>
      <c r="G55" t="s">
        <v>8</v>
      </c>
      <c r="H55" t="s">
        <v>9</v>
      </c>
      <c r="I55" t="s">
        <v>10</v>
      </c>
      <c r="J55" t="s">
        <v>11</v>
      </c>
      <c r="K55" t="s">
        <v>12</v>
      </c>
      <c r="L55" t="s">
        <v>13</v>
      </c>
      <c r="M55" t="s">
        <v>14</v>
      </c>
      <c r="N55" t="s">
        <v>15</v>
      </c>
      <c r="O55" t="s">
        <v>16</v>
      </c>
      <c r="P55" t="s">
        <v>17</v>
      </c>
      <c r="Q55" t="s">
        <v>18</v>
      </c>
      <c r="R55" t="s">
        <v>19</v>
      </c>
      <c r="S55" t="s">
        <v>20</v>
      </c>
      <c r="T55" t="s">
        <v>21</v>
      </c>
      <c r="U55" t="s">
        <v>22</v>
      </c>
      <c r="V55" t="s">
        <v>23</v>
      </c>
    </row>
    <row r="56" spans="1:22" x14ac:dyDescent="0.35">
      <c r="A56" t="s">
        <v>29</v>
      </c>
      <c r="B56" t="s">
        <v>30</v>
      </c>
      <c r="C56" t="s">
        <v>31</v>
      </c>
      <c r="D56">
        <v>90</v>
      </c>
      <c r="G56" t="s">
        <v>32</v>
      </c>
      <c r="H56" t="s">
        <v>33</v>
      </c>
      <c r="I56" t="s">
        <v>34</v>
      </c>
      <c r="J56" t="str">
        <f>IF('AOP Critical'!K34="","",'AOP Critical'!K34)</f>
        <v>T</v>
      </c>
      <c r="K56" s="69" t="str">
        <f>IF('AOP Critical'!L34="","",'AOP Critical'!L34)</f>
        <v/>
      </c>
      <c r="L56" s="69" t="str">
        <f>IF('AOP Critical'!M34="","",'AOP Critical'!M34)</f>
        <v/>
      </c>
      <c r="M56" s="69">
        <f>IF('AOP Critical'!N34="","",'AOP Critical'!N34)</f>
        <v>0.9</v>
      </c>
      <c r="N56" s="69" t="str">
        <f>IF('AOP Critical'!O34="","",'AOP Critical'!O34)</f>
        <v/>
      </c>
      <c r="O56" s="69" t="str">
        <f>IF('AOP Critical'!P34="","",'AOP Critical'!P34)</f>
        <v/>
      </c>
      <c r="P56" s="69">
        <f>IF('AOP Critical'!Q34="","",'AOP Critical'!Q34)</f>
        <v>0.9</v>
      </c>
      <c r="Q56" s="69" t="str">
        <f>IF('AOP Critical'!R34="","",'AOP Critical'!R34)</f>
        <v/>
      </c>
      <c r="R56" s="69" t="str">
        <f>IF('AOP Critical'!S34="","",'AOP Critical'!S34)</f>
        <v/>
      </c>
      <c r="S56" s="69">
        <f>IF('AOP Critical'!T34="","",'AOP Critical'!T34)</f>
        <v>0.9</v>
      </c>
      <c r="T56" s="69" t="str">
        <f>IF('AOP Critical'!U34="","",'AOP Critical'!U34)</f>
        <v/>
      </c>
      <c r="U56" s="69" t="str">
        <f>IF('AOP Critical'!V34="","",'AOP Critical'!V34)</f>
        <v/>
      </c>
      <c r="V56" s="69">
        <f>IF('AOP Critical'!W34="","",'AOP Critical'!W34)</f>
        <v>0.9</v>
      </c>
    </row>
    <row r="57" spans="1:22" x14ac:dyDescent="0.35">
      <c r="A57" t="s">
        <v>29</v>
      </c>
      <c r="B57" t="s">
        <v>30</v>
      </c>
      <c r="C57" t="s">
        <v>31</v>
      </c>
      <c r="D57">
        <v>91</v>
      </c>
      <c r="G57" t="s">
        <v>32</v>
      </c>
      <c r="H57" t="s">
        <v>33</v>
      </c>
      <c r="I57" t="s">
        <v>34</v>
      </c>
      <c r="J57" t="str">
        <f>IF('AOP Critical'!K35="","",'AOP Critical'!K35)</f>
        <v>A</v>
      </c>
      <c r="K57" s="69" t="str">
        <f>IF('AOP Critical'!L35="","",'AOP Critical'!L35)</f>
        <v>QTR</v>
      </c>
      <c r="L57" s="69" t="str">
        <f>IF('AOP Critical'!M35="","",'AOP Critical'!M35)</f>
        <v>QTR</v>
      </c>
      <c r="M57" s="69">
        <f>IF('AOP Critical'!N35="","",'AOP Critical'!N35)</f>
        <v>1</v>
      </c>
      <c r="N57" s="69" t="str">
        <f>IF('AOP Critical'!O35="","",'AOP Critical'!O35)</f>
        <v>QTR</v>
      </c>
      <c r="O57" s="69" t="str">
        <f>IF('AOP Critical'!P35="","",'AOP Critical'!P35)</f>
        <v>QTR</v>
      </c>
      <c r="P57" s="69">
        <f>IF('AOP Critical'!Q35="","",'AOP Critical'!Q35)</f>
        <v>0.96199999999999997</v>
      </c>
      <c r="Q57" s="69" t="str">
        <f>IF('AOP Critical'!R35="","",'AOP Critical'!R35)</f>
        <v>QTR</v>
      </c>
      <c r="R57" s="69" t="str">
        <f>IF('AOP Critical'!S35="","",'AOP Critical'!S35)</f>
        <v>QTR</v>
      </c>
      <c r="S57" s="69">
        <f>IF('AOP Critical'!T35="","",'AOP Critical'!T35)</f>
        <v>0.91300000000000003</v>
      </c>
      <c r="T57" s="69" t="str">
        <f>IF('AOP Critical'!U35="","",'AOP Critical'!U35)</f>
        <v/>
      </c>
      <c r="U57" s="69" t="str">
        <f>IF('AOP Critical'!V35="","",'AOP Critical'!V35)</f>
        <v/>
      </c>
      <c r="V57" s="69" t="str">
        <f>IF('AOP Critical'!W35="","",'AOP Critical'!W35)</f>
        <v/>
      </c>
    </row>
    <row r="58" spans="1:22" x14ac:dyDescent="0.35">
      <c r="A58" t="s">
        <v>35</v>
      </c>
      <c r="B58" t="s">
        <v>36</v>
      </c>
      <c r="C58" t="s">
        <v>37</v>
      </c>
      <c r="D58">
        <v>83</v>
      </c>
      <c r="G58" t="s">
        <v>32</v>
      </c>
      <c r="H58" t="s">
        <v>33</v>
      </c>
      <c r="I58" t="s">
        <v>38</v>
      </c>
      <c r="J58" t="str">
        <f>IF('AOP Critical'!K36="","",'AOP Critical'!K36)</f>
        <v>T</v>
      </c>
      <c r="K58" s="69" t="str">
        <f>IF('AOP Critical'!L36="","",'AOP Critical'!L36)</f>
        <v/>
      </c>
      <c r="L58" s="69" t="str">
        <f>IF('AOP Critical'!M36="","",'AOP Critical'!M36)</f>
        <v/>
      </c>
      <c r="M58" s="69" t="str">
        <f>IF('AOP Critical'!N36="","",'AOP Critical'!N36)</f>
        <v/>
      </c>
      <c r="N58" s="69">
        <f>IF('AOP Critical'!O36="","",'AOP Critical'!O36)</f>
        <v>0.83</v>
      </c>
      <c r="O58" s="69" t="str">
        <f>IF('AOP Critical'!P36="","",'AOP Critical'!P36)</f>
        <v/>
      </c>
      <c r="P58" s="69">
        <f>IF('AOP Critical'!Q36="","",'AOP Critical'!Q36)</f>
        <v>0.83</v>
      </c>
      <c r="Q58" s="69" t="str">
        <f>IF('AOP Critical'!R36="","",'AOP Critical'!R36)</f>
        <v/>
      </c>
      <c r="R58" s="69" t="str">
        <f>IF('AOP Critical'!S36="","",'AOP Critical'!S36)</f>
        <v/>
      </c>
      <c r="S58" s="69" t="str">
        <f>IF('AOP Critical'!T36="","",'AOP Critical'!T36)</f>
        <v/>
      </c>
      <c r="T58" s="69" t="str">
        <f>IF('AOP Critical'!U36="","",'AOP Critical'!U36)</f>
        <v/>
      </c>
      <c r="U58" s="69" t="str">
        <f>IF('AOP Critical'!V36="","",'AOP Critical'!V36)</f>
        <v/>
      </c>
      <c r="V58" s="69" t="str">
        <f>IF('AOP Critical'!W36="","",'AOP Critical'!W36)</f>
        <v/>
      </c>
    </row>
    <row r="59" spans="1:22" x14ac:dyDescent="0.35">
      <c r="A59" t="s">
        <v>35</v>
      </c>
      <c r="B59" t="s">
        <v>36</v>
      </c>
      <c r="C59" t="s">
        <v>37</v>
      </c>
      <c r="D59">
        <v>84</v>
      </c>
      <c r="G59" t="s">
        <v>32</v>
      </c>
      <c r="H59" t="s">
        <v>33</v>
      </c>
      <c r="I59" t="s">
        <v>38</v>
      </c>
      <c r="J59" t="str">
        <f>IF('AOP Critical'!K37="","",'AOP Critical'!K37)</f>
        <v>A</v>
      </c>
      <c r="K59" s="69" t="str">
        <f>IF('AOP Critical'!L37="","",'AOP Critical'!L37)</f>
        <v>HY</v>
      </c>
      <c r="L59" s="69" t="str">
        <f>IF('AOP Critical'!M37="","",'AOP Critical'!M37)</f>
        <v>HY</v>
      </c>
      <c r="M59" s="69" t="str">
        <f>IF('AOP Critical'!N37="","",'AOP Critical'!N37)</f>
        <v>HY</v>
      </c>
      <c r="N59" s="69">
        <f>IF('AOP Critical'!O37="","",'AOP Critical'!O37)</f>
        <v>0.79</v>
      </c>
      <c r="O59" s="69" t="str">
        <f>IF('AOP Critical'!P37="","",'AOP Critical'!P37)</f>
        <v>HY</v>
      </c>
      <c r="P59" s="69">
        <f>IF('AOP Critical'!Q37="","",'AOP Critical'!Q37)</f>
        <v>0.79</v>
      </c>
      <c r="Q59" s="69" t="str">
        <f>IF('AOP Critical'!R37="","",'AOP Critical'!R37)</f>
        <v>HY</v>
      </c>
      <c r="R59" s="69" t="str">
        <f>IF('AOP Critical'!S37="","",'AOP Critical'!S37)</f>
        <v/>
      </c>
      <c r="S59" s="69" t="str">
        <f>IF('AOP Critical'!T37="","",'AOP Critical'!T37)</f>
        <v>HY</v>
      </c>
      <c r="T59" s="69" t="str">
        <f>IF('AOP Critical'!U37="","",'AOP Critical'!U37)</f>
        <v/>
      </c>
      <c r="U59" s="69" t="str">
        <f>IF('AOP Critical'!V37="","",'AOP Critical'!V37)</f>
        <v/>
      </c>
      <c r="V59" s="69" t="str">
        <f>IF('AOP Critical'!W37="","",'AOP Critical'!W37)</f>
        <v/>
      </c>
    </row>
  </sheetData>
  <phoneticPr fontId="12" type="noConversion"/>
  <pageMargins left="0.7" right="0.7" top="0.75" bottom="0.75" header="0.3" footer="0.3"/>
  <customProperties>
    <customPr name="_pios_id" r:id="rId1"/>
  </customProperties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542D1-52E6-4116-B536-B17D5839DF19}">
  <sheetPr codeName="Sheet1"/>
  <dimension ref="A1:AC52"/>
  <sheetViews>
    <sheetView tabSelected="1" topLeftCell="L1" zoomScale="90" zoomScaleNormal="90" workbookViewId="0">
      <pane ySplit="5" topLeftCell="A6" activePane="bottomLeft" state="frozen"/>
      <selection pane="bottomLeft" activeCell="X3" sqref="X3"/>
    </sheetView>
  </sheetViews>
  <sheetFormatPr defaultColWidth="9.1796875" defaultRowHeight="20.5" customHeight="1" x14ac:dyDescent="0.35"/>
  <cols>
    <col min="1" max="1" width="25.54296875" customWidth="1"/>
    <col min="2" max="2" width="27.26953125" bestFit="1" customWidth="1"/>
    <col min="3" max="3" width="12.1796875" style="1" hidden="1" customWidth="1"/>
    <col min="4" max="4" width="26.81640625" customWidth="1"/>
    <col min="5" max="5" width="5.1796875" hidden="1" customWidth="1"/>
    <col min="6" max="6" width="4.54296875" hidden="1" customWidth="1"/>
    <col min="7" max="7" width="1.81640625" hidden="1" customWidth="1"/>
    <col min="8" max="8" width="2.7265625" hidden="1" customWidth="1"/>
    <col min="9" max="9" width="5.26953125" bestFit="1" customWidth="1"/>
    <col min="10" max="10" width="9.54296875" bestFit="1" customWidth="1"/>
    <col min="11" max="11" width="6.7265625" customWidth="1"/>
    <col min="12" max="12" width="5.54296875" hidden="1" customWidth="1"/>
    <col min="13" max="13" width="6.81640625" hidden="1" customWidth="1"/>
    <col min="14" max="14" width="6.26953125" customWidth="1"/>
    <col min="15" max="15" width="7.26953125" hidden="1" customWidth="1"/>
    <col min="16" max="16" width="6.1796875" hidden="1" customWidth="1"/>
    <col min="17" max="17" width="5" bestFit="1" customWidth="1"/>
    <col min="18" max="22" width="6.1796875" customWidth="1"/>
    <col min="23" max="23" width="6" customWidth="1"/>
    <col min="24" max="24" width="58.81640625" style="20" customWidth="1"/>
    <col min="25" max="25" width="68.1796875" customWidth="1"/>
    <col min="26" max="26" width="17.7265625" customWidth="1"/>
    <col min="27" max="27" width="57" style="13" customWidth="1"/>
    <col min="28" max="46" width="8.54296875" customWidth="1"/>
  </cols>
  <sheetData>
    <row r="1" spans="1:27" ht="20.5" customHeight="1" x14ac:dyDescent="0.35">
      <c r="B1" s="3" t="s">
        <v>39</v>
      </c>
      <c r="C1" s="4">
        <v>46235</v>
      </c>
      <c r="G1" s="6"/>
      <c r="H1" s="6"/>
      <c r="I1" s="6"/>
    </row>
    <row r="2" spans="1:27" ht="20.5" customHeight="1" x14ac:dyDescent="0.35">
      <c r="B2" s="6"/>
      <c r="C2" s="7"/>
      <c r="E2" s="6"/>
      <c r="F2" s="6"/>
      <c r="G2" s="6"/>
      <c r="H2" s="6"/>
      <c r="I2" s="6"/>
    </row>
    <row r="3" spans="1:27" s="5" customFormat="1" ht="20.5" customHeight="1" x14ac:dyDescent="0.35">
      <c r="A3" s="105" t="s">
        <v>40</v>
      </c>
      <c r="B3" s="10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X3" s="171"/>
      <c r="AA3" s="14"/>
    </row>
    <row r="4" spans="1:27" s="5" customFormat="1" ht="20.5" customHeight="1" x14ac:dyDescent="0.35">
      <c r="A4" s="107" t="str">
        <f ca="1">"Current Month-Year " &amp; ":" &amp; TEXT(TODAY(),"YYYY-MM")</f>
        <v>Current Month-Year :2026-10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</row>
    <row r="5" spans="1:27" ht="20.5" customHeight="1" x14ac:dyDescent="0.35">
      <c r="A5" s="85" t="s">
        <v>0</v>
      </c>
      <c r="B5" s="34" t="s">
        <v>2</v>
      </c>
      <c r="C5" s="34" t="s">
        <v>3</v>
      </c>
      <c r="D5" s="34" t="s">
        <v>4</v>
      </c>
      <c r="E5" s="111" t="s">
        <v>5</v>
      </c>
      <c r="F5" s="111"/>
      <c r="G5" s="111"/>
      <c r="H5" s="86" t="s">
        <v>8</v>
      </c>
      <c r="I5" s="34" t="s">
        <v>9</v>
      </c>
      <c r="J5" s="34" t="s">
        <v>10</v>
      </c>
      <c r="K5" s="34" t="s">
        <v>11</v>
      </c>
      <c r="L5" s="34" t="s">
        <v>12</v>
      </c>
      <c r="M5" s="34" t="s">
        <v>13</v>
      </c>
      <c r="N5" s="34" t="s">
        <v>41</v>
      </c>
      <c r="O5" s="34" t="s">
        <v>15</v>
      </c>
      <c r="P5" s="34" t="s">
        <v>16</v>
      </c>
      <c r="Q5" s="34" t="s">
        <v>42</v>
      </c>
      <c r="R5" s="34" t="s">
        <v>18</v>
      </c>
      <c r="S5" s="34" t="s">
        <v>19</v>
      </c>
      <c r="T5" s="34" t="s">
        <v>142</v>
      </c>
      <c r="U5" s="34" t="s">
        <v>21</v>
      </c>
      <c r="V5" s="34" t="s">
        <v>22</v>
      </c>
      <c r="W5" s="34" t="s">
        <v>23</v>
      </c>
      <c r="X5" s="23" t="s">
        <v>43</v>
      </c>
      <c r="Y5" s="11" t="s">
        <v>44</v>
      </c>
      <c r="Z5" s="11" t="s">
        <v>45</v>
      </c>
      <c r="AA5" s="15" t="s">
        <v>46</v>
      </c>
    </row>
    <row r="6" spans="1:27" ht="14.5" x14ac:dyDescent="0.35">
      <c r="A6" s="104" t="s">
        <v>47</v>
      </c>
      <c r="B6" s="88" t="s">
        <v>48</v>
      </c>
      <c r="C6" s="89" t="s">
        <v>49</v>
      </c>
      <c r="D6" s="87" t="s">
        <v>50</v>
      </c>
      <c r="E6" s="103">
        <v>10</v>
      </c>
      <c r="F6" s="103"/>
      <c r="G6" s="103"/>
      <c r="H6" s="106" t="s">
        <v>51</v>
      </c>
      <c r="I6" s="103" t="s">
        <v>33</v>
      </c>
      <c r="J6" s="102" t="s">
        <v>52</v>
      </c>
      <c r="K6" s="22" t="s">
        <v>53</v>
      </c>
      <c r="L6" s="35">
        <v>0.08</v>
      </c>
      <c r="M6" s="35">
        <v>0.08</v>
      </c>
      <c r="N6" s="35">
        <v>0.08</v>
      </c>
      <c r="O6" s="35">
        <v>7.0000000000000007E-2</v>
      </c>
      <c r="P6" s="35">
        <v>7.0000000000000007E-2</v>
      </c>
      <c r="Q6" s="35">
        <v>7.0000000000000007E-2</v>
      </c>
      <c r="R6" s="18">
        <v>0.06</v>
      </c>
      <c r="S6" s="18">
        <v>0.06</v>
      </c>
      <c r="T6" s="18">
        <v>0.06</v>
      </c>
      <c r="U6" s="18">
        <v>0.05</v>
      </c>
      <c r="V6" s="18">
        <v>0.05</v>
      </c>
      <c r="W6" s="27">
        <v>0.05</v>
      </c>
      <c r="X6" s="101"/>
      <c r="Y6" s="108"/>
      <c r="Z6" s="108"/>
      <c r="AA6" s="118" t="s">
        <v>54</v>
      </c>
    </row>
    <row r="7" spans="1:27" ht="14.5" x14ac:dyDescent="0.35">
      <c r="A7" s="104"/>
      <c r="B7" s="88"/>
      <c r="C7" s="89"/>
      <c r="D7" s="87"/>
      <c r="E7" s="103"/>
      <c r="F7" s="103"/>
      <c r="G7" s="103"/>
      <c r="H7" s="106"/>
      <c r="I7" s="103"/>
      <c r="J7" s="102"/>
      <c r="K7" s="22" t="s">
        <v>55</v>
      </c>
      <c r="L7" s="17">
        <v>3.7999999999999999E-2</v>
      </c>
      <c r="M7" s="50">
        <v>3.7999999999999999E-2</v>
      </c>
      <c r="N7" s="50">
        <v>2.8000000000000001E-2</v>
      </c>
      <c r="O7" s="50">
        <v>2.5999999999999999E-2</v>
      </c>
      <c r="P7" s="50">
        <v>2.5999999999999999E-2</v>
      </c>
      <c r="Q7" s="50">
        <v>0.03</v>
      </c>
      <c r="R7" s="50">
        <v>3.1E-2</v>
      </c>
      <c r="S7" s="50">
        <v>3.5000000000000003E-2</v>
      </c>
      <c r="T7" s="50">
        <v>3.5000000000000003E-2</v>
      </c>
      <c r="U7" s="50"/>
      <c r="V7" s="50"/>
      <c r="W7" s="50">
        <v>7.0000000000000007E-2</v>
      </c>
      <c r="X7" s="91"/>
      <c r="Y7" s="93"/>
      <c r="Z7" s="93"/>
      <c r="AA7" s="119"/>
    </row>
    <row r="8" spans="1:27" ht="14.5" x14ac:dyDescent="0.35">
      <c r="A8" s="104"/>
      <c r="B8" s="88" t="s">
        <v>56</v>
      </c>
      <c r="C8" s="89" t="s">
        <v>49</v>
      </c>
      <c r="D8" s="87" t="s">
        <v>57</v>
      </c>
      <c r="E8" s="103">
        <v>90</v>
      </c>
      <c r="F8" s="103"/>
      <c r="G8" s="103"/>
      <c r="H8" s="106" t="s">
        <v>32</v>
      </c>
      <c r="I8" s="103" t="s">
        <v>33</v>
      </c>
      <c r="J8" s="102" t="s">
        <v>52</v>
      </c>
      <c r="K8" s="22" t="s">
        <v>53</v>
      </c>
      <c r="L8" s="35">
        <v>0.9</v>
      </c>
      <c r="M8" s="35">
        <v>0.9</v>
      </c>
      <c r="N8" s="35">
        <v>0.9</v>
      </c>
      <c r="O8" s="35">
        <v>0.9</v>
      </c>
      <c r="P8" s="35">
        <v>0.9</v>
      </c>
      <c r="Q8" s="35">
        <v>0.9</v>
      </c>
      <c r="R8" s="35">
        <v>0.9</v>
      </c>
      <c r="S8" s="35">
        <v>0.9</v>
      </c>
      <c r="T8" s="35">
        <v>0.9</v>
      </c>
      <c r="U8" s="18"/>
      <c r="V8" s="18"/>
      <c r="W8" s="27"/>
      <c r="X8" s="91"/>
      <c r="Y8" s="92"/>
      <c r="Z8" s="109"/>
      <c r="AA8" s="118" t="s">
        <v>58</v>
      </c>
    </row>
    <row r="9" spans="1:27" ht="14.5" x14ac:dyDescent="0.35">
      <c r="A9" s="104"/>
      <c r="B9" s="88"/>
      <c r="C9" s="89"/>
      <c r="D9" s="87"/>
      <c r="E9" s="103"/>
      <c r="F9" s="103"/>
      <c r="G9" s="103"/>
      <c r="H9" s="106"/>
      <c r="I9" s="103"/>
      <c r="J9" s="102"/>
      <c r="K9" s="22" t="s">
        <v>55</v>
      </c>
      <c r="L9" s="19">
        <v>1</v>
      </c>
      <c r="M9" s="52">
        <v>0.75</v>
      </c>
      <c r="N9" s="52">
        <v>0.4</v>
      </c>
      <c r="O9" s="75">
        <v>0</v>
      </c>
      <c r="P9" s="52">
        <v>0</v>
      </c>
      <c r="Q9" s="52">
        <v>0</v>
      </c>
      <c r="R9" s="52">
        <v>1</v>
      </c>
      <c r="S9" s="52">
        <v>1</v>
      </c>
      <c r="T9" s="52">
        <v>1</v>
      </c>
      <c r="U9" s="52"/>
      <c r="V9" s="52"/>
      <c r="W9" s="52"/>
      <c r="X9" s="91"/>
      <c r="Y9" s="93"/>
      <c r="Z9" s="110"/>
      <c r="AA9" s="119"/>
    </row>
    <row r="10" spans="1:27" ht="14.5" x14ac:dyDescent="0.35">
      <c r="A10" s="104"/>
      <c r="B10" s="88" t="s">
        <v>59</v>
      </c>
      <c r="C10" s="89" t="s">
        <v>49</v>
      </c>
      <c r="D10" s="87" t="s">
        <v>60</v>
      </c>
      <c r="E10" s="103">
        <v>1</v>
      </c>
      <c r="F10" s="103"/>
      <c r="G10" s="103"/>
      <c r="H10" s="106" t="s">
        <v>51</v>
      </c>
      <c r="I10" s="103" t="s">
        <v>61</v>
      </c>
      <c r="J10" s="102" t="s">
        <v>52</v>
      </c>
      <c r="K10" s="22" t="s">
        <v>53</v>
      </c>
      <c r="L10" s="36">
        <v>1</v>
      </c>
      <c r="M10" s="36">
        <v>1</v>
      </c>
      <c r="N10" s="36">
        <v>1</v>
      </c>
      <c r="O10" s="36">
        <v>1</v>
      </c>
      <c r="P10" s="36">
        <v>1</v>
      </c>
      <c r="Q10" s="36">
        <v>1</v>
      </c>
      <c r="R10" s="8">
        <v>1</v>
      </c>
      <c r="S10" s="8">
        <v>1</v>
      </c>
      <c r="T10" s="8">
        <v>1</v>
      </c>
      <c r="U10" s="8"/>
      <c r="V10" s="8"/>
      <c r="W10" s="33"/>
      <c r="X10" s="91"/>
      <c r="Y10" s="158"/>
      <c r="Z10" s="112"/>
      <c r="AA10" s="118" t="s">
        <v>62</v>
      </c>
    </row>
    <row r="11" spans="1:27" ht="15" thickBot="1" x14ac:dyDescent="0.4">
      <c r="A11" s="104"/>
      <c r="B11" s="88"/>
      <c r="C11" s="89"/>
      <c r="D11" s="87"/>
      <c r="E11" s="103"/>
      <c r="F11" s="103"/>
      <c r="G11" s="103"/>
      <c r="H11" s="106"/>
      <c r="I11" s="103"/>
      <c r="J11" s="102"/>
      <c r="K11" s="22" t="s">
        <v>55</v>
      </c>
      <c r="L11" s="9">
        <v>2</v>
      </c>
      <c r="M11" s="53">
        <v>1</v>
      </c>
      <c r="N11" s="9">
        <v>1</v>
      </c>
      <c r="O11" s="9">
        <v>0</v>
      </c>
      <c r="P11" s="9">
        <v>0</v>
      </c>
      <c r="Q11" s="9">
        <v>0</v>
      </c>
      <c r="R11" s="31">
        <v>0</v>
      </c>
      <c r="S11" s="31">
        <v>0</v>
      </c>
      <c r="T11" s="31">
        <v>0</v>
      </c>
      <c r="U11" s="31"/>
      <c r="V11" s="31"/>
      <c r="W11" s="32"/>
      <c r="X11" s="91"/>
      <c r="Y11" s="159"/>
      <c r="Z11" s="113"/>
      <c r="AA11" s="119"/>
    </row>
    <row r="12" spans="1:27" ht="14.5" x14ac:dyDescent="0.35">
      <c r="A12" s="104" t="s">
        <v>24</v>
      </c>
      <c r="B12" s="90" t="s">
        <v>63</v>
      </c>
      <c r="C12" s="90" t="s">
        <v>64</v>
      </c>
      <c r="D12" s="87" t="s">
        <v>65</v>
      </c>
      <c r="E12" s="103">
        <v>84</v>
      </c>
      <c r="F12" s="103"/>
      <c r="G12" s="103"/>
      <c r="H12" s="106" t="s">
        <v>32</v>
      </c>
      <c r="I12" s="103" t="s">
        <v>33</v>
      </c>
      <c r="J12" s="102" t="s">
        <v>52</v>
      </c>
      <c r="K12" s="22" t="s">
        <v>53</v>
      </c>
      <c r="L12" s="35">
        <v>0.69</v>
      </c>
      <c r="M12" s="35">
        <v>0.69</v>
      </c>
      <c r="N12" s="35">
        <v>0.69</v>
      </c>
      <c r="O12" s="35">
        <v>0.72</v>
      </c>
      <c r="P12" s="35">
        <v>0.72</v>
      </c>
      <c r="Q12" s="35">
        <v>0.72</v>
      </c>
      <c r="R12" s="24">
        <v>0.74</v>
      </c>
      <c r="S12" s="24">
        <v>0.74</v>
      </c>
      <c r="T12" s="24">
        <v>0.74</v>
      </c>
      <c r="U12" s="24">
        <v>0.79</v>
      </c>
      <c r="V12" s="24">
        <v>0.79</v>
      </c>
      <c r="W12" s="25">
        <v>0.79</v>
      </c>
      <c r="X12" s="91"/>
      <c r="Y12" s="92"/>
      <c r="Z12" s="93"/>
      <c r="AA12" s="118" t="s">
        <v>66</v>
      </c>
    </row>
    <row r="13" spans="1:27" ht="14.5" x14ac:dyDescent="0.35">
      <c r="A13" s="104"/>
      <c r="B13" s="90"/>
      <c r="C13" s="90"/>
      <c r="D13" s="87"/>
      <c r="E13" s="103"/>
      <c r="F13" s="103"/>
      <c r="G13" s="103"/>
      <c r="H13" s="106"/>
      <c r="I13" s="103"/>
      <c r="J13" s="102"/>
      <c r="K13" s="22" t="s">
        <v>55</v>
      </c>
      <c r="L13" s="19">
        <v>0.83</v>
      </c>
      <c r="M13" s="19">
        <v>0.82</v>
      </c>
      <c r="N13" s="19">
        <v>0.81</v>
      </c>
      <c r="O13" s="19">
        <v>0.6</v>
      </c>
      <c r="P13" s="19">
        <v>0.87</v>
      </c>
      <c r="Q13" s="19">
        <v>0.77</v>
      </c>
      <c r="R13" s="19">
        <v>0.75</v>
      </c>
      <c r="S13" s="19">
        <v>0.81</v>
      </c>
      <c r="T13" s="19">
        <v>0.89</v>
      </c>
      <c r="U13" s="19"/>
      <c r="V13" s="19"/>
      <c r="W13" s="28"/>
      <c r="X13" s="91"/>
      <c r="Y13" s="93"/>
      <c r="Z13" s="93"/>
      <c r="AA13" s="119"/>
    </row>
    <row r="14" spans="1:27" ht="14.5" x14ac:dyDescent="0.35">
      <c r="A14" s="104"/>
      <c r="B14" s="90" t="s">
        <v>67</v>
      </c>
      <c r="C14" s="117" t="s">
        <v>68</v>
      </c>
      <c r="D14" s="87" t="s">
        <v>69</v>
      </c>
      <c r="E14" s="103">
        <v>54.6</v>
      </c>
      <c r="F14" s="103"/>
      <c r="G14" s="103"/>
      <c r="H14" s="106" t="s">
        <v>32</v>
      </c>
      <c r="I14" s="103" t="s">
        <v>33</v>
      </c>
      <c r="J14" s="102" t="s">
        <v>52</v>
      </c>
      <c r="K14" s="22" t="s">
        <v>53</v>
      </c>
      <c r="L14" s="37">
        <v>0.54249999999999998</v>
      </c>
      <c r="M14" s="37">
        <v>0.54399999999999993</v>
      </c>
      <c r="N14" s="37">
        <v>0.54549999999999987</v>
      </c>
      <c r="O14" s="37">
        <v>0.54699999999999982</v>
      </c>
      <c r="P14" s="37">
        <v>0.54849999999999977</v>
      </c>
      <c r="Q14" s="37">
        <v>0.54999999999999971</v>
      </c>
      <c r="R14" s="37">
        <v>0.55149999999999966</v>
      </c>
      <c r="S14" s="37">
        <v>0.54510000000000003</v>
      </c>
      <c r="T14" s="37">
        <v>0.54610000000000003</v>
      </c>
      <c r="U14" s="37"/>
      <c r="V14" s="37"/>
      <c r="W14" s="37"/>
      <c r="X14" s="170" t="s">
        <v>141</v>
      </c>
      <c r="Y14" s="94" t="s">
        <v>140</v>
      </c>
      <c r="Z14" s="147"/>
      <c r="AA14" s="146"/>
    </row>
    <row r="15" spans="1:27" ht="15" thickBot="1" x14ac:dyDescent="0.4">
      <c r="A15" s="104"/>
      <c r="B15" s="90"/>
      <c r="C15" s="117"/>
      <c r="D15" s="87"/>
      <c r="E15" s="103"/>
      <c r="F15" s="103"/>
      <c r="G15" s="103"/>
      <c r="H15" s="106"/>
      <c r="I15" s="103"/>
      <c r="J15" s="102"/>
      <c r="K15" s="22" t="s">
        <v>55</v>
      </c>
      <c r="L15" s="17">
        <v>0.51780000000000004</v>
      </c>
      <c r="M15" s="50">
        <v>0.54100000000000004</v>
      </c>
      <c r="N15" s="17">
        <v>0.54100000000000004</v>
      </c>
      <c r="O15" s="17">
        <v>0.53969999999999996</v>
      </c>
      <c r="P15" s="17">
        <v>0.54100000000000004</v>
      </c>
      <c r="Q15" s="17">
        <v>0.53800000000000003</v>
      </c>
      <c r="R15" s="77">
        <v>0.53600000000000003</v>
      </c>
      <c r="S15" s="77">
        <v>0.5363</v>
      </c>
      <c r="T15" s="77">
        <v>0.53749999999999998</v>
      </c>
      <c r="U15" s="31"/>
      <c r="V15" s="31"/>
      <c r="W15" s="32"/>
      <c r="X15" s="91"/>
      <c r="Y15" s="108"/>
      <c r="Z15" s="108"/>
      <c r="AA15" s="126"/>
    </row>
    <row r="16" spans="1:27" ht="14.5" x14ac:dyDescent="0.35">
      <c r="A16" s="104" t="s">
        <v>25</v>
      </c>
      <c r="B16" s="90" t="s">
        <v>70</v>
      </c>
      <c r="C16" s="90" t="s">
        <v>71</v>
      </c>
      <c r="D16" s="87" t="s">
        <v>72</v>
      </c>
      <c r="E16" s="103" t="s">
        <v>73</v>
      </c>
      <c r="F16" s="103"/>
      <c r="G16" s="103"/>
      <c r="H16" s="106" t="s">
        <v>32</v>
      </c>
      <c r="I16" s="103" t="s">
        <v>33</v>
      </c>
      <c r="J16" s="102" t="s">
        <v>52</v>
      </c>
      <c r="K16" s="22" t="s">
        <v>53</v>
      </c>
      <c r="L16" s="37">
        <v>0.11774014693384624</v>
      </c>
      <c r="M16" s="37">
        <v>7.6823633140503819E-2</v>
      </c>
      <c r="N16" s="37">
        <v>7.3999999999999996E-2</v>
      </c>
      <c r="O16" s="37">
        <v>9.9962463776604421E-2</v>
      </c>
      <c r="P16" s="37">
        <v>0.1038498729590533</v>
      </c>
      <c r="Q16" s="37">
        <v>0.11814554963094943</v>
      </c>
      <c r="R16" s="81">
        <v>0.13344842106998206</v>
      </c>
      <c r="S16" s="81">
        <v>0.13972119594175969</v>
      </c>
      <c r="T16" s="81">
        <v>0.13600000000000001</v>
      </c>
      <c r="U16" s="24"/>
      <c r="V16" s="24"/>
      <c r="W16" s="25"/>
      <c r="X16" s="91"/>
      <c r="Y16" s="92"/>
      <c r="Z16" s="110"/>
      <c r="AA16" s="118" t="s">
        <v>74</v>
      </c>
    </row>
    <row r="17" spans="1:27" ht="14.5" x14ac:dyDescent="0.35">
      <c r="A17" s="104"/>
      <c r="B17" s="90"/>
      <c r="C17" s="90"/>
      <c r="D17" s="87"/>
      <c r="E17" s="103"/>
      <c r="F17" s="103"/>
      <c r="G17" s="103"/>
      <c r="H17" s="106"/>
      <c r="I17" s="103"/>
      <c r="J17" s="102"/>
      <c r="K17" s="22" t="s">
        <v>55</v>
      </c>
      <c r="L17" s="17">
        <v>-4.253311543933095E-2</v>
      </c>
      <c r="M17" s="50">
        <v>7.8013174622509063E-2</v>
      </c>
      <c r="N17" s="17">
        <v>0.14699999999999999</v>
      </c>
      <c r="O17" s="17">
        <v>0.13678322320362704</v>
      </c>
      <c r="P17" s="17">
        <v>0.14558303908159406</v>
      </c>
      <c r="Q17" s="17">
        <v>0.12590494186157489</v>
      </c>
      <c r="R17" s="17">
        <v>0.10712720377087674</v>
      </c>
      <c r="S17" s="17">
        <v>0.12649723977955013</v>
      </c>
      <c r="T17" s="17">
        <v>0.14699999999999999</v>
      </c>
      <c r="U17" s="19"/>
      <c r="V17" s="19"/>
      <c r="W17" s="28"/>
      <c r="X17" s="91"/>
      <c r="Y17" s="93"/>
      <c r="Z17" s="110"/>
      <c r="AA17" s="119"/>
    </row>
    <row r="18" spans="1:27" ht="14.5" x14ac:dyDescent="0.35">
      <c r="A18" s="104"/>
      <c r="B18" s="90" t="s">
        <v>75</v>
      </c>
      <c r="C18" s="90" t="s">
        <v>71</v>
      </c>
      <c r="D18" s="90" t="s">
        <v>76</v>
      </c>
      <c r="E18" s="103" t="s">
        <v>73</v>
      </c>
      <c r="F18" s="103"/>
      <c r="G18" s="103"/>
      <c r="H18" s="106" t="s">
        <v>32</v>
      </c>
      <c r="I18" s="103" t="s">
        <v>77</v>
      </c>
      <c r="J18" s="102" t="s">
        <v>52</v>
      </c>
      <c r="K18" s="22" t="s">
        <v>53</v>
      </c>
      <c r="L18" s="47">
        <v>0.224</v>
      </c>
      <c r="M18" s="47">
        <v>0.35800000000000004</v>
      </c>
      <c r="N18" s="47">
        <v>0.79700000000000004</v>
      </c>
      <c r="O18" s="47">
        <v>1.0409999999999999</v>
      </c>
      <c r="P18" s="47">
        <v>1.155</v>
      </c>
      <c r="Q18" s="47">
        <v>1.6040000000000001</v>
      </c>
      <c r="R18" s="47">
        <v>2.4180000000000001</v>
      </c>
      <c r="S18" s="47">
        <v>2.93</v>
      </c>
      <c r="T18" s="47">
        <v>4.2699999999999996</v>
      </c>
      <c r="U18" s="47"/>
      <c r="V18" s="47"/>
      <c r="W18" s="47"/>
      <c r="X18" s="152" t="s">
        <v>133</v>
      </c>
      <c r="Y18" s="152"/>
      <c r="Z18" s="149">
        <v>46108</v>
      </c>
      <c r="AA18" s="151"/>
    </row>
    <row r="19" spans="1:27" ht="14.5" x14ac:dyDescent="0.35">
      <c r="A19" s="104"/>
      <c r="B19" s="90"/>
      <c r="C19" s="90"/>
      <c r="D19" s="90"/>
      <c r="E19" s="103"/>
      <c r="F19" s="103"/>
      <c r="G19" s="103"/>
      <c r="H19" s="106"/>
      <c r="I19" s="103"/>
      <c r="J19" s="102"/>
      <c r="K19" s="22" t="s">
        <v>55</v>
      </c>
      <c r="L19" s="168">
        <v>0.2598381666666667</v>
      </c>
      <c r="M19" s="168">
        <v>0.3838381666666667</v>
      </c>
      <c r="N19" s="168">
        <v>1.1128381666666667</v>
      </c>
      <c r="O19" s="168">
        <v>1.3223861666666668</v>
      </c>
      <c r="P19" s="168">
        <v>1.6513861666666667</v>
      </c>
      <c r="Q19" s="168">
        <v>2.1303861666666668</v>
      </c>
      <c r="R19" s="169">
        <v>2.6433861666666667</v>
      </c>
      <c r="S19" s="169">
        <v>3.3972231666666666</v>
      </c>
      <c r="T19" s="169">
        <v>4.5205241666666662</v>
      </c>
      <c r="U19" s="46"/>
      <c r="V19" s="46"/>
      <c r="W19" s="48"/>
      <c r="X19" s="152"/>
      <c r="Y19" s="152"/>
      <c r="Z19" s="150"/>
      <c r="AA19" s="151"/>
    </row>
    <row r="20" spans="1:27" ht="14.5" x14ac:dyDescent="0.35">
      <c r="A20" s="104"/>
      <c r="B20" s="90" t="s">
        <v>78</v>
      </c>
      <c r="C20" s="90" t="s">
        <v>64</v>
      </c>
      <c r="D20" s="87" t="s">
        <v>79</v>
      </c>
      <c r="E20" s="103" t="s">
        <v>73</v>
      </c>
      <c r="F20" s="103"/>
      <c r="G20" s="103"/>
      <c r="H20" s="106" t="s">
        <v>51</v>
      </c>
      <c r="I20" s="103" t="s">
        <v>33</v>
      </c>
      <c r="J20" s="102" t="s">
        <v>52</v>
      </c>
      <c r="K20" s="22" t="s">
        <v>53</v>
      </c>
      <c r="L20" s="35">
        <v>0.28399999999999997</v>
      </c>
      <c r="M20" s="35">
        <v>0.28260000000000002</v>
      </c>
      <c r="N20" s="35">
        <v>0.28999999999999998</v>
      </c>
      <c r="O20" s="35">
        <v>0.28999999999999998</v>
      </c>
      <c r="P20" s="35">
        <v>0.27</v>
      </c>
      <c r="Q20" s="35">
        <v>0.26</v>
      </c>
      <c r="R20" s="18">
        <v>0.24</v>
      </c>
      <c r="S20" s="18">
        <v>0.23</v>
      </c>
      <c r="T20" s="18">
        <v>0.25</v>
      </c>
      <c r="U20" s="18"/>
      <c r="V20" s="18"/>
      <c r="W20" s="27"/>
      <c r="X20" s="166" t="s">
        <v>139</v>
      </c>
      <c r="Y20" s="96" t="s">
        <v>138</v>
      </c>
      <c r="Z20" s="148"/>
      <c r="AA20" s="120" t="s">
        <v>80</v>
      </c>
    </row>
    <row r="21" spans="1:27" ht="15" thickBot="1" x14ac:dyDescent="0.4">
      <c r="A21" s="104"/>
      <c r="B21" s="90"/>
      <c r="C21" s="90"/>
      <c r="D21" s="87"/>
      <c r="E21" s="103"/>
      <c r="F21" s="103"/>
      <c r="G21" s="103"/>
      <c r="H21" s="106"/>
      <c r="I21" s="103"/>
      <c r="J21" s="102"/>
      <c r="K21" s="22" t="s">
        <v>55</v>
      </c>
      <c r="L21" s="19">
        <v>0.27400000000000002</v>
      </c>
      <c r="M21" s="19">
        <v>0.29899999999999999</v>
      </c>
      <c r="N21" s="19">
        <v>0.28999999999999998</v>
      </c>
      <c r="O21" s="19">
        <v>0.3</v>
      </c>
      <c r="P21" s="19">
        <v>0.31</v>
      </c>
      <c r="Q21" s="19">
        <v>0.28999999999999998</v>
      </c>
      <c r="R21" s="29">
        <v>0.3</v>
      </c>
      <c r="S21" s="29">
        <v>0.3</v>
      </c>
      <c r="T21" s="29">
        <v>0.27</v>
      </c>
      <c r="U21" s="29"/>
      <c r="V21" s="29"/>
      <c r="W21" s="30"/>
      <c r="X21" s="167"/>
      <c r="Y21" s="97"/>
      <c r="Z21" s="114"/>
      <c r="AA21" s="120"/>
    </row>
    <row r="22" spans="1:27" ht="14.5" x14ac:dyDescent="0.35">
      <c r="A22" s="104" t="s">
        <v>26</v>
      </c>
      <c r="B22" s="90" t="s">
        <v>81</v>
      </c>
      <c r="C22" s="117" t="s">
        <v>82</v>
      </c>
      <c r="D22" s="90" t="s">
        <v>83</v>
      </c>
      <c r="E22" s="103">
        <v>90</v>
      </c>
      <c r="F22" s="103"/>
      <c r="G22" s="103"/>
      <c r="H22" s="106" t="s">
        <v>32</v>
      </c>
      <c r="I22" s="103" t="s">
        <v>33</v>
      </c>
      <c r="J22" s="102" t="s">
        <v>52</v>
      </c>
      <c r="K22" s="22" t="s">
        <v>53</v>
      </c>
      <c r="L22" s="35">
        <v>0.9</v>
      </c>
      <c r="M22" s="35">
        <v>0.9</v>
      </c>
      <c r="N22" s="35">
        <v>0.9</v>
      </c>
      <c r="O22" s="35">
        <v>0.9</v>
      </c>
      <c r="P22" s="35">
        <v>0.9</v>
      </c>
      <c r="Q22" s="35">
        <v>0.9</v>
      </c>
      <c r="R22" s="18">
        <v>0.9</v>
      </c>
      <c r="S22" s="18">
        <v>0.9</v>
      </c>
      <c r="T22" s="18">
        <v>0.9</v>
      </c>
      <c r="U22" s="18">
        <v>0.9</v>
      </c>
      <c r="V22" s="18">
        <v>0.9</v>
      </c>
      <c r="W22" s="27">
        <v>0.9</v>
      </c>
      <c r="X22" s="100"/>
      <c r="Y22" s="92"/>
      <c r="Z22" s="109">
        <v>46257</v>
      </c>
      <c r="AA22" s="156"/>
    </row>
    <row r="23" spans="1:27" ht="15" thickBot="1" x14ac:dyDescent="0.4">
      <c r="A23" s="163"/>
      <c r="B23" s="90"/>
      <c r="C23" s="117"/>
      <c r="D23" s="90"/>
      <c r="E23" s="103"/>
      <c r="F23" s="103"/>
      <c r="G23" s="103"/>
      <c r="H23" s="106"/>
      <c r="I23" s="103"/>
      <c r="J23" s="102"/>
      <c r="K23" s="22" t="s">
        <v>55</v>
      </c>
      <c r="L23" s="54">
        <v>0.81</v>
      </c>
      <c r="M23" s="54">
        <v>0.78</v>
      </c>
      <c r="N23" s="56">
        <v>0.8</v>
      </c>
      <c r="O23" s="56">
        <v>0.82</v>
      </c>
      <c r="P23" s="56">
        <v>0.79500000000000004</v>
      </c>
      <c r="Q23" s="56">
        <v>0.86</v>
      </c>
      <c r="R23" s="56">
        <v>0.88</v>
      </c>
      <c r="S23" s="56">
        <v>0.94</v>
      </c>
      <c r="T23" s="56">
        <v>0.94</v>
      </c>
      <c r="U23" s="29"/>
      <c r="V23" s="29"/>
      <c r="W23" s="30"/>
      <c r="X23" s="101"/>
      <c r="Y23" s="93"/>
      <c r="Z23" s="110"/>
      <c r="AA23" s="157"/>
    </row>
    <row r="24" spans="1:27" ht="14.5" x14ac:dyDescent="0.35">
      <c r="A24" s="138" t="s">
        <v>27</v>
      </c>
      <c r="B24" s="90" t="s">
        <v>84</v>
      </c>
      <c r="C24" s="117" t="s">
        <v>85</v>
      </c>
      <c r="D24" s="87" t="s">
        <v>86</v>
      </c>
      <c r="E24" s="103" t="s">
        <v>87</v>
      </c>
      <c r="F24" s="103" t="s">
        <v>87</v>
      </c>
      <c r="G24" s="103" t="s">
        <v>87</v>
      </c>
      <c r="H24" s="106" t="s">
        <v>32</v>
      </c>
      <c r="I24" s="103" t="s">
        <v>33</v>
      </c>
      <c r="J24" s="115" t="s">
        <v>34</v>
      </c>
      <c r="K24" s="22" t="s">
        <v>53</v>
      </c>
      <c r="L24" s="35"/>
      <c r="M24" s="172"/>
      <c r="N24" s="37">
        <v>0.104</v>
      </c>
      <c r="O24" s="21" t="s">
        <v>88</v>
      </c>
      <c r="P24" s="21" t="s">
        <v>88</v>
      </c>
      <c r="Q24" s="37">
        <v>0.11799999999999999</v>
      </c>
      <c r="R24" s="21" t="s">
        <v>88</v>
      </c>
      <c r="S24" s="21" t="s">
        <v>88</v>
      </c>
      <c r="T24" s="21" t="s">
        <v>88</v>
      </c>
      <c r="U24" s="174"/>
      <c r="V24" s="21"/>
      <c r="W24" s="38"/>
      <c r="X24" s="132"/>
      <c r="Y24" s="147"/>
      <c r="Z24" s="114"/>
      <c r="AA24" s="118" t="s">
        <v>89</v>
      </c>
    </row>
    <row r="25" spans="1:27" ht="15" thickBot="1" x14ac:dyDescent="0.4">
      <c r="A25" s="162"/>
      <c r="B25" s="90"/>
      <c r="C25" s="117"/>
      <c r="D25" s="87"/>
      <c r="E25" s="103"/>
      <c r="F25" s="103"/>
      <c r="G25" s="103"/>
      <c r="H25" s="106"/>
      <c r="I25" s="103"/>
      <c r="J25" s="115"/>
      <c r="K25" s="22" t="s">
        <v>55</v>
      </c>
      <c r="L25" s="21" t="s">
        <v>88</v>
      </c>
      <c r="M25" s="173" t="s">
        <v>88</v>
      </c>
      <c r="N25" s="50">
        <v>0.115</v>
      </c>
      <c r="O25" s="21" t="s">
        <v>88</v>
      </c>
      <c r="P25" s="21" t="s">
        <v>88</v>
      </c>
      <c r="Q25" s="17">
        <v>0.12</v>
      </c>
      <c r="R25" s="21" t="s">
        <v>88</v>
      </c>
      <c r="S25" s="21" t="s">
        <v>88</v>
      </c>
      <c r="T25" s="21" t="s">
        <v>88</v>
      </c>
      <c r="U25" s="174"/>
      <c r="V25" s="21"/>
      <c r="W25" s="55"/>
      <c r="X25" s="101"/>
      <c r="Y25" s="108"/>
      <c r="Z25" s="148"/>
      <c r="AA25" s="119"/>
    </row>
    <row r="26" spans="1:27" ht="14.5" x14ac:dyDescent="0.35">
      <c r="A26" s="162"/>
      <c r="B26" s="88" t="s">
        <v>90</v>
      </c>
      <c r="C26" s="155" t="s">
        <v>85</v>
      </c>
      <c r="D26" s="87" t="s">
        <v>91</v>
      </c>
      <c r="E26" s="103">
        <v>34</v>
      </c>
      <c r="F26" s="153"/>
      <c r="G26" s="153"/>
      <c r="H26" s="106" t="s">
        <v>32</v>
      </c>
      <c r="I26" s="103" t="s">
        <v>33</v>
      </c>
      <c r="J26" s="102" t="s">
        <v>52</v>
      </c>
      <c r="K26" s="22" t="s">
        <v>53</v>
      </c>
      <c r="L26" s="35">
        <v>0.34</v>
      </c>
      <c r="M26" s="35">
        <v>0.34</v>
      </c>
      <c r="N26" s="18">
        <v>0.34</v>
      </c>
      <c r="O26" s="18">
        <v>0.34</v>
      </c>
      <c r="P26" s="18">
        <v>0.34</v>
      </c>
      <c r="Q26" s="18">
        <v>0.34</v>
      </c>
      <c r="R26" s="18">
        <v>0.34</v>
      </c>
      <c r="S26" s="18">
        <v>0.34</v>
      </c>
      <c r="T26" s="18">
        <v>0.34</v>
      </c>
      <c r="U26" s="24"/>
      <c r="V26" s="24"/>
      <c r="W26" s="25"/>
      <c r="X26" s="91"/>
      <c r="Y26" s="93"/>
      <c r="Z26" s="110"/>
      <c r="AA26" s="118" t="s">
        <v>92</v>
      </c>
    </row>
    <row r="27" spans="1:27" ht="15" thickBot="1" x14ac:dyDescent="0.4">
      <c r="A27" s="162"/>
      <c r="B27" s="88"/>
      <c r="C27" s="155"/>
      <c r="D27" s="87"/>
      <c r="E27" s="103"/>
      <c r="F27" s="153"/>
      <c r="G27" s="153"/>
      <c r="H27" s="106"/>
      <c r="I27" s="103"/>
      <c r="J27" s="102"/>
      <c r="K27" s="22" t="s">
        <v>55</v>
      </c>
      <c r="L27" s="78">
        <v>0.318</v>
      </c>
      <c r="M27" s="50">
        <v>0.35799999999999998</v>
      </c>
      <c r="N27" s="17">
        <v>0.41499999999999998</v>
      </c>
      <c r="O27" s="17">
        <v>0.40500000000000003</v>
      </c>
      <c r="P27" s="17">
        <v>0.371</v>
      </c>
      <c r="Q27" s="17">
        <v>0.41899999999999998</v>
      </c>
      <c r="R27" s="17">
        <v>0.39900000000000002</v>
      </c>
      <c r="S27" s="17">
        <v>0.41199999999999998</v>
      </c>
      <c r="T27" s="17">
        <v>0.42299999999999999</v>
      </c>
      <c r="U27" s="19"/>
      <c r="V27" s="19"/>
      <c r="W27" s="28"/>
      <c r="X27" s="91"/>
      <c r="Y27" s="93"/>
      <c r="Z27" s="110"/>
      <c r="AA27" s="119"/>
    </row>
    <row r="28" spans="1:27" ht="14.5" x14ac:dyDescent="0.35">
      <c r="A28" s="162"/>
      <c r="B28" s="87" t="s">
        <v>93</v>
      </c>
      <c r="C28" s="90" t="s">
        <v>71</v>
      </c>
      <c r="D28" s="87" t="s">
        <v>94</v>
      </c>
      <c r="E28" s="103" t="s">
        <v>73</v>
      </c>
      <c r="F28" s="103"/>
      <c r="G28" s="103"/>
      <c r="H28" s="106" t="s">
        <v>32</v>
      </c>
      <c r="I28" s="103" t="s">
        <v>33</v>
      </c>
      <c r="J28" s="102" t="s">
        <v>52</v>
      </c>
      <c r="K28" s="22" t="s">
        <v>53</v>
      </c>
      <c r="L28" s="37" vm="1">
        <v>3.6951550944796852E-2</v>
      </c>
      <c r="M28" s="37" vm="3">
        <v>0.43621586155644376</v>
      </c>
      <c r="N28" s="37" vm="6">
        <v>6.9838696752701823E-2</v>
      </c>
      <c r="O28" s="37" vm="10">
        <v>0.21843539773619547</v>
      </c>
      <c r="P28" s="37" vm="12">
        <v>0.20239261325941293</v>
      </c>
      <c r="Q28" s="37" vm="14">
        <v>0.29754592225545773</v>
      </c>
      <c r="R28" s="81" vm="18">
        <v>0.26300517799117751</v>
      </c>
      <c r="S28" s="81" vm="22">
        <v>0.30756202137510114</v>
      </c>
      <c r="T28" s="81">
        <v>0.38100000000000001</v>
      </c>
      <c r="U28" s="24"/>
      <c r="V28" s="24"/>
      <c r="W28" s="25"/>
      <c r="X28" s="98" t="s">
        <v>134</v>
      </c>
      <c r="Y28" s="94"/>
      <c r="Z28" s="114"/>
      <c r="AA28" s="123" t="s">
        <v>95</v>
      </c>
    </row>
    <row r="29" spans="1:27" ht="15" thickBot="1" x14ac:dyDescent="0.4">
      <c r="A29" s="162"/>
      <c r="B29" s="87"/>
      <c r="C29" s="90"/>
      <c r="D29" s="87"/>
      <c r="E29" s="103"/>
      <c r="F29" s="103"/>
      <c r="G29" s="103"/>
      <c r="H29" s="106"/>
      <c r="I29" s="103"/>
      <c r="J29" s="102"/>
      <c r="K29" s="22" t="s">
        <v>55</v>
      </c>
      <c r="L29" s="17" vm="2">
        <v>-0.21537837470975407</v>
      </c>
      <c r="M29" s="49">
        <v>0.27400000000000002</v>
      </c>
      <c r="N29" s="17" vm="7">
        <v>0.17956999989031885</v>
      </c>
      <c r="O29" s="17" vm="11">
        <v>0.24020098639758425</v>
      </c>
      <c r="P29" s="17" vm="13">
        <v>0.12891206138967748</v>
      </c>
      <c r="Q29" s="17" vm="15">
        <v>0.37665227402645685</v>
      </c>
      <c r="R29" s="17" vm="19">
        <v>0.26390638821134749</v>
      </c>
      <c r="S29" s="17" vm="23">
        <v>0.28426058124592513</v>
      </c>
      <c r="T29" s="17">
        <v>0.378</v>
      </c>
      <c r="U29" s="19"/>
      <c r="V29" s="19"/>
      <c r="W29" s="28"/>
      <c r="X29" s="99"/>
      <c r="Y29" s="95"/>
      <c r="Z29" s="148"/>
      <c r="AA29" s="124"/>
    </row>
    <row r="30" spans="1:27" ht="14.5" x14ac:dyDescent="0.35">
      <c r="A30" s="162"/>
      <c r="B30" s="87"/>
      <c r="C30" s="90" t="s">
        <v>71</v>
      </c>
      <c r="D30" s="87" t="s">
        <v>96</v>
      </c>
      <c r="E30" s="103" t="s">
        <v>73</v>
      </c>
      <c r="F30" s="103"/>
      <c r="G30" s="103"/>
      <c r="H30" s="106" t="s">
        <v>32</v>
      </c>
      <c r="I30" s="103" t="s">
        <v>33</v>
      </c>
      <c r="J30" s="102" t="s">
        <v>52</v>
      </c>
      <c r="K30" s="22" t="s">
        <v>53</v>
      </c>
      <c r="L30" s="37">
        <v>0.35899999999999999</v>
      </c>
      <c r="M30" s="37" vm="4">
        <v>9.8925321866648819E-2</v>
      </c>
      <c r="N30" s="37" vm="8">
        <v>0.11712228373869382</v>
      </c>
      <c r="O30" s="37">
        <v>0.15809999999999999</v>
      </c>
      <c r="P30" s="37">
        <v>0.151</v>
      </c>
      <c r="Q30" s="37" vm="16">
        <v>0.12551463489599346</v>
      </c>
      <c r="R30" s="81" vm="20">
        <v>0.10280225768958351</v>
      </c>
      <c r="S30" s="81">
        <v>0.13500000000000001</v>
      </c>
      <c r="T30" s="81">
        <v>0.11600000000000001</v>
      </c>
      <c r="U30" s="24"/>
      <c r="V30" s="24"/>
      <c r="W30" s="25"/>
      <c r="X30" s="98"/>
      <c r="Y30" s="147"/>
      <c r="Z30" s="114"/>
      <c r="AA30" s="160"/>
    </row>
    <row r="31" spans="1:27" ht="14.5" x14ac:dyDescent="0.35">
      <c r="A31" s="162"/>
      <c r="B31" s="87"/>
      <c r="C31" s="90"/>
      <c r="D31" s="87"/>
      <c r="E31" s="103"/>
      <c r="F31" s="103"/>
      <c r="G31" s="103"/>
      <c r="H31" s="106"/>
      <c r="I31" s="103"/>
      <c r="J31" s="102"/>
      <c r="K31" s="22" t="s">
        <v>55</v>
      </c>
      <c r="L31" s="17">
        <v>0.32500000000000001</v>
      </c>
      <c r="M31" s="50" vm="5">
        <v>0.19016698273293486</v>
      </c>
      <c r="N31" s="17" vm="9">
        <v>0.14313042982821633</v>
      </c>
      <c r="O31" s="17">
        <v>0.2399</v>
      </c>
      <c r="P31" s="17">
        <v>0.20599999999999999</v>
      </c>
      <c r="Q31" s="17" vm="17">
        <v>0.15714973912715791</v>
      </c>
      <c r="R31" s="82" vm="21">
        <v>0.10382365349216505</v>
      </c>
      <c r="S31" s="82">
        <v>0.151</v>
      </c>
      <c r="T31" s="82">
        <v>0.17799999999999999</v>
      </c>
      <c r="U31" s="44"/>
      <c r="V31" s="44"/>
      <c r="W31" s="45"/>
      <c r="X31" s="99"/>
      <c r="Y31" s="108"/>
      <c r="Z31" s="148"/>
      <c r="AA31" s="161"/>
    </row>
    <row r="32" spans="1:27" ht="14.5" x14ac:dyDescent="0.35">
      <c r="A32" s="162"/>
      <c r="B32" s="90" t="s">
        <v>97</v>
      </c>
      <c r="C32" s="117" t="s">
        <v>64</v>
      </c>
      <c r="D32" s="87" t="s">
        <v>98</v>
      </c>
      <c r="E32" s="103" t="s">
        <v>73</v>
      </c>
      <c r="F32" s="103"/>
      <c r="G32" s="103"/>
      <c r="H32" s="106" t="s">
        <v>32</v>
      </c>
      <c r="I32" s="103" t="s">
        <v>77</v>
      </c>
      <c r="J32" s="102" t="s">
        <v>52</v>
      </c>
      <c r="K32" s="22" t="s">
        <v>53</v>
      </c>
      <c r="L32" s="41">
        <v>8.6903037999999988</v>
      </c>
      <c r="M32" s="41">
        <v>14.05</v>
      </c>
      <c r="N32" s="41">
        <v>24.179069699999999</v>
      </c>
      <c r="O32" s="64">
        <v>33.551317699999998</v>
      </c>
      <c r="P32" s="41">
        <v>41.442849800000005</v>
      </c>
      <c r="Q32" s="79">
        <v>60.823965100000009</v>
      </c>
      <c r="R32" s="8">
        <v>72.599999999999994</v>
      </c>
      <c r="S32" s="84">
        <v>82.449704499999996</v>
      </c>
      <c r="T32" s="8">
        <v>97.4</v>
      </c>
      <c r="U32" s="8"/>
      <c r="V32" s="8"/>
      <c r="W32" s="33"/>
      <c r="X32" s="164" t="s">
        <v>135</v>
      </c>
      <c r="Y32" s="94" t="s">
        <v>137</v>
      </c>
      <c r="Z32" s="114"/>
      <c r="AA32" s="118" t="s">
        <v>99</v>
      </c>
    </row>
    <row r="33" spans="1:29" ht="15" thickBot="1" x14ac:dyDescent="0.4">
      <c r="A33" s="162"/>
      <c r="B33" s="90"/>
      <c r="C33" s="117"/>
      <c r="D33" s="87"/>
      <c r="E33" s="103"/>
      <c r="F33" s="103"/>
      <c r="G33" s="103"/>
      <c r="H33" s="106"/>
      <c r="I33" s="103"/>
      <c r="J33" s="102"/>
      <c r="K33" s="22" t="s">
        <v>55</v>
      </c>
      <c r="L33" s="42">
        <v>4.05</v>
      </c>
      <c r="M33" s="51">
        <v>9.7989724000000002</v>
      </c>
      <c r="N33" s="42">
        <v>25.313448100000002</v>
      </c>
      <c r="O33" s="65">
        <v>31.452557499999998</v>
      </c>
      <c r="P33" s="42">
        <v>41.128122899999994</v>
      </c>
      <c r="Q33" s="80">
        <v>55.164574999999999</v>
      </c>
      <c r="R33" s="83">
        <v>61.940289700000001</v>
      </c>
      <c r="S33" s="83">
        <v>72.779408199999978</v>
      </c>
      <c r="T33" s="31">
        <v>91.2</v>
      </c>
      <c r="U33" s="31"/>
      <c r="V33" s="31"/>
      <c r="W33" s="32"/>
      <c r="X33" s="165"/>
      <c r="Y33" s="95"/>
      <c r="Z33" s="148"/>
      <c r="AA33" s="119"/>
    </row>
    <row r="34" spans="1:29" ht="14.5" x14ac:dyDescent="0.35">
      <c r="A34" s="104" t="s">
        <v>28</v>
      </c>
      <c r="B34" s="143" t="s">
        <v>29</v>
      </c>
      <c r="C34" s="90" t="s">
        <v>82</v>
      </c>
      <c r="D34" s="87" t="s">
        <v>31</v>
      </c>
      <c r="E34" s="103">
        <v>90</v>
      </c>
      <c r="F34" s="103"/>
      <c r="G34" s="103"/>
      <c r="H34" s="106" t="s">
        <v>32</v>
      </c>
      <c r="I34" s="103" t="s">
        <v>33</v>
      </c>
      <c r="J34" s="115" t="s">
        <v>34</v>
      </c>
      <c r="K34" s="22" t="s">
        <v>53</v>
      </c>
      <c r="L34" s="35"/>
      <c r="M34" s="35"/>
      <c r="N34" s="35">
        <v>0.9</v>
      </c>
      <c r="O34" s="35"/>
      <c r="P34" s="35"/>
      <c r="Q34" s="35">
        <v>0.9</v>
      </c>
      <c r="R34" s="24"/>
      <c r="S34" s="24"/>
      <c r="T34" s="24">
        <v>0.9</v>
      </c>
      <c r="U34" s="24"/>
      <c r="V34" s="24"/>
      <c r="W34" s="25">
        <v>0.9</v>
      </c>
      <c r="X34" s="91"/>
      <c r="Y34" s="93" t="s">
        <v>136</v>
      </c>
      <c r="Z34" s="110"/>
      <c r="AA34" s="118" t="s">
        <v>100</v>
      </c>
    </row>
    <row r="35" spans="1:29" ht="14.5" x14ac:dyDescent="0.35">
      <c r="A35" s="104"/>
      <c r="B35" s="143"/>
      <c r="C35" s="90"/>
      <c r="D35" s="87"/>
      <c r="E35" s="103"/>
      <c r="F35" s="103"/>
      <c r="G35" s="103"/>
      <c r="H35" s="106"/>
      <c r="I35" s="103"/>
      <c r="J35" s="115"/>
      <c r="K35" s="22" t="s">
        <v>55</v>
      </c>
      <c r="L35" s="21" t="s">
        <v>88</v>
      </c>
      <c r="M35" s="21" t="s">
        <v>88</v>
      </c>
      <c r="N35" s="19">
        <v>1</v>
      </c>
      <c r="O35" s="21" t="s">
        <v>88</v>
      </c>
      <c r="P35" s="21" t="s">
        <v>88</v>
      </c>
      <c r="Q35" s="19">
        <v>0.96199999999999997</v>
      </c>
      <c r="R35" s="21" t="s">
        <v>88</v>
      </c>
      <c r="S35" s="21" t="s">
        <v>88</v>
      </c>
      <c r="T35" s="19">
        <v>0.91300000000000003</v>
      </c>
      <c r="U35" s="19"/>
      <c r="V35" s="19"/>
      <c r="W35" s="28"/>
      <c r="X35" s="91"/>
      <c r="Y35" s="93"/>
      <c r="Z35" s="110"/>
      <c r="AA35" s="119"/>
    </row>
    <row r="36" spans="1:29" ht="14.5" x14ac:dyDescent="0.35">
      <c r="A36" s="104"/>
      <c r="B36" s="143" t="s">
        <v>35</v>
      </c>
      <c r="C36" s="90" t="s">
        <v>101</v>
      </c>
      <c r="D36" s="87" t="s">
        <v>37</v>
      </c>
      <c r="E36" s="103">
        <v>83</v>
      </c>
      <c r="F36" s="103"/>
      <c r="G36" s="103"/>
      <c r="H36" s="106" t="s">
        <v>32</v>
      </c>
      <c r="I36" s="103" t="s">
        <v>33</v>
      </c>
      <c r="J36" s="116" t="s">
        <v>38</v>
      </c>
      <c r="K36" s="22" t="s">
        <v>53</v>
      </c>
      <c r="L36" s="35"/>
      <c r="M36" s="35"/>
      <c r="N36" s="35"/>
      <c r="O36" s="35">
        <v>0.83</v>
      </c>
      <c r="P36" s="35"/>
      <c r="Q36" s="35">
        <v>0.83</v>
      </c>
      <c r="R36" s="18"/>
      <c r="S36" s="18"/>
      <c r="T36" s="18"/>
      <c r="U36" s="18"/>
      <c r="V36" s="18"/>
      <c r="W36" s="27"/>
      <c r="X36" s="91" t="s">
        <v>102</v>
      </c>
      <c r="Y36" s="92" t="s">
        <v>103</v>
      </c>
      <c r="Z36" s="110"/>
      <c r="AA36" s="118" t="s">
        <v>104</v>
      </c>
    </row>
    <row r="37" spans="1:29" ht="14.5" x14ac:dyDescent="0.35">
      <c r="A37" s="104"/>
      <c r="B37" s="143"/>
      <c r="C37" s="90"/>
      <c r="D37" s="87"/>
      <c r="E37" s="103"/>
      <c r="F37" s="103"/>
      <c r="G37" s="103"/>
      <c r="H37" s="106"/>
      <c r="I37" s="103"/>
      <c r="J37" s="116"/>
      <c r="K37" s="22" t="s">
        <v>55</v>
      </c>
      <c r="L37" s="21" t="s">
        <v>105</v>
      </c>
      <c r="M37" s="21" t="s">
        <v>105</v>
      </c>
      <c r="N37" s="21" t="s">
        <v>105</v>
      </c>
      <c r="O37" s="19">
        <v>0.79</v>
      </c>
      <c r="P37" s="21" t="s">
        <v>105</v>
      </c>
      <c r="Q37" s="19">
        <v>0.79</v>
      </c>
      <c r="R37" s="21" t="s">
        <v>105</v>
      </c>
      <c r="S37" s="56"/>
      <c r="T37" s="21" t="s">
        <v>105</v>
      </c>
      <c r="U37" s="56"/>
      <c r="V37" s="56"/>
      <c r="W37" s="57"/>
      <c r="X37" s="132"/>
      <c r="Y37" s="94"/>
      <c r="Z37" s="114"/>
      <c r="AA37" s="120"/>
    </row>
    <row r="38" spans="1:29" s="5" customFormat="1" ht="20.5" customHeight="1" x14ac:dyDescent="0.35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</row>
    <row r="39" spans="1:29" s="5" customFormat="1" ht="20.5" customHeight="1" x14ac:dyDescent="0.35">
      <c r="A39" s="136" t="s">
        <v>106</v>
      </c>
      <c r="B39" s="136"/>
      <c r="C39" s="58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 s="20"/>
      <c r="Y39"/>
      <c r="Z39"/>
      <c r="AA39" s="13"/>
    </row>
    <row r="40" spans="1:29" ht="20.5" customHeight="1" x14ac:dyDescent="0.35">
      <c r="A40" s="43" t="s">
        <v>0</v>
      </c>
      <c r="B40" s="10" t="s">
        <v>107</v>
      </c>
      <c r="C40" s="10" t="s">
        <v>3</v>
      </c>
      <c r="D40" s="10" t="s">
        <v>4</v>
      </c>
      <c r="E40" s="10" t="s">
        <v>108</v>
      </c>
      <c r="F40" s="10" t="s">
        <v>109</v>
      </c>
      <c r="G40" s="10" t="s">
        <v>110</v>
      </c>
      <c r="H40" s="10" t="s">
        <v>8</v>
      </c>
      <c r="I40" s="10" t="s">
        <v>9</v>
      </c>
      <c r="J40" s="10" t="s">
        <v>10</v>
      </c>
      <c r="K40" s="34" t="s">
        <v>11</v>
      </c>
      <c r="L40" s="10" t="s">
        <v>12</v>
      </c>
      <c r="M40" s="10" t="s">
        <v>13</v>
      </c>
      <c r="N40" s="10" t="s">
        <v>111</v>
      </c>
      <c r="O40" s="10" t="s">
        <v>15</v>
      </c>
      <c r="P40" s="10" t="s">
        <v>16</v>
      </c>
      <c r="Q40" s="10" t="s">
        <v>112</v>
      </c>
      <c r="R40" s="10" t="s">
        <v>18</v>
      </c>
      <c r="S40" s="10" t="s">
        <v>19</v>
      </c>
      <c r="T40" s="10" t="s">
        <v>20</v>
      </c>
      <c r="U40" s="10" t="s">
        <v>21</v>
      </c>
      <c r="V40" s="10" t="s">
        <v>22</v>
      </c>
      <c r="W40" s="10" t="s">
        <v>23</v>
      </c>
      <c r="X40" s="60" t="s">
        <v>43</v>
      </c>
      <c r="Y40" s="10" t="s">
        <v>44</v>
      </c>
      <c r="Z40" s="10" t="s">
        <v>45</v>
      </c>
      <c r="AA40" s="16" t="s">
        <v>46</v>
      </c>
    </row>
    <row r="41" spans="1:29" ht="20.5" customHeight="1" x14ac:dyDescent="0.35">
      <c r="A41" s="137" t="s">
        <v>47</v>
      </c>
      <c r="B41" s="140" t="s">
        <v>113</v>
      </c>
      <c r="C41" s="141" t="s">
        <v>49</v>
      </c>
      <c r="D41" s="142" t="s">
        <v>114</v>
      </c>
      <c r="E41" s="135" t="s">
        <v>87</v>
      </c>
      <c r="F41" s="135" t="s">
        <v>87</v>
      </c>
      <c r="G41" s="135" t="s">
        <v>87</v>
      </c>
      <c r="H41" s="154" t="s">
        <v>51</v>
      </c>
      <c r="I41" s="135" t="s">
        <v>33</v>
      </c>
      <c r="J41" s="144" t="s">
        <v>52</v>
      </c>
      <c r="K41" s="61" t="s">
        <v>53</v>
      </c>
      <c r="L41" s="76">
        <v>1.9099999999999999E-2</v>
      </c>
      <c r="M41" s="76">
        <v>4.07E-2</v>
      </c>
      <c r="N41" s="76">
        <v>4.6199999999999998E-2</v>
      </c>
      <c r="O41" s="76">
        <v>3.8600000000000002E-2</v>
      </c>
      <c r="P41" s="76">
        <v>3.5299999999999998E-2</v>
      </c>
      <c r="Q41" s="62">
        <v>2.7099999999999999E-2</v>
      </c>
      <c r="R41" s="62">
        <v>2.5100000000000001E-2</v>
      </c>
      <c r="S41" s="62">
        <v>2.41E-2</v>
      </c>
      <c r="T41" s="62">
        <v>3.1600000000000003E-2</v>
      </c>
      <c r="U41" s="62">
        <v>3.1099999999999999E-2</v>
      </c>
      <c r="V41" s="62">
        <v>3.5700000000000003E-2</v>
      </c>
      <c r="W41" s="63">
        <v>3.32E-2</v>
      </c>
      <c r="X41" s="131"/>
      <c r="Y41" s="126"/>
      <c r="Z41" s="126"/>
      <c r="AA41" s="119" t="s">
        <v>113</v>
      </c>
      <c r="AC41" s="12"/>
    </row>
    <row r="42" spans="1:29" ht="20.5" customHeight="1" x14ac:dyDescent="0.35">
      <c r="A42" s="138"/>
      <c r="B42" s="88"/>
      <c r="C42" s="89"/>
      <c r="D42" s="87"/>
      <c r="E42" s="103"/>
      <c r="F42" s="103"/>
      <c r="G42" s="103"/>
      <c r="H42" s="106"/>
      <c r="I42" s="103"/>
      <c r="J42" s="122"/>
      <c r="K42" s="22" t="s">
        <v>55</v>
      </c>
      <c r="L42" s="55">
        <v>9.1999999999999998E-3</v>
      </c>
      <c r="M42" s="55">
        <v>1.5800000000000002E-2</v>
      </c>
      <c r="N42" s="55">
        <v>1.7600000000000001E-2</v>
      </c>
      <c r="O42" s="55">
        <v>1.5800000000000002E-2</v>
      </c>
      <c r="P42" s="55">
        <v>8.6E-3</v>
      </c>
      <c r="Q42" s="55">
        <v>1.2699999999999999E-2</v>
      </c>
      <c r="R42" s="55">
        <v>1.3299999999999999E-2</v>
      </c>
      <c r="S42" s="55">
        <v>1.3899999999999999E-2</v>
      </c>
      <c r="T42" s="55">
        <v>1.7000000000000001E-2</v>
      </c>
      <c r="U42" s="55"/>
      <c r="V42" s="55"/>
      <c r="W42" s="59"/>
      <c r="X42" s="131"/>
      <c r="Y42" s="126"/>
      <c r="Z42" s="126"/>
      <c r="AA42" s="121"/>
    </row>
    <row r="43" spans="1:29" ht="20.5" customHeight="1" x14ac:dyDescent="0.35">
      <c r="A43" s="139" t="s">
        <v>26</v>
      </c>
      <c r="B43" s="88" t="s">
        <v>115</v>
      </c>
      <c r="C43" s="89" t="s">
        <v>85</v>
      </c>
      <c r="D43" s="87" t="s">
        <v>116</v>
      </c>
      <c r="E43" s="103" t="s">
        <v>87</v>
      </c>
      <c r="F43" s="103" t="s">
        <v>87</v>
      </c>
      <c r="G43" s="103" t="s">
        <v>87</v>
      </c>
      <c r="H43" s="106" t="s">
        <v>32</v>
      </c>
      <c r="I43" s="103" t="s">
        <v>33</v>
      </c>
      <c r="J43" s="115" t="s">
        <v>34</v>
      </c>
      <c r="K43" s="22" t="s">
        <v>53</v>
      </c>
      <c r="L43" s="35"/>
      <c r="M43" s="35"/>
      <c r="N43" s="37">
        <v>0.05</v>
      </c>
      <c r="O43" s="35"/>
      <c r="P43" s="35"/>
      <c r="Q43" s="37">
        <v>5.5E-2</v>
      </c>
      <c r="R43" s="35"/>
      <c r="S43" s="35"/>
      <c r="T43" s="35"/>
      <c r="U43" s="35"/>
      <c r="V43" s="35"/>
      <c r="W43" s="38"/>
      <c r="X43" s="125" t="s">
        <v>117</v>
      </c>
      <c r="Y43" s="127" t="s">
        <v>118</v>
      </c>
      <c r="Z43" s="128"/>
      <c r="AA43" s="129" t="s">
        <v>119</v>
      </c>
    </row>
    <row r="44" spans="1:29" ht="20.5" customHeight="1" x14ac:dyDescent="0.35">
      <c r="A44" s="139"/>
      <c r="B44" s="88"/>
      <c r="C44" s="89"/>
      <c r="D44" s="87"/>
      <c r="E44" s="103"/>
      <c r="F44" s="103"/>
      <c r="G44" s="103"/>
      <c r="H44" s="106"/>
      <c r="I44" s="153"/>
      <c r="J44" s="115"/>
      <c r="K44" s="22" t="s">
        <v>55</v>
      </c>
      <c r="L44" s="21" t="s">
        <v>88</v>
      </c>
      <c r="M44" s="21" t="s">
        <v>88</v>
      </c>
      <c r="N44" s="17">
        <v>4.2000000000000003E-2</v>
      </c>
      <c r="O44" s="21" t="s">
        <v>88</v>
      </c>
      <c r="P44" s="21" t="s">
        <v>88</v>
      </c>
      <c r="Q44" s="17">
        <v>0.04</v>
      </c>
      <c r="R44" s="21" t="s">
        <v>88</v>
      </c>
      <c r="S44" s="21" t="s">
        <v>88</v>
      </c>
      <c r="T44" s="55"/>
      <c r="U44" s="21" t="s">
        <v>88</v>
      </c>
      <c r="V44" s="21" t="s">
        <v>88</v>
      </c>
      <c r="W44" s="55"/>
      <c r="X44" s="125"/>
      <c r="Y44" s="127"/>
      <c r="Z44" s="128"/>
      <c r="AA44" s="129"/>
    </row>
    <row r="45" spans="1:29" ht="20.5" customHeight="1" x14ac:dyDescent="0.35">
      <c r="A45" s="139"/>
      <c r="B45" s="88" t="s">
        <v>120</v>
      </c>
      <c r="C45" s="89" t="s">
        <v>85</v>
      </c>
      <c r="D45" s="87" t="s">
        <v>121</v>
      </c>
      <c r="E45" s="103" t="s">
        <v>87</v>
      </c>
      <c r="F45" s="103" t="s">
        <v>87</v>
      </c>
      <c r="G45" s="103" t="s">
        <v>87</v>
      </c>
      <c r="H45" s="106" t="s">
        <v>32</v>
      </c>
      <c r="I45" s="103" t="s">
        <v>33</v>
      </c>
      <c r="J45" s="122" t="s">
        <v>52</v>
      </c>
      <c r="K45" s="22" t="s">
        <v>53</v>
      </c>
      <c r="L45" s="35">
        <v>0.4</v>
      </c>
      <c r="M45" s="35">
        <v>0.4</v>
      </c>
      <c r="N45" s="35">
        <v>0.4</v>
      </c>
      <c r="O45" s="35">
        <v>0.4</v>
      </c>
      <c r="P45" s="35">
        <v>0.4</v>
      </c>
      <c r="Q45" s="35">
        <v>0.4</v>
      </c>
      <c r="R45" s="35">
        <v>0.4</v>
      </c>
      <c r="S45" s="35">
        <v>0.4</v>
      </c>
      <c r="T45" s="35">
        <v>0.4</v>
      </c>
      <c r="U45" s="35"/>
      <c r="V45" s="35"/>
      <c r="W45" s="38"/>
      <c r="X45" s="125"/>
      <c r="Y45" s="127" t="s">
        <v>122</v>
      </c>
      <c r="Z45" s="130">
        <v>46188</v>
      </c>
      <c r="AA45" s="121" t="s">
        <v>120</v>
      </c>
    </row>
    <row r="46" spans="1:29" ht="20.5" customHeight="1" x14ac:dyDescent="0.35">
      <c r="A46" s="139"/>
      <c r="B46" s="88"/>
      <c r="C46" s="89"/>
      <c r="D46" s="87"/>
      <c r="E46" s="103"/>
      <c r="F46" s="103"/>
      <c r="G46" s="103"/>
      <c r="H46" s="106"/>
      <c r="I46" s="103"/>
      <c r="J46" s="122"/>
      <c r="K46" s="22" t="s">
        <v>55</v>
      </c>
      <c r="L46" s="19">
        <v>0.66</v>
      </c>
      <c r="M46" s="19">
        <v>0.34</v>
      </c>
      <c r="N46" s="19">
        <v>0.41</v>
      </c>
      <c r="O46" s="19">
        <v>0.39</v>
      </c>
      <c r="P46" s="19">
        <v>0.40799999999999997</v>
      </c>
      <c r="Q46" s="19">
        <v>0.43</v>
      </c>
      <c r="R46" s="19">
        <v>0.56000000000000005</v>
      </c>
      <c r="S46" s="19">
        <v>0.39</v>
      </c>
      <c r="T46" s="19">
        <v>0.37</v>
      </c>
      <c r="U46" s="19"/>
      <c r="V46" s="19"/>
      <c r="W46" s="28"/>
      <c r="X46" s="125"/>
      <c r="Y46" s="128"/>
      <c r="Z46" s="128"/>
      <c r="AA46" s="121"/>
    </row>
    <row r="47" spans="1:29" ht="20.5" customHeight="1" x14ac:dyDescent="0.35">
      <c r="A47" s="139"/>
      <c r="B47" s="88" t="s">
        <v>123</v>
      </c>
      <c r="C47" s="89" t="s">
        <v>82</v>
      </c>
      <c r="D47" s="87" t="s">
        <v>124</v>
      </c>
      <c r="E47" s="103" t="s">
        <v>87</v>
      </c>
      <c r="F47" s="103" t="s">
        <v>87</v>
      </c>
      <c r="G47" s="103" t="s">
        <v>87</v>
      </c>
      <c r="H47" s="106" t="s">
        <v>32</v>
      </c>
      <c r="I47" s="103" t="s">
        <v>77</v>
      </c>
      <c r="J47" s="122" t="s">
        <v>52</v>
      </c>
      <c r="K47" s="22" t="s">
        <v>53</v>
      </c>
      <c r="L47" s="36">
        <v>5.5</v>
      </c>
      <c r="M47" s="36">
        <v>11</v>
      </c>
      <c r="N47" s="36">
        <v>16.5</v>
      </c>
      <c r="O47" s="36">
        <v>22</v>
      </c>
      <c r="P47" s="36">
        <v>27.5</v>
      </c>
      <c r="Q47" s="36">
        <v>33</v>
      </c>
      <c r="R47" s="36">
        <v>38.5</v>
      </c>
      <c r="S47" s="36">
        <v>44</v>
      </c>
      <c r="T47" s="36">
        <v>49.5</v>
      </c>
      <c r="U47" s="36">
        <v>55</v>
      </c>
      <c r="V47" s="36">
        <v>60.5</v>
      </c>
      <c r="W47" s="39">
        <v>67</v>
      </c>
      <c r="X47" s="125"/>
      <c r="Y47" s="128"/>
      <c r="Z47" s="128"/>
      <c r="AA47" s="87" t="s">
        <v>125</v>
      </c>
    </row>
    <row r="48" spans="1:29" ht="20.5" customHeight="1" x14ac:dyDescent="0.35">
      <c r="A48" s="139"/>
      <c r="B48" s="88"/>
      <c r="C48" s="89"/>
      <c r="D48" s="87"/>
      <c r="E48" s="103"/>
      <c r="F48" s="103"/>
      <c r="G48" s="103"/>
      <c r="H48" s="106"/>
      <c r="I48" s="103"/>
      <c r="J48" s="122"/>
      <c r="K48" s="22" t="s">
        <v>55</v>
      </c>
      <c r="L48" s="9">
        <v>9</v>
      </c>
      <c r="M48" s="9">
        <f>9+8.3</f>
        <v>17.3</v>
      </c>
      <c r="N48" s="9">
        <v>24.6</v>
      </c>
      <c r="O48" s="9">
        <v>26.3</v>
      </c>
      <c r="P48" s="9">
        <v>31</v>
      </c>
      <c r="Q48" s="9">
        <v>37</v>
      </c>
      <c r="R48" s="9">
        <v>49.7</v>
      </c>
      <c r="S48" s="9">
        <v>51.9</v>
      </c>
      <c r="T48" s="9">
        <v>55.8</v>
      </c>
      <c r="U48" s="9"/>
      <c r="V48" s="9"/>
      <c r="W48" s="26"/>
      <c r="X48" s="125"/>
      <c r="Y48" s="128"/>
      <c r="Z48" s="128"/>
      <c r="AA48" s="87"/>
    </row>
    <row r="49" spans="1:27" ht="20.5" customHeight="1" x14ac:dyDescent="0.35">
      <c r="A49" s="138" t="s">
        <v>126</v>
      </c>
      <c r="B49" s="145" t="s">
        <v>127</v>
      </c>
      <c r="C49" s="89" t="s">
        <v>68</v>
      </c>
      <c r="D49" s="87" t="s">
        <v>128</v>
      </c>
      <c r="E49" s="103">
        <v>74</v>
      </c>
      <c r="F49" s="103" t="s">
        <v>87</v>
      </c>
      <c r="G49" s="103" t="s">
        <v>87</v>
      </c>
      <c r="H49" s="106" t="s">
        <v>32</v>
      </c>
      <c r="I49" s="103" t="s">
        <v>33</v>
      </c>
      <c r="J49" s="102" t="s">
        <v>52</v>
      </c>
      <c r="K49" s="22" t="s">
        <v>53</v>
      </c>
      <c r="L49" s="37">
        <v>0.73199999999999998</v>
      </c>
      <c r="M49" s="37">
        <v>0.72749999999999992</v>
      </c>
      <c r="N49" s="37">
        <v>0.7287499999999999</v>
      </c>
      <c r="O49" s="37">
        <v>0.72999999999999987</v>
      </c>
      <c r="P49" s="37">
        <v>0.73124999999999984</v>
      </c>
      <c r="Q49" s="37">
        <v>0.73249999999999982</v>
      </c>
      <c r="R49" s="37">
        <v>0.73374999999999979</v>
      </c>
      <c r="S49" s="37">
        <v>0.73499999999999976</v>
      </c>
      <c r="T49" s="37">
        <v>0.73624999999999974</v>
      </c>
      <c r="U49" s="37">
        <v>0.73749999999999971</v>
      </c>
      <c r="V49" s="37">
        <v>0.73874999999999968</v>
      </c>
      <c r="W49" s="40">
        <v>0.73999999999999966</v>
      </c>
      <c r="X49" s="125"/>
      <c r="Y49" s="127"/>
      <c r="Z49" s="128"/>
      <c r="AA49" s="121" t="s">
        <v>129</v>
      </c>
    </row>
    <row r="50" spans="1:27" ht="20.5" customHeight="1" x14ac:dyDescent="0.35">
      <c r="A50" s="138"/>
      <c r="B50" s="145"/>
      <c r="C50" s="89"/>
      <c r="D50" s="87"/>
      <c r="E50" s="103"/>
      <c r="F50" s="103"/>
      <c r="G50" s="103"/>
      <c r="H50" s="106"/>
      <c r="I50" s="103"/>
      <c r="J50" s="102"/>
      <c r="K50" s="22" t="s">
        <v>55</v>
      </c>
      <c r="L50" s="17">
        <v>0.69299999999999995</v>
      </c>
      <c r="M50" s="17">
        <v>0.71099999999999997</v>
      </c>
      <c r="N50" s="17">
        <v>0.72499999999999998</v>
      </c>
      <c r="O50" s="17">
        <v>0.72299999999999998</v>
      </c>
      <c r="P50" s="17">
        <v>0.73599999999999999</v>
      </c>
      <c r="Q50" s="17">
        <v>0.74150000000000005</v>
      </c>
      <c r="R50" s="17">
        <v>0.74099999999999999</v>
      </c>
      <c r="S50" s="17">
        <v>0.74450000000000005</v>
      </c>
      <c r="T50" s="17">
        <v>0.74770000000000003</v>
      </c>
      <c r="U50" s="17"/>
      <c r="V50" s="17"/>
      <c r="W50" s="74"/>
      <c r="X50" s="125"/>
      <c r="Y50" s="127"/>
      <c r="Z50" s="128"/>
      <c r="AA50" s="121"/>
    </row>
    <row r="51" spans="1:27" ht="20.5" customHeight="1" x14ac:dyDescent="0.35">
      <c r="A51" s="139" t="s">
        <v>25</v>
      </c>
      <c r="B51" s="88" t="s">
        <v>130</v>
      </c>
      <c r="C51" s="89" t="s">
        <v>71</v>
      </c>
      <c r="D51" s="87" t="s">
        <v>131</v>
      </c>
      <c r="E51" s="103">
        <v>33.1</v>
      </c>
      <c r="F51" s="103" t="s">
        <v>87</v>
      </c>
      <c r="G51" s="103" t="s">
        <v>87</v>
      </c>
      <c r="H51" s="106" t="s">
        <v>32</v>
      </c>
      <c r="I51" s="103" t="s">
        <v>33</v>
      </c>
      <c r="J51" s="102" t="s">
        <v>52</v>
      </c>
      <c r="K51" s="22" t="s">
        <v>53</v>
      </c>
      <c r="L51" s="37">
        <v>0.34700072985878605</v>
      </c>
      <c r="M51" s="37">
        <v>0.32854527661902383</v>
      </c>
      <c r="N51" s="37">
        <v>0.30191652751587683</v>
      </c>
      <c r="O51" s="37">
        <v>0.32233175889748933</v>
      </c>
      <c r="P51" s="37">
        <v>0.32732965712929335</v>
      </c>
      <c r="Q51" s="37">
        <v>0.31564073493651035</v>
      </c>
      <c r="R51" s="37">
        <v>0.33096935042775388</v>
      </c>
      <c r="S51" s="37">
        <v>0.33943248102419393</v>
      </c>
      <c r="T51" s="37">
        <v>0.33082830926903184</v>
      </c>
      <c r="U51" s="35"/>
      <c r="V51" s="35"/>
      <c r="W51" s="38"/>
      <c r="X51" s="125"/>
      <c r="Y51" s="128"/>
      <c r="Z51" s="128"/>
      <c r="AA51" s="90" t="s">
        <v>132</v>
      </c>
    </row>
    <row r="52" spans="1:27" ht="20.5" customHeight="1" thickBot="1" x14ac:dyDescent="0.4">
      <c r="A52" s="139"/>
      <c r="B52" s="88"/>
      <c r="C52" s="89"/>
      <c r="D52" s="87"/>
      <c r="E52" s="103"/>
      <c r="F52" s="103"/>
      <c r="G52" s="103"/>
      <c r="H52" s="106"/>
      <c r="I52" s="103"/>
      <c r="J52" s="102"/>
      <c r="K52" s="22" t="s">
        <v>55</v>
      </c>
      <c r="L52" s="17">
        <v>0.36591770011686803</v>
      </c>
      <c r="M52" s="17">
        <v>0.43346514302305739</v>
      </c>
      <c r="N52" s="17">
        <v>0.41319844449711768</v>
      </c>
      <c r="O52" s="17">
        <v>0.41195005974326776</v>
      </c>
      <c r="P52" s="17">
        <v>0.40747704161607318</v>
      </c>
      <c r="Q52" s="77">
        <v>0.36849551470072495</v>
      </c>
      <c r="R52" s="77">
        <v>0.35573521911109235</v>
      </c>
      <c r="S52" s="77">
        <v>0.36691053201149237</v>
      </c>
      <c r="T52" s="77">
        <v>0.36899999999999999</v>
      </c>
      <c r="U52" s="29"/>
      <c r="V52" s="29"/>
      <c r="W52" s="30"/>
      <c r="X52" s="125"/>
      <c r="Y52" s="128"/>
      <c r="Z52" s="128"/>
      <c r="AA52" s="90"/>
    </row>
  </sheetData>
  <mergeCells count="270">
    <mergeCell ref="A24:A33"/>
    <mergeCell ref="A22:A23"/>
    <mergeCell ref="Z32:Z33"/>
    <mergeCell ref="Y32:Y33"/>
    <mergeCell ref="X32:X33"/>
    <mergeCell ref="Z24:Z25"/>
    <mergeCell ref="Y24:Y25"/>
    <mergeCell ref="J24:J25"/>
    <mergeCell ref="H24:H25"/>
    <mergeCell ref="E24:E25"/>
    <mergeCell ref="D24:D25"/>
    <mergeCell ref="I24:I25"/>
    <mergeCell ref="G24:G25"/>
    <mergeCell ref="F24:F25"/>
    <mergeCell ref="I28:I29"/>
    <mergeCell ref="J30:J31"/>
    <mergeCell ref="D30:D31"/>
    <mergeCell ref="Y30:Y31"/>
    <mergeCell ref="Z28:Z29"/>
    <mergeCell ref="Z30:Z31"/>
    <mergeCell ref="J32:J33"/>
    <mergeCell ref="B28:B31"/>
    <mergeCell ref="AA30:AA31"/>
    <mergeCell ref="X24:X25"/>
    <mergeCell ref="E30:G31"/>
    <mergeCell ref="E32:G33"/>
    <mergeCell ref="E34:G35"/>
    <mergeCell ref="E36:G37"/>
    <mergeCell ref="H10:H11"/>
    <mergeCell ref="H12:H13"/>
    <mergeCell ref="H14:H15"/>
    <mergeCell ref="H16:H17"/>
    <mergeCell ref="H18:H19"/>
    <mergeCell ref="H20:H21"/>
    <mergeCell ref="H26:H27"/>
    <mergeCell ref="H22:H23"/>
    <mergeCell ref="H28:H29"/>
    <mergeCell ref="H30:H31"/>
    <mergeCell ref="H32:H33"/>
    <mergeCell ref="H34:H35"/>
    <mergeCell ref="H36:H37"/>
    <mergeCell ref="J10:J11"/>
    <mergeCell ref="I34:I35"/>
    <mergeCell ref="I36:I37"/>
    <mergeCell ref="J26:J27"/>
    <mergeCell ref="X26:X27"/>
    <mergeCell ref="G45:G46"/>
    <mergeCell ref="G47:G48"/>
    <mergeCell ref="E26:G27"/>
    <mergeCell ref="E22:G23"/>
    <mergeCell ref="AA22:AA23"/>
    <mergeCell ref="Z22:Z23"/>
    <mergeCell ref="Z26:Z27"/>
    <mergeCell ref="AA6:AA7"/>
    <mergeCell ref="AA8:AA9"/>
    <mergeCell ref="AA10:AA11"/>
    <mergeCell ref="H8:H9"/>
    <mergeCell ref="E6:G7"/>
    <mergeCell ref="E8:G9"/>
    <mergeCell ref="E10:G11"/>
    <mergeCell ref="E12:G13"/>
    <mergeCell ref="E14:G15"/>
    <mergeCell ref="E16:G17"/>
    <mergeCell ref="E18:G19"/>
    <mergeCell ref="E20:G21"/>
    <mergeCell ref="J12:J13"/>
    <mergeCell ref="J16:J17"/>
    <mergeCell ref="J22:J23"/>
    <mergeCell ref="X10:X11"/>
    <mergeCell ref="Y10:Y11"/>
    <mergeCell ref="I41:I42"/>
    <mergeCell ref="I43:I44"/>
    <mergeCell ref="F41:F42"/>
    <mergeCell ref="G41:G42"/>
    <mergeCell ref="F43:F44"/>
    <mergeCell ref="G43:G44"/>
    <mergeCell ref="H41:H42"/>
    <mergeCell ref="B22:B23"/>
    <mergeCell ref="C22:C23"/>
    <mergeCell ref="B26:B27"/>
    <mergeCell ref="C26:C27"/>
    <mergeCell ref="D26:D27"/>
    <mergeCell ref="I30:I31"/>
    <mergeCell ref="E28:G29"/>
    <mergeCell ref="I26:I27"/>
    <mergeCell ref="I22:I23"/>
    <mergeCell ref="I32:I33"/>
    <mergeCell ref="D32:D33"/>
    <mergeCell ref="C32:C33"/>
    <mergeCell ref="B32:B33"/>
    <mergeCell ref="C24:C25"/>
    <mergeCell ref="B24:B25"/>
    <mergeCell ref="C30:C31"/>
    <mergeCell ref="C28:C29"/>
    <mergeCell ref="AA12:AA13"/>
    <mergeCell ref="AA14:AA15"/>
    <mergeCell ref="X14:X15"/>
    <mergeCell ref="Y14:Y15"/>
    <mergeCell ref="Z20:Z21"/>
    <mergeCell ref="X12:X13"/>
    <mergeCell ref="Y12:Y13"/>
    <mergeCell ref="Z12:Z13"/>
    <mergeCell ref="J20:J21"/>
    <mergeCell ref="Z14:Z15"/>
    <mergeCell ref="Z16:Z17"/>
    <mergeCell ref="Z18:Z19"/>
    <mergeCell ref="AA18:AA19"/>
    <mergeCell ref="J18:J19"/>
    <mergeCell ref="X18:X19"/>
    <mergeCell ref="Y18:Y19"/>
    <mergeCell ref="A51:A52"/>
    <mergeCell ref="F49:F50"/>
    <mergeCell ref="G49:G50"/>
    <mergeCell ref="F51:F52"/>
    <mergeCell ref="G51:G52"/>
    <mergeCell ref="A49:A50"/>
    <mergeCell ref="C51:C52"/>
    <mergeCell ref="D51:D52"/>
    <mergeCell ref="E51:E52"/>
    <mergeCell ref="D49:D50"/>
    <mergeCell ref="I51:I52"/>
    <mergeCell ref="J41:J42"/>
    <mergeCell ref="J45:J46"/>
    <mergeCell ref="Y51:Y52"/>
    <mergeCell ref="B43:B44"/>
    <mergeCell ref="D43:D44"/>
    <mergeCell ref="C43:C44"/>
    <mergeCell ref="E43:E44"/>
    <mergeCell ref="Y49:Y50"/>
    <mergeCell ref="I45:I46"/>
    <mergeCell ref="I47:I48"/>
    <mergeCell ref="I49:I50"/>
    <mergeCell ref="D47:D48"/>
    <mergeCell ref="E47:E48"/>
    <mergeCell ref="C47:C48"/>
    <mergeCell ref="E45:E46"/>
    <mergeCell ref="F45:F46"/>
    <mergeCell ref="H45:H46"/>
    <mergeCell ref="B51:B52"/>
    <mergeCell ref="J49:J50"/>
    <mergeCell ref="J43:J44"/>
    <mergeCell ref="B49:B50"/>
    <mergeCell ref="C49:C50"/>
    <mergeCell ref="B45:B46"/>
    <mergeCell ref="D41:D42"/>
    <mergeCell ref="C45:C46"/>
    <mergeCell ref="D45:D46"/>
    <mergeCell ref="A34:A37"/>
    <mergeCell ref="B34:B35"/>
    <mergeCell ref="C34:C35"/>
    <mergeCell ref="D34:D35"/>
    <mergeCell ref="C36:C37"/>
    <mergeCell ref="B36:B37"/>
    <mergeCell ref="AA51:AA52"/>
    <mergeCell ref="AA49:AA50"/>
    <mergeCell ref="H51:H52"/>
    <mergeCell ref="J51:J52"/>
    <mergeCell ref="X51:X52"/>
    <mergeCell ref="Z51:Z52"/>
    <mergeCell ref="X49:X50"/>
    <mergeCell ref="A38:AA38"/>
    <mergeCell ref="Z49:Z50"/>
    <mergeCell ref="Y47:Y48"/>
    <mergeCell ref="Z47:Z48"/>
    <mergeCell ref="B47:B48"/>
    <mergeCell ref="F47:F48"/>
    <mergeCell ref="E49:E50"/>
    <mergeCell ref="H49:H50"/>
    <mergeCell ref="X43:X44"/>
    <mergeCell ref="Y43:Y44"/>
    <mergeCell ref="E41:E42"/>
    <mergeCell ref="H43:H44"/>
    <mergeCell ref="A39:B39"/>
    <mergeCell ref="A41:A42"/>
    <mergeCell ref="A43:A48"/>
    <mergeCell ref="B41:B42"/>
    <mergeCell ref="C41:C42"/>
    <mergeCell ref="AA32:AA33"/>
    <mergeCell ref="AA16:AA17"/>
    <mergeCell ref="AA20:AA21"/>
    <mergeCell ref="AA41:AA42"/>
    <mergeCell ref="AA45:AA46"/>
    <mergeCell ref="AA47:AA48"/>
    <mergeCell ref="AA24:AA25"/>
    <mergeCell ref="H47:H48"/>
    <mergeCell ref="J47:J48"/>
    <mergeCell ref="AA28:AA29"/>
    <mergeCell ref="AA26:AA27"/>
    <mergeCell ref="AA34:AA35"/>
    <mergeCell ref="AA36:AA37"/>
    <mergeCell ref="X47:X48"/>
    <mergeCell ref="Y41:Y42"/>
    <mergeCell ref="Z41:Z42"/>
    <mergeCell ref="X45:X46"/>
    <mergeCell ref="Y45:Y46"/>
    <mergeCell ref="AA43:AA44"/>
    <mergeCell ref="Z43:Z44"/>
    <mergeCell ref="Z45:Z46"/>
    <mergeCell ref="X41:X42"/>
    <mergeCell ref="X36:X37"/>
    <mergeCell ref="X30:X31"/>
    <mergeCell ref="Z36:Z37"/>
    <mergeCell ref="J34:J35"/>
    <mergeCell ref="J36:J37"/>
    <mergeCell ref="X34:X35"/>
    <mergeCell ref="Y34:Y35"/>
    <mergeCell ref="Z34:Z35"/>
    <mergeCell ref="Y36:Y37"/>
    <mergeCell ref="B14:B15"/>
    <mergeCell ref="C14:C15"/>
    <mergeCell ref="B20:B21"/>
    <mergeCell ref="C20:C21"/>
    <mergeCell ref="D36:D37"/>
    <mergeCell ref="D14:D15"/>
    <mergeCell ref="J14:J15"/>
    <mergeCell ref="D16:D17"/>
    <mergeCell ref="I14:I15"/>
    <mergeCell ref="I16:I17"/>
    <mergeCell ref="B16:B17"/>
    <mergeCell ref="C16:C17"/>
    <mergeCell ref="B18:B19"/>
    <mergeCell ref="D18:D19"/>
    <mergeCell ref="I18:I19"/>
    <mergeCell ref="I20:I21"/>
    <mergeCell ref="C18:C19"/>
    <mergeCell ref="A12:A15"/>
    <mergeCell ref="A16:A21"/>
    <mergeCell ref="A3:B3"/>
    <mergeCell ref="B6:B7"/>
    <mergeCell ref="C6:C7"/>
    <mergeCell ref="D6:D7"/>
    <mergeCell ref="H6:H7"/>
    <mergeCell ref="A4:AA4"/>
    <mergeCell ref="Z6:Z7"/>
    <mergeCell ref="X8:X9"/>
    <mergeCell ref="Y8:Y9"/>
    <mergeCell ref="Z8:Z9"/>
    <mergeCell ref="X6:X7"/>
    <mergeCell ref="A6:A11"/>
    <mergeCell ref="E5:G5"/>
    <mergeCell ref="I6:I7"/>
    <mergeCell ref="I8:I9"/>
    <mergeCell ref="I10:I11"/>
    <mergeCell ref="Z10:Z11"/>
    <mergeCell ref="Y6:Y7"/>
    <mergeCell ref="J6:J7"/>
    <mergeCell ref="B8:B9"/>
    <mergeCell ref="C8:C9"/>
    <mergeCell ref="J8:J9"/>
    <mergeCell ref="D8:D9"/>
    <mergeCell ref="B10:B11"/>
    <mergeCell ref="C10:C11"/>
    <mergeCell ref="D10:D11"/>
    <mergeCell ref="B12:B13"/>
    <mergeCell ref="C12:C13"/>
    <mergeCell ref="D28:D29"/>
    <mergeCell ref="X16:X17"/>
    <mergeCell ref="Y16:Y17"/>
    <mergeCell ref="Y28:Y29"/>
    <mergeCell ref="D20:D21"/>
    <mergeCell ref="X20:X21"/>
    <mergeCell ref="Y20:Y21"/>
    <mergeCell ref="X28:X29"/>
    <mergeCell ref="X22:X23"/>
    <mergeCell ref="Y22:Y23"/>
    <mergeCell ref="Y26:Y27"/>
    <mergeCell ref="J28:J29"/>
    <mergeCell ref="D22:D23"/>
    <mergeCell ref="D12:D13"/>
    <mergeCell ref="I12:I13"/>
  </mergeCells>
  <phoneticPr fontId="12" type="noConversion"/>
  <conditionalFormatting sqref="B6 H6:J6 C6:C12 B8 H8:J8 B10 H10:J10 B12 H12:J12 H14:J14 H16:J16 H20:J20 C22 H22:J22 H24:J24 D26:E26 H26:J26 C26:C27 H28:J28 H30:J30 H32:J32 H34:J34 H36:J36 D41:J41 C41:C43 D45:J45 C45:C52 D47:J47 D49:J49 D51:J51">
    <cfRule type="containsBlanks" dxfId="75" priority="160">
      <formula>LEN(TRIM(B6))=0</formula>
    </cfRule>
  </conditionalFormatting>
  <conditionalFormatting sqref="B26">
    <cfRule type="containsBlanks" dxfId="74" priority="76">
      <formula>LEN(TRIM(B26))=0</formula>
    </cfRule>
  </conditionalFormatting>
  <conditionalFormatting sqref="B41 B45 B47 B49 B51">
    <cfRule type="containsBlanks" dxfId="73" priority="140">
      <formula>LEN(TRIM(B41))=0</formula>
    </cfRule>
  </conditionalFormatting>
  <conditionalFormatting sqref="B24:E24">
    <cfRule type="containsBlanks" dxfId="72" priority="75">
      <formula>LEN(TRIM(B24))=0</formula>
    </cfRule>
  </conditionalFormatting>
  <conditionalFormatting sqref="C18">
    <cfRule type="containsBlanks" dxfId="71" priority="73">
      <formula>LEN(TRIM(C18))=0</formula>
    </cfRule>
  </conditionalFormatting>
  <conditionalFormatting sqref="D6:E6 D8:E8 D10:E10 D12:E12 B14:E14 B16:E16 E18 B20:E20 E22 B28:E28 C30:E30 B32:E32 B34:E34 B36:E36">
    <cfRule type="containsBlanks" dxfId="70" priority="136">
      <formula>LEN(TRIM(B6))=0</formula>
    </cfRule>
  </conditionalFormatting>
  <conditionalFormatting sqref="H43">
    <cfRule type="containsBlanks" dxfId="69" priority="127">
      <formula>LEN(TRIM(H43))=0</formula>
    </cfRule>
  </conditionalFormatting>
  <conditionalFormatting sqref="H18:J18">
    <cfRule type="containsBlanks" dxfId="68" priority="90">
      <formula>LEN(TRIM(H18))=0</formula>
    </cfRule>
  </conditionalFormatting>
  <conditionalFormatting sqref="J43">
    <cfRule type="containsBlanks" dxfId="67" priority="31">
      <formula>LEN(TRIM(J43))=0</formula>
    </cfRule>
  </conditionalFormatting>
  <conditionalFormatting sqref="L27">
    <cfRule type="expression" dxfId="66" priority="78">
      <formula>AND(OR($H26="Lower the better", $H26="Lower the Better"), L27&gt;L26)</formula>
    </cfRule>
    <cfRule type="expression" dxfId="65" priority="79">
      <formula>AND(OR($H26="Lower the better", $H26="Lower the Better"), L27&lt;=L26)</formula>
    </cfRule>
    <cfRule type="expression" dxfId="64" priority="80">
      <formula>AND(OR($H26="Higher the better", $H26="Higher the Better"), L27&lt;L26)</formula>
    </cfRule>
    <cfRule type="expression" dxfId="63" priority="81" stopIfTrue="1">
      <formula>AND(OR($H26="Higher the better", $H26="Higher the Better"), L27&gt;=L26)</formula>
    </cfRule>
  </conditionalFormatting>
  <conditionalFormatting sqref="L7:W7 L9:W9 L11:W11 L13:W13 L15:W15 L17:W17 L19:W19 L21:W21 L23:W23 M27:W27 L29:W29 L31:W31 L33:W33 N35 Q35 T35:W35 O37 S37 U37:W37">
    <cfRule type="expression" dxfId="62" priority="74">
      <formula>AND(OR($H6="Lower the better", $H6="Lower the better"), L7&gt; L6)</formula>
    </cfRule>
    <cfRule type="expression" dxfId="61" priority="247">
      <formula>AND(OR($H6="Lower the better", $H6= "Lower the Better"), L7 &lt;= L6)</formula>
    </cfRule>
    <cfRule type="expression" dxfId="60" priority="248">
      <formula>AND(OR($H6="Higher the better", $H6="Higher the Better"), L7 &lt; L6)</formula>
    </cfRule>
    <cfRule type="expression" dxfId="59" priority="249">
      <formula xml:space="preserve"> AND(OR($H6="Higher the better", $H6="Higher the Better"), L7&gt;= L6)</formula>
    </cfRule>
  </conditionalFormatting>
  <conditionalFormatting sqref="L7:W7 L9:W9 L11:W11 L13:W13 L15:W15 L17:W17 L19:W19 L21:W21 L29:W29 L31:W31 L33:W33 N35 Q35 T35:W35 O37 S37 L23:W27 U37:W37">
    <cfRule type="containsBlanks" dxfId="58" priority="245">
      <formula>LEN(TRIM(L7))=0</formula>
    </cfRule>
  </conditionalFormatting>
  <conditionalFormatting sqref="L27:W27">
    <cfRule type="containsBlanks" dxfId="57" priority="77">
      <formula>LEN(TRIM(L27))=0</formula>
    </cfRule>
  </conditionalFormatting>
  <conditionalFormatting sqref="L46:W46 L48:W48 L50:W50">
    <cfRule type="containsBlanks" dxfId="56" priority="173">
      <formula>LEN(TRIM(L46))=0</formula>
    </cfRule>
    <cfRule type="expression" dxfId="55" priority="175">
      <formula>AND(OR($H45="Lower the better", $H45="Lower the Better"), L46&gt;L45)</formula>
    </cfRule>
    <cfRule type="expression" dxfId="54" priority="176">
      <formula>AND(OR($H45="Lower the better", $H45="Lower the Better"), L46&lt;=L45)</formula>
    </cfRule>
    <cfRule type="expression" dxfId="53" priority="177">
      <formula>AND(OR($H45="Higher the better", $H45="Higher the Better"), L46&lt;L45)</formula>
    </cfRule>
    <cfRule type="expression" dxfId="52" priority="178" stopIfTrue="1">
      <formula>AND(OR($H45="Higher the better", $H45="Higher the Better"), L46&gt;=L45)</formula>
    </cfRule>
  </conditionalFormatting>
  <conditionalFormatting sqref="L52:W52">
    <cfRule type="containsBlanks" dxfId="51" priority="104">
      <formula>LEN(TRIM(L52))=0</formula>
    </cfRule>
    <cfRule type="expression" dxfId="50" priority="105">
      <formula>AND(OR($H51="Lower the better", $H51="Lower the Better"), L52&gt;L51)</formula>
    </cfRule>
    <cfRule type="expression" dxfId="49" priority="106">
      <formula>AND(OR($H51="Lower the better", $H51="Lower the Better"), L52&lt;=L51)</formula>
    </cfRule>
    <cfRule type="expression" dxfId="48" priority="107">
      <formula>AND(OR($H51="Higher the better", $H51="Higher the Better"), L52&lt;L51)</formula>
    </cfRule>
    <cfRule type="expression" dxfId="47" priority="108" stopIfTrue="1">
      <formula>AND(OR($H51="Higher the better", $H51="Higher the Better"), L52&gt;=L51)</formula>
    </cfRule>
  </conditionalFormatting>
  <conditionalFormatting sqref="N25 W25 L42:W42">
    <cfRule type="containsBlanks" dxfId="46" priority="67">
      <formula>LEN(TRIM(L25))=0</formula>
    </cfRule>
    <cfRule type="expression" dxfId="45" priority="68">
      <formula>AND(OR($H24="Lower the better", $H24="Lower the Better"), L25&gt;L24)</formula>
    </cfRule>
    <cfRule type="expression" dxfId="44" priority="69">
      <formula>AND(OR($H24="Lower the better", $H24="Lower the Better"), L25&lt;=L24)</formula>
    </cfRule>
    <cfRule type="expression" dxfId="43" priority="70">
      <formula>AND(OR($H24="Higher the better", $H24="Higher the Better"), L25&lt;L24)</formula>
    </cfRule>
    <cfRule type="expression" dxfId="42" priority="71" stopIfTrue="1">
      <formula>AND(OR($H24="Higher the better", $H24="Higher the Better"), L25&gt;=L24)</formula>
    </cfRule>
  </conditionalFormatting>
  <conditionalFormatting sqref="N25">
    <cfRule type="containsBlanks" dxfId="41" priority="16">
      <formula>LEN(TRIM(N25))=0</formula>
    </cfRule>
    <cfRule type="expression" dxfId="40" priority="17">
      <formula>AND(OR($H24="Lower the better", $H24="Lower the Better"), N25&gt;N24)</formula>
    </cfRule>
    <cfRule type="expression" dxfId="39" priority="18">
      <formula>AND(OR($H24="Lower the better", $H24="Lower the Better"), N25&lt;=N24)</formula>
    </cfRule>
    <cfRule type="expression" dxfId="38" priority="19">
      <formula>AND(OR($H24="Higher the better", $H24="Higher the Better"), N25&lt;N24)</formula>
    </cfRule>
    <cfRule type="expression" dxfId="37" priority="20" stopIfTrue="1">
      <formula>AND(OR($H24="Higher the better", $H24="Higher the Better"), N25&gt;=N24)</formula>
    </cfRule>
    <cfRule type="containsBlanks" dxfId="36" priority="21">
      <formula>LEN(TRIM(N25))=0</formula>
    </cfRule>
    <cfRule type="expression" dxfId="35" priority="22">
      <formula>AND(OR($H24="Lower the better", $H24="Lower the Better"), N25&gt;N24)</formula>
    </cfRule>
    <cfRule type="expression" dxfId="34" priority="23">
      <formula>AND(OR($H24="Lower the better", $H24="Lower the Better"), N25&lt;=N24)</formula>
    </cfRule>
    <cfRule type="expression" dxfId="33" priority="24">
      <formula>AND(OR($H24="Higher the better", $H24="Higher the Better"), N25&lt;N24)</formula>
    </cfRule>
    <cfRule type="expression" dxfId="32" priority="25" stopIfTrue="1">
      <formula>AND(OR($H24="Higher the better", $H24="Higher the Better"), N25&gt;=N24)</formula>
    </cfRule>
  </conditionalFormatting>
  <conditionalFormatting sqref="N44">
    <cfRule type="containsBlanks" dxfId="31" priority="62">
      <formula>LEN(TRIM(N44))=0</formula>
    </cfRule>
    <cfRule type="expression" dxfId="30" priority="63">
      <formula>AND(OR($H43="Lower the better", $H43="Lower the Better"), N44&gt;N43)</formula>
    </cfRule>
    <cfRule type="expression" dxfId="29" priority="64">
      <formula>AND(OR($H43="Lower the better", $H43="Lower the Better"), N44&lt;=N43)</formula>
    </cfRule>
    <cfRule type="expression" dxfId="28" priority="65">
      <formula>AND(OR($H43="Higher the better", $H43="Higher the Better"), N44&lt;N43)</formula>
    </cfRule>
    <cfRule type="expression" dxfId="27" priority="66" stopIfTrue="1">
      <formula>AND(OR($H43="Higher the better", $H43="Higher the Better"), N44&gt;=N43)</formula>
    </cfRule>
  </conditionalFormatting>
  <conditionalFormatting sqref="Q25">
    <cfRule type="containsBlanks" dxfId="26" priority="26">
      <formula>LEN(TRIM(Q25))=0</formula>
    </cfRule>
    <cfRule type="expression" dxfId="25" priority="27">
      <formula>AND(OR($H24="Lower the better", $H24="Lower the Better"), Q25&gt;Q24)</formula>
    </cfRule>
    <cfRule type="expression" dxfId="24" priority="28">
      <formula>AND(OR($H24="Lower the better", $H24="Lower the Better"), Q25&lt;=Q24)</formula>
    </cfRule>
    <cfRule type="expression" dxfId="23" priority="29">
      <formula>AND(OR($H24="Higher the better", $H24="Higher the Better"), Q25&lt;Q24)</formula>
    </cfRule>
    <cfRule type="expression" dxfId="22" priority="30" stopIfTrue="1">
      <formula>AND(OR($H24="Higher the better", $H24="Higher the Better"), Q25&gt;=Q24)</formula>
    </cfRule>
  </conditionalFormatting>
  <conditionalFormatting sqref="Q37">
    <cfRule type="expression" dxfId="21" priority="6">
      <formula>AND(OR($H36="Lower the better", $H36="Lower the better"), Q37&gt; Q36)</formula>
    </cfRule>
    <cfRule type="containsBlanks" dxfId="20" priority="7">
      <formula>LEN(TRIM(Q37))=0</formula>
    </cfRule>
    <cfRule type="expression" dxfId="19" priority="8">
      <formula>AND(OR($H36="Lower the better", $H36= "Lower the Better"), Q37 &lt;= Q36)</formula>
    </cfRule>
    <cfRule type="expression" dxfId="18" priority="9">
      <formula>AND(OR($H36="Higher the better", $H36="Higher the Better"), Q37 &lt; Q36)</formula>
    </cfRule>
    <cfRule type="expression" dxfId="17" priority="10">
      <formula xml:space="preserve"> AND(OR($H36="Higher the better", $H36="Higher the Better"), Q37&gt;= Q36)</formula>
    </cfRule>
  </conditionalFormatting>
  <conditionalFormatting sqref="Q44">
    <cfRule type="containsBlanks" dxfId="16" priority="11">
      <formula>LEN(TRIM(Q44))=0</formula>
    </cfRule>
    <cfRule type="expression" dxfId="15" priority="12">
      <formula>AND(OR($H43="Lower the better", $H43="Lower the Better"), Q44&gt;Q43)</formula>
    </cfRule>
    <cfRule type="expression" dxfId="14" priority="13">
      <formula>AND(OR($H43="Lower the better", $H43="Lower the Better"), Q44&lt;=Q43)</formula>
    </cfRule>
    <cfRule type="expression" dxfId="13" priority="14">
      <formula>AND(OR($H43="Higher the better", $H43="Higher the Better"), Q44&lt;Q43)</formula>
    </cfRule>
    <cfRule type="expression" dxfId="12" priority="15" stopIfTrue="1">
      <formula>AND(OR($H43="Higher the better", $H43="Higher the Better"), Q44&gt;=Q43)</formula>
    </cfRule>
  </conditionalFormatting>
  <conditionalFormatting sqref="T44">
    <cfRule type="containsBlanks" dxfId="11" priority="52">
      <formula>LEN(TRIM(T44))=0</formula>
    </cfRule>
    <cfRule type="expression" dxfId="10" priority="53">
      <formula>AND(OR($H43="Lower the better", $H43="Lower the Better"), T44&gt;T43)</formula>
    </cfRule>
    <cfRule type="expression" dxfId="9" priority="54">
      <formula>AND(OR($H43="Lower the better", $H43="Lower the Better"), T44&lt;=T43)</formula>
    </cfRule>
    <cfRule type="expression" dxfId="8" priority="55">
      <formula>AND(OR($H43="Higher the better", $H43="Higher the Better"), T44&lt;T43)</formula>
    </cfRule>
    <cfRule type="expression" dxfId="7" priority="56" stopIfTrue="1">
      <formula>AND(OR($H43="Higher the better", $H43="Higher the Better"), T44&gt;=T43)</formula>
    </cfRule>
  </conditionalFormatting>
  <conditionalFormatting sqref="W44">
    <cfRule type="containsBlanks" dxfId="6" priority="47">
      <formula>LEN(TRIM(W44))=0</formula>
    </cfRule>
    <cfRule type="expression" dxfId="5" priority="48">
      <formula>AND(OR($H43="Lower the better", $H43="Lower the Better"), W44&gt;W43)</formula>
    </cfRule>
    <cfRule type="expression" dxfId="4" priority="49">
      <formula>AND(OR($H43="Lower the better", $H43="Lower the Better"), W44&lt;=W43)</formula>
    </cfRule>
    <cfRule type="expression" dxfId="3" priority="50">
      <formula>AND(OR($H43="Higher the better", $H43="Higher the Better"), W44&lt;W43)</formula>
    </cfRule>
    <cfRule type="expression" dxfId="2" priority="51" stopIfTrue="1">
      <formula>AND(OR($H43="Higher the better", $H43="Higher the Better"), W44&gt;=W43)</formula>
    </cfRule>
  </conditionalFormatting>
  <conditionalFormatting sqref="AA47">
    <cfRule type="containsBlanks" dxfId="1" priority="133">
      <formula>LEN(TRIM(AA47))=0</formula>
    </cfRule>
  </conditionalFormatting>
  <conditionalFormatting sqref="AA51">
    <cfRule type="containsBlanks" dxfId="0" priority="132">
      <formula>LEN(TRIM(AA51))=0</formula>
    </cfRule>
  </conditionalFormatting>
  <dataValidations count="3">
    <dataValidation type="list" allowBlank="1" showInputMessage="1" showErrorMessage="1" sqref="J41:J52 J6:J37" xr:uid="{61C2D6F6-6FCD-4E8F-B96B-259C330F7837}">
      <formula1>"Monthly, Quarterly, Half yearly"</formula1>
    </dataValidation>
    <dataValidation type="list" allowBlank="1" showInputMessage="1" showErrorMessage="1" sqref="H6 H8 H41:H52 H10:H37" xr:uid="{EAB4B79C-ED3A-40A6-95C7-E40833921DC4}">
      <formula1>"Higher the better, Lower the better"</formula1>
    </dataValidation>
    <dataValidation type="list" allowBlank="1" showInputMessage="1" showErrorMessage="1" sqref="C1:C2" xr:uid="{6EC04238-4B17-479F-BA61-B144EB808577}">
      <formula1>"Jan-2026, Feb-2026, Mar-2026, Apr-2026, May-2026, Jun-2026, Jul-2026, Aug-2026, Sep-2026, Oct-2026, Nov-2026, Dec-2026"</formula1>
    </dataValidation>
  </dataValidations>
  <hyperlinks>
    <hyperlink ref="AA6" r:id="rId1" display="https://share.philips.com/sites/STS020210604094742/Pages/KPIDetails.aspx?aWQ9NQ==" xr:uid="{0CF0E84E-BDE4-4A34-AB44-E23EBA50388E}"/>
    <hyperlink ref="AA8" r:id="rId2" display="https://share.philips.com/sites/STS020210604094742/Pages/KPIDetails.aspx?aWQ9MTQ=" xr:uid="{70AB241B-00C2-480F-AC30-33011941AB45}"/>
    <hyperlink ref="AA10" r:id="rId3" display="https://share.philips.com/sites/STS020210604094742/Pages/KPIDetails.aspx?aWQ9MjczNA==" xr:uid="{A7E600AF-9693-4117-809C-CB8220D12A0F}"/>
    <hyperlink ref="AA34" r:id="rId4" display="https://share.philips.com/sites/STS020210604094742/Pages/KPIDetails.aspx?aWQ9Mjc=" xr:uid="{8D717A15-3277-4499-B98A-CDFE8CDD1986}"/>
    <hyperlink ref="AA36" r:id="rId5" display="https://share.philips.com/sites/STS020210604094742/Pages/KPIDetails.aspx?aWQ9MzAyMg==" xr:uid="{8F0DDDB4-1563-4666-B3DB-3176406877DB}"/>
    <hyperlink ref="AA12" r:id="rId6" display="https://share.philips.com/sites/STS020210604094742/Pages/KPIDetails.aspx?aWQ9OA==" xr:uid="{9B73E47B-5E7B-423F-B54C-FEC3AD7F3D8A}"/>
    <hyperlink ref="AA28" r:id="rId7" display="https://share.philips.com/sites/STS020210604094742/Pages/KPIDetails.aspx?aWQ9NDU=" xr:uid="{529D09C1-81AA-46EF-B82E-5CC6CF2CB39E}"/>
    <hyperlink ref="AA26" r:id="rId8" display="https://share.philips.com/sites/STS020210604094742/Pages/KPIDetails.aspx?aWQ9MzEyMw==" xr:uid="{5848ACC0-7AF0-49DA-875D-5B08F8ABF332}"/>
    <hyperlink ref="AA16" r:id="rId9" display="https://share.philips.com/sites/STS020210604094742/Pages/KPIDetails.aspx?aWQ9NTI=" xr:uid="{92E98794-F2EA-4088-A179-C0871166E003}"/>
    <hyperlink ref="AA20" r:id="rId10" display="https://share.philips.com/sites/STS020210604094742/Pages/KPIDetails.aspx?aWQ9NTQ=" xr:uid="{93AF2F0D-2FA7-4275-94B4-5543B3519FE4}"/>
    <hyperlink ref="AA49" r:id="rId11" display="https://share.philips.com/sites/STS020210604094742/Pages/KPIDetails.aspx?aWQ9MjkxMA==" xr:uid="{8B4FA3CA-B536-493D-8A89-B8562ADB70ED}"/>
    <hyperlink ref="AA24" r:id="rId12" display="https://share.philips.com/sites/STS020210604094742/Pages/KPIDetails.aspx?aWQ9MTk=" xr:uid="{B043F5FF-9ED7-46C9-8486-EB3CDB54392B}"/>
    <hyperlink ref="AA45" r:id="rId13" display="https://share.philips.com/sites/STS020210604094742/Pages/KPIDetails.aspx?aWQ9Mzg=" xr:uid="{CF971160-2162-48CE-89D8-0A115B3B5D75}"/>
    <hyperlink ref="AA41" r:id="rId14" display="https://share.philips.com/sites/STS020210604094742/Pages/KPIDetails.aspx?aWQ9MTA=" xr:uid="{11A94BE3-666D-4368-A393-4F8EBC864DDA}"/>
    <hyperlink ref="AA32" r:id="rId15" display="https://share.philips.com/sites/STS020210604094742/Pages/KPIDetails.aspx?aWQ9NTA=" xr:uid="{5B0218CA-BFDD-46F3-BC85-729CFFF534F8}"/>
  </hyperlinks>
  <pageMargins left="0.7" right="0.7" top="0.75" bottom="0.75" header="0.3" footer="0.3"/>
  <pageSetup orientation="portrait" r:id="rId16"/>
  <customProperties>
    <customPr name="_pios_id" r:id="rId17"/>
  </customProperties>
  <drawing r:id="rId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562963771C61468D5985509A74B113" ma:contentTypeVersion="5" ma:contentTypeDescription="Create a new document." ma:contentTypeScope="" ma:versionID="8b7c9263bd04fb6e5f560e46093df446">
  <xsd:schema xmlns:xsd="http://www.w3.org/2001/XMLSchema" xmlns:xs="http://www.w3.org/2001/XMLSchema" xmlns:p="http://schemas.microsoft.com/office/2006/metadata/properties" xmlns:ns2="11ebe5d0-3002-4d7d-ad07-cedfcddd21c5" targetNamespace="http://schemas.microsoft.com/office/2006/metadata/properties" ma:root="true" ma:fieldsID="dc9d53a9c0f348cc35d5ded16450d42c" ns2:_="">
    <xsd:import namespace="11ebe5d0-3002-4d7d-ad07-cedfcddd21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be5d0-3002-4d7d-ad07-cedfcddd2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856A1C-26B9-44C6-B5C4-875582D9F1BC}"/>
</file>

<file path=customXml/itemProps2.xml><?xml version="1.0" encoding="utf-8"?>
<ds:datastoreItem xmlns:ds="http://schemas.openxmlformats.org/officeDocument/2006/customXml" ds:itemID="{B59988E5-FE96-444B-A770-A47DB401478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4496F7DA-3E04-4F13-B9D0-FE26D9FB8AB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094BB51-7951-4F88-97F3-C0EC6D9471D8}">
  <ds:schemaRefs>
    <ds:schemaRef ds:uri="68108f69-118e-4385-83b3-00743b1bf54c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f5a961e1-edc1-4f62-8655-e8a46ef79e5c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1a407a2d-7675-4d17-8692-b3ac285306e4}" enabled="0" method="" siteId="{1a407a2d-7675-4d17-8692-b3ac285306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Mastersheet</vt:lpstr>
      <vt:lpstr>AOP Critical</vt:lpstr>
    </vt:vector>
  </TitlesOfParts>
  <Manager/>
  <Company>Philips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Bhardwaj, Kavya</dc:creator>
  <cp:keywords/>
  <dc:description/>
  <cp:lastModifiedBy>Chowdhary, Abhishek</cp:lastModifiedBy>
  <cp:revision/>
  <dcterms:created xsi:type="dcterms:W3CDTF">2026-01-28T08:54:22Z</dcterms:created>
  <dcterms:modified xsi:type="dcterms:W3CDTF">2026-10-19T05:10:05Z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0x010100E2562963771C61468D5985509A74B113</vt:lpwstr>
  </property>
  <property fmtid="{D5CDD505-2E9C-101B-9397-08002B2CF9AE}" pid="3" name="MediaServiceImageTags">
    <vt:lpwstr/>
  </property>
  <property fmtid="{D5CDD505-2E9C-101B-9397-08002B2CF9AE}" pid="4" name="CustomUiType">
    <vt:lpwstr>2</vt:lpwstr>
  </property>
</Properties>
</file>