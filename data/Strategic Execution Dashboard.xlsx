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02" documentId="8_{9B9C04DA-ABE2-4E9B-9FCF-AA5C7C703189}" xr6:coauthVersionLast="47" xr6:coauthVersionMax="47" xr10:uidLastSave="{3BCABF23-FFE1-4786-A3DA-C013F3078329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<sst xmlns="http://schemas.openxmlformats.org/spreadsheetml/2006/main" count="494" uniqueCount="143">
  <si>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</si>
  <si>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</si>
  <si>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</si>
  <si>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</si>
  <si>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</si>
  <si>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</si>
  <si>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</si>
  <si>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</si>
  <si>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</si>
  <si>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</si>
  <si>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</si>
  <si>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</si>
  <si>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</si>
  <si>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</si>
  <si>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</si>
  <si>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</si>
  <si>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</si>
  <si>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</si>
  <si>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</si>
  <si>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</si>
  <si>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</si>
  <si>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</si>
  <si>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</si>
  <si>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</si>
  <si>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</si>
  <si>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</si>
  <si>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</si>
  <si>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</si>
  <si>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</si>
  <si>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</si>
  <si>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</si>
  <si>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</si>
  <si>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</si>
  <si>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</si>
  <si>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</si>
  <si>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</si>
  <si>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</si>
  <si>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</si>
  <si>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</si>
  <si>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</si>
  <si>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</si>
  <si>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</si>
  <si>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</si>
  <si>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</si>
  <si>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</si>
  <si>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</si>
  <si>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</si>
  <si>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</si>
  <si>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</si>
  <si>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</si>
  <si>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</si>
  <si>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</si>
  <si>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</si>
  <si>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</si>
  <si>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</si>
  <si>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</si>
  <si>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</si>
  <si>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</si>
  <si>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</si>
  <si>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</si>
  <si>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</si>
  <si>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</si>
  <si>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</si>
  <si>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</si>
  <si>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</si>
  <si>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</si>
  <si>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</si>
  <si>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</si>
  <si>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</si>
  <si>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</si>
  <si>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</si>
  <si>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 xml:space="preserve">-0.8% delta Vs AOP. Excluding GRC 0.7% YoY improvement.  LATAM renewals improved ITM Sep. </t>
  </si>
  <si>
    <t>1) Funnel focus actions driven across regions for renewals.
2) Contract Funnel tracked 90 days before expiry for timely renewals.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</si>
  <si>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</si>
  <si>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</si>
  <si>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</si>
  <si>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</si>
  <si>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</si>
  <si>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</si>
  <si>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</si>
  <si>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</si>
  <si>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YTD Sept Productivity no's on track.Good Realization from E&amp;E savings of Pune and also a gap reduction of R&amp;D Budget YTD.</t>
  </si>
  <si>
    <t>Inventory MAT sales</t>
  </si>
  <si>
    <t>Inventory as a % MAT sales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</si>
  <si>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</si>
  <si>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</si>
  <si>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</si>
  <si>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</si>
  <si>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</si>
  <si>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</si>
  <si>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</si>
  <si>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</si>
  <si>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</si>
  <si>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</si>
  <si>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</si>
  <si>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</si>
  <si>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</si>
  <si>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</si>
  <si>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</si>
  <si>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</si>
  <si>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</si>
  <si>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Sep lower by 0.2M, which is mainly coming by NAR -4.4M, EU -3.7M however Growth supported by over-drive +7.9M</t>
  </si>
  <si>
    <t>OIT (Equipment  + Service)</t>
  </si>
  <si>
    <t>OIT Growth % (CS)</t>
  </si>
  <si>
    <t>Comparable Sales</t>
  </si>
  <si>
    <t>Monthly Sales recognized (EQ)</t>
  </si>
  <si>
    <t xml:space="preserve">Current OOH does not support FY revnue plan. 
OOH is 117 M agaist AOP of 141M .B&amp;B  24 M B&amp;B required to meet FY AOP.
</t>
  </si>
  <si>
    <t>Drive B&amp;B OIT 
NAR : 5 M , EU: 8.5M , Growth : 7.6</t>
  </si>
  <si>
    <t>CSG % KPI</t>
  </si>
  <si>
    <t>Growth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</si>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</sst>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43" fontId="9" fillId="0" borderId="1" xfId="4" applyFont="1" applyBorder="1" applyAlignment="1">
      <alignment horizontal="center" vertical="center"/>
    </xf>
    <xf numFmtId="43" fontId="9" fillId="0" borderId="2" xfId="4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8" xfId="0" quotePrefix="1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7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9">
        <f>IF('AOP Critical'!L6="","",'AOP Critical'!L6)</f>
        <v>0.08</v>
      </c>
      <c r="L5" s="69">
        <f>IF('AOP Critical'!M6="","",'AOP Critical'!M6)</f>
        <v>0.08</v>
      </c>
      <c r="M5" s="69">
        <f>IF('AOP Critical'!N6="","",'AOP Critical'!N6)</f>
        <v>0.08</v>
      </c>
      <c r="N5" s="69">
        <f>IF('AOP Critical'!O6="","",'AOP Critical'!O6)</f>
        <v>7.0000000000000007E-2</v>
      </c>
      <c r="O5" s="69">
        <f>IF('AOP Critical'!P6="","",'AOP Critical'!P6)</f>
        <v>7.0000000000000007E-2</v>
      </c>
      <c r="P5" s="69">
        <f>IF('AOP Critical'!Q6="","",'AOP Critical'!Q6)</f>
        <v>7.0000000000000007E-2</v>
      </c>
      <c r="Q5" s="69">
        <f>IF('AOP Critical'!R6="","",'AOP Critical'!R6)</f>
        <v>0.06</v>
      </c>
      <c r="R5" s="69">
        <f>IF('AOP Critical'!S6="","",'AOP Critical'!S6)</f>
        <v>0.06</v>
      </c>
      <c r="S5" s="69">
        <f>IF('AOP Critical'!T6="","",'AOP Critical'!T6)</f>
        <v>0.06</v>
      </c>
      <c r="T5" s="69">
        <f>IF('AOP Critical'!U6="","",'AOP Critical'!U6)</f>
        <v>0.05</v>
      </c>
      <c r="U5" s="69">
        <f>IF('AOP Critical'!V6="","",'AOP Critical'!V6)</f>
        <v>0.05</v>
      </c>
      <c r="V5" s="69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8">
        <f>IF('AOP Critical'!L7="","",'AOP Critical'!L7)</f>
        <v>3.7999999999999999E-2</v>
      </c>
      <c r="L6" s="68">
        <f>IF('AOP Critical'!M7="","",'AOP Critical'!M7)</f>
        <v>3.7999999999999999E-2</v>
      </c>
      <c r="M6" s="68">
        <f>IF('AOP Critical'!N7="","",'AOP Critical'!N7)</f>
        <v>2.8000000000000001E-2</v>
      </c>
      <c r="N6" s="68">
        <f>IF('AOP Critical'!O7="","",'AOP Critical'!O7)</f>
        <v>2.5999999999999999E-2</v>
      </c>
      <c r="O6" s="68">
        <f>IF('AOP Critical'!P7="","",'AOP Critical'!P7)</f>
        <v>2.5999999999999999E-2</v>
      </c>
      <c r="P6" s="68">
        <f>IF('AOP Critical'!Q7="","",'AOP Critical'!Q7)</f>
        <v>0.03</v>
      </c>
      <c r="Q6" s="68">
        <f>IF('AOP Critical'!R7="","",'AOP Critical'!R7)</f>
        <v>3.1E-2</v>
      </c>
      <c r="R6" s="68">
        <f>IF('AOP Critical'!S7="","",'AOP Critical'!S7)</f>
        <v>3.5000000000000003E-2</v>
      </c>
      <c r="S6" s="68">
        <f>IF('AOP Critical'!T7="","",'AOP Critical'!T7)</f>
        <v>3.5000000000000003E-2</v>
      </c>
      <c r="T6" s="68" t="str">
        <f>IF('AOP Critical'!U7="","",'AOP Critical'!U7)</f>
        <v/>
      </c>
      <c r="U6" s="68" t="str">
        <f>IF('AOP Critical'!V7="","",'AOP Critical'!V7)</f>
        <v/>
      </c>
      <c r="V6" s="68" t="str">
        <f>IF('AOP Critical'!W7="","",'AOP Critical'!W7)</f>
        <v/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0">
        <f>IF('AOP Critical'!L8="","",'AOP Critical'!L8)</f>
        <v>0.9</v>
      </c>
      <c r="L7" s="70">
        <f>IF('AOP Critical'!M8="","",'AOP Critical'!M8)</f>
        <v>0.9</v>
      </c>
      <c r="M7" s="70">
        <f>IF('AOP Critical'!N8="","",'AOP Critical'!N8)</f>
        <v>0.9</v>
      </c>
      <c r="N7" s="70">
        <f>IF('AOP Critical'!O8="","",'AOP Critical'!O8)</f>
        <v>0.9</v>
      </c>
      <c r="O7" s="70">
        <f>IF('AOP Critical'!P8="","",'AOP Critical'!P8)</f>
        <v>0.9</v>
      </c>
      <c r="P7" s="70">
        <f>IF('AOP Critical'!Q8="","",'AOP Critical'!Q8)</f>
        <v>0.9</v>
      </c>
      <c r="Q7" s="70">
        <f>IF('AOP Critical'!R8="","",'AOP Critical'!R8)</f>
        <v>0.9</v>
      </c>
      <c r="R7" s="70" t="str">
        <f>IF('AOP Critical'!S8="","",'AOP Critical'!S8)</f>
        <v/>
      </c>
      <c r="S7" s="70" t="str">
        <f>IF('AOP Critical'!T8="","",'AOP Critical'!T8)</f>
        <v/>
      </c>
      <c r="T7" s="70" t="str">
        <f>IF('AOP Critical'!U8="","",'AOP Critical'!U8)</f>
        <v/>
      </c>
      <c r="U7" s="70" t="str">
        <f>IF('AOP Critical'!V8="","",'AOP Critical'!V8)</f>
        <v/>
      </c>
      <c r="V7" s="70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1">
        <f>IF('AOP Critical'!L9="","",'AOP Critical'!L9)</f>
        <v>1</v>
      </c>
      <c r="L8" s="71">
        <f>IF('AOP Critical'!M9="","",'AOP Critical'!M9)</f>
        <v>0.75</v>
      </c>
      <c r="M8" s="71">
        <f>IF('AOP Critical'!N9="","",'AOP Critical'!N9)</f>
        <v>0.4</v>
      </c>
      <c r="N8" s="71">
        <f>IF('AOP Critical'!O9="","",'AOP Critical'!O9)</f>
        <v>0</v>
      </c>
      <c r="O8" s="71">
        <f>IF('AOP Critical'!P9="","",'AOP Critical'!P9)</f>
        <v>0</v>
      </c>
      <c r="P8" s="71">
        <f>IF('AOP Critical'!Q9="","",'AOP Critical'!Q9)</f>
        <v>0</v>
      </c>
      <c r="Q8" s="71">
        <f>IF('AOP Critical'!R9="","",'AOP Critical'!R9)</f>
        <v>1</v>
      </c>
      <c r="R8" s="71">
        <f>IF('AOP Critical'!S9="","",'AOP Critical'!S9)</f>
        <v>1</v>
      </c>
      <c r="S8" s="71">
        <f>IF('AOP Critical'!T9="","",'AOP Critical'!T9)</f>
        <v>1</v>
      </c>
      <c r="T8" s="71" t="str">
        <f>IF('AOP Critical'!U9="","",'AOP Critical'!U9)</f>
        <v/>
      </c>
      <c r="U8" s="71" t="str">
        <f>IF('AOP Critical'!V9="","",'AOP Critical'!V9)</f>
        <v/>
      </c>
      <c r="V8" s="71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2">
        <f>IF('AOP Critical'!L41="","",'AOP Critical'!L41)</f>
        <v>1.9099999999999999E-2</v>
      </c>
      <c r="L11" s="72">
        <f>IF('AOP Critical'!M41="","",'AOP Critical'!M41)</f>
        <v>4.07E-2</v>
      </c>
      <c r="M11" s="72">
        <f>IF('AOP Critical'!N41="","",'AOP Critical'!N41)</f>
        <v>4.6199999999999998E-2</v>
      </c>
      <c r="N11" s="72">
        <f>IF('AOP Critical'!O41="","",'AOP Critical'!O41)</f>
        <v>3.8600000000000002E-2</v>
      </c>
      <c r="O11" s="72">
        <f>IF('AOP Critical'!P41="","",'AOP Critical'!P41)</f>
        <v>3.5299999999999998E-2</v>
      </c>
      <c r="P11" s="72">
        <f>IF('AOP Critical'!Q41="","",'AOP Critical'!Q41)</f>
        <v>2.7099999999999999E-2</v>
      </c>
      <c r="Q11" s="72">
        <f>IF('AOP Critical'!R41="","",'AOP Critical'!R41)</f>
        <v>2.5100000000000001E-2</v>
      </c>
      <c r="R11" s="72">
        <f>IF('AOP Critical'!S41="","",'AOP Critical'!S41)</f>
        <v>2.41E-2</v>
      </c>
      <c r="S11" s="72">
        <f>IF('AOP Critical'!T41="","",'AOP Critical'!T41)</f>
        <v>3.1600000000000003E-2</v>
      </c>
      <c r="T11" s="72">
        <f>IF('AOP Critical'!U41="","",'AOP Critical'!U41)</f>
        <v>3.1099999999999999E-2</v>
      </c>
      <c r="U11" s="72">
        <f>IF('AOP Critical'!V41="","",'AOP Critical'!V41)</f>
        <v>3.5700000000000003E-2</v>
      </c>
      <c r="V11" s="72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2">
        <f>IF('AOP Critical'!L42="","",'AOP Critical'!L42)</f>
        <v>9.1999999999999998E-3</v>
      </c>
      <c r="L12" s="72">
        <f>IF('AOP Critical'!M42="","",'AOP Critical'!M42)</f>
        <v>1.5800000000000002E-2</v>
      </c>
      <c r="M12" s="72">
        <f>IF('AOP Critical'!N42="","",'AOP Critical'!N42)</f>
        <v>1.7600000000000001E-2</v>
      </c>
      <c r="N12" s="72">
        <f>IF('AOP Critical'!O42="","",'AOP Critical'!O42)</f>
        <v>1.5800000000000002E-2</v>
      </c>
      <c r="O12" s="72">
        <f>IF('AOP Critical'!P42="","",'AOP Critical'!P42)</f>
        <v>8.6E-3</v>
      </c>
      <c r="P12" s="72">
        <f>IF('AOP Critical'!Q42="","",'AOP Critical'!Q42)</f>
        <v>1.2699999999999999E-2</v>
      </c>
      <c r="Q12" s="72">
        <f>IF('AOP Critical'!R42="","",'AOP Critical'!R42)</f>
        <v>1.3299999999999999E-2</v>
      </c>
      <c r="R12" s="72">
        <f>IF('AOP Critical'!S42="","",'AOP Critical'!S42)</f>
        <v>1.3899999999999999E-2</v>
      </c>
      <c r="S12" s="72">
        <f>IF('AOP Critical'!T42="","",'AOP Critical'!T42)</f>
        <v>1.7000000000000001E-2</v>
      </c>
      <c r="T12" s="72" t="str">
        <f>IF('AOP Critical'!U42="","",'AOP Critical'!U42)</f>
        <v/>
      </c>
      <c r="U12" s="72" t="str">
        <f>IF('AOP Critical'!V42="","",'AOP Critical'!V42)</f>
        <v/>
      </c>
      <c r="V12" s="72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0">
        <f>IF('AOP Critical'!L12="","",'AOP Critical'!L12)</f>
        <v>0.69</v>
      </c>
      <c r="L15" s="70">
        <f>IF('AOP Critical'!M12="","",'AOP Critical'!M12)</f>
        <v>0.69</v>
      </c>
      <c r="M15" s="70">
        <f>IF('AOP Critical'!N12="","",'AOP Critical'!N12)</f>
        <v>0.69</v>
      </c>
      <c r="N15" s="70">
        <f>IF('AOP Critical'!O12="","",'AOP Critical'!O12)</f>
        <v>0.72</v>
      </c>
      <c r="O15" s="70">
        <f>IF('AOP Critical'!P12="","",'AOP Critical'!P12)</f>
        <v>0.72</v>
      </c>
      <c r="P15" s="70">
        <f>IF('AOP Critical'!Q12="","",'AOP Critical'!Q12)</f>
        <v>0.72</v>
      </c>
      <c r="Q15" s="70">
        <f>IF('AOP Critical'!R12="","",'AOP Critical'!R12)</f>
        <v>0.74</v>
      </c>
      <c r="R15" s="70">
        <f>IF('AOP Critical'!S12="","",'AOP Critical'!S12)</f>
        <v>0.74</v>
      </c>
      <c r="S15" s="70">
        <f>IF('AOP Critical'!T12="","",'AOP Critical'!T12)</f>
        <v>0.74</v>
      </c>
      <c r="T15" s="70">
        <f>IF('AOP Critical'!U12="","",'AOP Critical'!U12)</f>
        <v>0.79</v>
      </c>
      <c r="U15" s="70">
        <f>IF('AOP Critical'!V12="","",'AOP Critical'!V12)</f>
        <v>0.79</v>
      </c>
      <c r="V15" s="70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0">
        <f>IF('AOP Critical'!L13="","",'AOP Critical'!L13)</f>
        <v>0.83</v>
      </c>
      <c r="L16" s="70">
        <f>IF('AOP Critical'!M13="","",'AOP Critical'!M13)</f>
        <v>0.82</v>
      </c>
      <c r="M16" s="70">
        <f>IF('AOP Critical'!N13="","",'AOP Critical'!N13)</f>
        <v>0.81</v>
      </c>
      <c r="N16" s="70">
        <f>IF('AOP Critical'!O13="","",'AOP Critical'!O13)</f>
        <v>0.6</v>
      </c>
      <c r="O16" s="70">
        <f>IF('AOP Critical'!P13="","",'AOP Critical'!P13)</f>
        <v>0.87</v>
      </c>
      <c r="P16" s="70">
        <f>IF('AOP Critical'!Q13="","",'AOP Critical'!Q13)</f>
        <v>0.77</v>
      </c>
      <c r="Q16" s="70">
        <f>IF('AOP Critical'!R13="","",'AOP Critical'!R13)</f>
        <v>0.75</v>
      </c>
      <c r="R16" s="70">
        <f>IF('AOP Critical'!S13="","",'AOP Critical'!S13)</f>
        <v>0.81</v>
      </c>
      <c r="S16" s="70">
        <f>IF('AOP Critical'!T13="","",'AOP Critical'!T13)</f>
        <v>0.89</v>
      </c>
      <c r="T16" s="70" t="str">
        <f>IF('AOP Critical'!U13="","",'AOP Critical'!U13)</f>
        <v/>
      </c>
      <c r="U16" s="70" t="str">
        <f>IF('AOP Critical'!V13="","",'AOP Critical'!V13)</f>
        <v/>
      </c>
      <c r="V16" s="70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1">
        <f>IF('AOP Critical'!L14="","",'AOP Critical'!L14)</f>
        <v>0.54249999999999998</v>
      </c>
      <c r="L17" s="71">
        <f>IF('AOP Critical'!M14="","",'AOP Critical'!M14)</f>
        <v>0.54399999999999993</v>
      </c>
      <c r="M17" s="71">
        <f>IF('AOP Critical'!N14="","",'AOP Critical'!N14)</f>
        <v>0.54549999999999987</v>
      </c>
      <c r="N17" s="71">
        <f>IF('AOP Critical'!O14="","",'AOP Critical'!O14)</f>
        <v>0.54699999999999982</v>
      </c>
      <c r="O17" s="71">
        <f>IF('AOP Critical'!P14="","",'AOP Critical'!P14)</f>
        <v>0.54849999999999977</v>
      </c>
      <c r="P17" s="71">
        <f>IF('AOP Critical'!Q14="","",'AOP Critical'!Q14)</f>
        <v>0.54999999999999971</v>
      </c>
      <c r="Q17" s="71">
        <f>IF('AOP Critical'!R14="","",'AOP Critical'!R14)</f>
        <v>0.55149999999999966</v>
      </c>
      <c r="R17" s="71">
        <f>IF('AOP Critical'!S14="","",'AOP Critical'!S14)</f>
        <v>0.54510000000000003</v>
      </c>
      <c r="S17" s="71">
        <f>IF('AOP Critical'!T14="","",'AOP Critical'!T14)</f>
        <v>0.54610000000000003</v>
      </c>
      <c r="T17" s="71" t="str">
        <f>IF('AOP Critical'!U14="","",'AOP Critical'!U14)</f>
        <v/>
      </c>
      <c r="U17" s="71" t="str">
        <f>IF('AOP Critical'!V14="","",'AOP Critical'!V14)</f>
        <v/>
      </c>
      <c r="V17" s="71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1">
        <f>IF('AOP Critical'!L15="","",'AOP Critical'!L15)</f>
        <v>0.51780000000000004</v>
      </c>
      <c r="L18" s="71">
        <f>IF('AOP Critical'!M15="","",'AOP Critical'!M15)</f>
        <v>0.54100000000000004</v>
      </c>
      <c r="M18" s="71">
        <f>IF('AOP Critical'!N15="","",'AOP Critical'!N15)</f>
        <v>0.54100000000000004</v>
      </c>
      <c r="N18" s="71">
        <f>IF('AOP Critical'!O15="","",'AOP Critical'!O15)</f>
        <v>0.53969999999999996</v>
      </c>
      <c r="O18" s="71">
        <f>IF('AOP Critical'!P15="","",'AOP Critical'!P15)</f>
        <v>0.54100000000000004</v>
      </c>
      <c r="P18" s="71">
        <f>IF('AOP Critical'!Q15="","",'AOP Critical'!Q15)</f>
        <v>0.53800000000000003</v>
      </c>
      <c r="Q18" s="71">
        <f>IF('AOP Critical'!R15="","",'AOP Critical'!R15)</f>
        <v>0.53600000000000003</v>
      </c>
      <c r="R18" s="71">
        <f>IF('AOP Critical'!S15="","",'AOP Critical'!S15)</f>
        <v>0.5363</v>
      </c>
      <c r="S18" s="71">
        <f>IF('AOP Critical'!T15="","",'AOP Critical'!T15)</f>
        <v>0.53749999999999998</v>
      </c>
      <c r="T18" s="71" t="str">
        <f>IF('AOP Critical'!U15="","",'AOP Critical'!U15)</f>
        <v/>
      </c>
      <c r="U18" s="71" t="str">
        <f>IF('AOP Critical'!V15="","",'AOP Critical'!V15)</f>
        <v/>
      </c>
      <c r="V18" s="71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2">
        <f>IF('AOP Critical'!L49="","",'AOP Critical'!L49)</f>
        <v>0.73199999999999998</v>
      </c>
      <c r="L19" s="72">
        <f>IF('AOP Critical'!M49="","",'AOP Critical'!M49)</f>
        <v>0.72749999999999992</v>
      </c>
      <c r="M19" s="72">
        <f>IF('AOP Critical'!N49="","",'AOP Critical'!N49)</f>
        <v>0.7287499999999999</v>
      </c>
      <c r="N19" s="72">
        <f>IF('AOP Critical'!O49="","",'AOP Critical'!O49)</f>
        <v>0.72999999999999987</v>
      </c>
      <c r="O19" s="72">
        <f>IF('AOP Critical'!P49="","",'AOP Critical'!P49)</f>
        <v>0.73124999999999984</v>
      </c>
      <c r="P19" s="72">
        <f>IF('AOP Critical'!Q49="","",'AOP Critical'!Q49)</f>
        <v>0.73249999999999982</v>
      </c>
      <c r="Q19" s="72">
        <f>IF('AOP Critical'!R49="","",'AOP Critical'!R49)</f>
        <v>0.73374999999999979</v>
      </c>
      <c r="R19" s="72">
        <f>IF('AOP Critical'!S49="","",'AOP Critical'!S49)</f>
        <v>0.73499999999999976</v>
      </c>
      <c r="S19" s="72">
        <f>IF('AOP Critical'!T49="","",'AOP Critical'!T49)</f>
        <v>0.73624999999999974</v>
      </c>
      <c r="T19" s="72">
        <f>IF('AOP Critical'!U49="","",'AOP Critical'!U49)</f>
        <v>0.73749999999999971</v>
      </c>
      <c r="U19" s="72">
        <f>IF('AOP Critical'!V49="","",'AOP Critical'!V49)</f>
        <v>0.73874999999999968</v>
      </c>
      <c r="V19" s="72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2">
        <f>IF('AOP Critical'!L50="","",'AOP Critical'!L50)</f>
        <v>0.69299999999999995</v>
      </c>
      <c r="L20" s="72">
        <f>IF('AOP Critical'!M50="","",'AOP Critical'!M50)</f>
        <v>0.71099999999999997</v>
      </c>
      <c r="M20" s="72">
        <f>IF('AOP Critical'!N50="","",'AOP Critical'!N50)</f>
        <v>0.72499999999999998</v>
      </c>
      <c r="N20" s="72">
        <f>IF('AOP Critical'!O50="","",'AOP Critical'!O50)</f>
        <v>0.72299999999999998</v>
      </c>
      <c r="O20" s="72">
        <f>IF('AOP Critical'!P50="","",'AOP Critical'!P50)</f>
        <v>0.73599999999999999</v>
      </c>
      <c r="P20" s="72">
        <f>IF('AOP Critical'!Q50="","",'AOP Critical'!Q50)</f>
        <v>0.74150000000000005</v>
      </c>
      <c r="Q20" s="72">
        <f>IF('AOP Critical'!R50="","",'AOP Critical'!R50)</f>
        <v>0.74099999999999999</v>
      </c>
      <c r="R20" s="72">
        <f>IF('AOP Critical'!S50="","",'AOP Critical'!S50)</f>
        <v>0.74450000000000005</v>
      </c>
      <c r="S20" s="72">
        <f>IF('AOP Critical'!T50="","",'AOP Critical'!T50)</f>
        <v>0.74770000000000003</v>
      </c>
      <c r="T20" s="72" t="str">
        <f>IF('AOP Critical'!U50="","",'AOP Critical'!U50)</f>
        <v/>
      </c>
      <c r="U20" s="72" t="str">
        <f>IF('AOP Critical'!V50="","",'AOP Critical'!V50)</f>
        <v/>
      </c>
      <c r="V20" s="72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1">
        <f>IF('AOP Critical'!L16="","",'AOP Critical'!L16)</f>
        <v>0.11774014693384624</v>
      </c>
      <c r="L23" s="71">
        <f>IF('AOP Critical'!M16="","",'AOP Critical'!M16)</f>
        <v>7.6823633140503819E-2</v>
      </c>
      <c r="M23" s="71">
        <f>IF('AOP Critical'!N16="","",'AOP Critical'!N16)</f>
        <v>7.3999999999999996E-2</v>
      </c>
      <c r="N23" s="71">
        <f>IF('AOP Critical'!O16="","",'AOP Critical'!O16)</f>
        <v>9.9962463776604421E-2</v>
      </c>
      <c r="O23" s="71">
        <f>IF('AOP Critical'!P16="","",'AOP Critical'!P16)</f>
        <v>0.1038498729590533</v>
      </c>
      <c r="P23" s="71">
        <f>IF('AOP Critical'!Q16="","",'AOP Critical'!Q16)</f>
        <v>0.11814554963094943</v>
      </c>
      <c r="Q23" s="71">
        <f>IF('AOP Critical'!R16="","",'AOP Critical'!R16)</f>
        <v>0.13344842106998206</v>
      </c>
      <c r="R23" s="71">
        <f>IF('AOP Critical'!S16="","",'AOP Critical'!S16)</f>
        <v>0.13972119594175969</v>
      </c>
      <c r="S23" s="71">
        <f>IF('AOP Critical'!T16="","",'AOP Critical'!T16)</f>
        <v>0.13600000000000001</v>
      </c>
      <c r="T23" s="71" t="str">
        <f>IF('AOP Critical'!U16="","",'AOP Critical'!U16)</f>
        <v/>
      </c>
      <c r="U23" s="71" t="str">
        <f>IF('AOP Critical'!V16="","",'AOP Critical'!V16)</f>
        <v/>
      </c>
      <c r="V23" s="71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1">
        <f>IF('AOP Critical'!L17="","",'AOP Critical'!L17)</f>
        <v>-4.253311543933095E-2</v>
      </c>
      <c r="L24" s="71">
        <f>IF('AOP Critical'!M17="","",'AOP Critical'!M17)</f>
        <v>7.8013174622509063E-2</v>
      </c>
      <c r="M24" s="71">
        <f>IF('AOP Critical'!N17="","",'AOP Critical'!N17)</f>
        <v>0.14699999999999999</v>
      </c>
      <c r="N24" s="71">
        <f>IF('AOP Critical'!O17="","",'AOP Critical'!O17)</f>
        <v>0.13678322320362704</v>
      </c>
      <c r="O24" s="71">
        <f>IF('AOP Critical'!P17="","",'AOP Critical'!P17)</f>
        <v>0.14558303908159406</v>
      </c>
      <c r="P24" s="71">
        <f>IF('AOP Critical'!Q17="","",'AOP Critical'!Q17)</f>
        <v>0.12590494186157489</v>
      </c>
      <c r="Q24" s="71">
        <f>IF('AOP Critical'!R17="","",'AOP Critical'!R17)</f>
        <v>0.10712720377087674</v>
      </c>
      <c r="R24" s="71">
        <f>IF('AOP Critical'!S17="","",'AOP Critical'!S17)</f>
        <v>0.12649723977955013</v>
      </c>
      <c r="S24" s="71">
        <f>IF('AOP Critical'!T17="","",'AOP Critical'!T17)</f>
        <v>0.14699999999999999</v>
      </c>
      <c r="T24" s="71" t="str">
        <f>IF('AOP Critical'!U17="","",'AOP Critical'!U17)</f>
        <v/>
      </c>
      <c r="U24" s="71" t="str">
        <f>IF('AOP Critical'!V17="","",'AOP Critical'!V17)</f>
        <v/>
      </c>
      <c r="V24" s="71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4">
        <f>IF('AOP Critical'!L18="","",'AOP Critical'!L18)</f>
        <v>0.224</v>
      </c>
      <c r="L25" s="74">
        <f>IF('AOP Critical'!M18="","",'AOP Critical'!M18)</f>
        <v>0.35800000000000004</v>
      </c>
      <c r="M25" s="74">
        <f>IF('AOP Critical'!N18="","",'AOP Critical'!N18)</f>
        <v>0.79700000000000004</v>
      </c>
      <c r="N25" s="74">
        <f>IF('AOP Critical'!O18="","",'AOP Critical'!O18)</f>
        <v>1.0409999999999999</v>
      </c>
      <c r="O25" s="74">
        <f>IF('AOP Critical'!P18="","",'AOP Critical'!P18)</f>
        <v>1.155</v>
      </c>
      <c r="P25" s="74">
        <f>IF('AOP Critical'!Q18="","",'AOP Critical'!Q18)</f>
        <v>1.6040000000000001</v>
      </c>
      <c r="Q25" s="74">
        <f>IF('AOP Critical'!R18="","",'AOP Critical'!R18)</f>
        <v>2.4180000000000001</v>
      </c>
      <c r="R25" s="74">
        <f>IF('AOP Critical'!S18="","",'AOP Critical'!S18)</f>
        <v>2.93</v>
      </c>
      <c r="S25" s="74">
        <f>IF('AOP Critical'!T18="","",'AOP Critical'!T18)</f>
        <v>3.7040000000000002</v>
      </c>
      <c r="T25" s="74" t="str">
        <f>IF('AOP Critical'!U18="","",'AOP Critical'!U18)</f>
        <v/>
      </c>
      <c r="U25" s="74" t="str">
        <f>IF('AOP Critical'!V18="","",'AOP Critical'!V18)</f>
        <v/>
      </c>
      <c r="V25" s="74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4">
        <f>IF('AOP Critical'!L19="","",'AOP Critical'!L19)</f>
        <v>0.2598381666666667</v>
      </c>
      <c r="L26" s="74">
        <f>IF('AOP Critical'!M19="","",'AOP Critical'!M19)</f>
        <v>0.3838381666666667</v>
      </c>
      <c r="M26" s="74">
        <f>IF('AOP Critical'!N19="","",'AOP Critical'!N19)</f>
        <v>1.1128381666666667</v>
      </c>
      <c r="N26" s="74">
        <f>IF('AOP Critical'!O19="","",'AOP Critical'!O19)</f>
        <v>1.3223861666666668</v>
      </c>
      <c r="O26" s="74">
        <f>IF('AOP Critical'!P19="","",'AOP Critical'!P19)</f>
        <v>1.6513861666666667</v>
      </c>
      <c r="P26" s="74">
        <f>IF('AOP Critical'!Q19="","",'AOP Critical'!Q19)</f>
        <v>2.1303861666666668</v>
      </c>
      <c r="Q26" s="74">
        <f>IF('AOP Critical'!R19="","",'AOP Critical'!R19)</f>
        <v>2.6433861666666667</v>
      </c>
      <c r="R26" s="74">
        <f>IF('AOP Critical'!S19="","",'AOP Critical'!S19)</f>
        <v>3.3972231666666666</v>
      </c>
      <c r="S26" s="74">
        <f>IF('AOP Critical'!T19="","",'AOP Critical'!T19)</f>
        <v>4.5205241666666662</v>
      </c>
      <c r="T26" s="74" t="str">
        <f>IF('AOP Critical'!U19="","",'AOP Critical'!U19)</f>
        <v/>
      </c>
      <c r="U26" s="74" t="str">
        <f>IF('AOP Critical'!V19="","",'AOP Critical'!V19)</f>
        <v/>
      </c>
      <c r="V26" s="74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0">
        <f>IF('AOP Critical'!L20="","",'AOP Critical'!L20)</f>
        <v>0.28399999999999997</v>
      </c>
      <c r="L27" s="70">
        <f>IF('AOP Critical'!M20="","",'AOP Critical'!M20)</f>
        <v>0.28260000000000002</v>
      </c>
      <c r="M27" s="70">
        <f>IF('AOP Critical'!N20="","",'AOP Critical'!N20)</f>
        <v>0.28999999999999998</v>
      </c>
      <c r="N27" s="70">
        <f>IF('AOP Critical'!O20="","",'AOP Critical'!O20)</f>
        <v>0.28999999999999998</v>
      </c>
      <c r="O27" s="70">
        <f>IF('AOP Critical'!P20="","",'AOP Critical'!P20)</f>
        <v>0.27</v>
      </c>
      <c r="P27" s="70">
        <f>IF('AOP Critical'!Q20="","",'AOP Critical'!Q20)</f>
        <v>0.26</v>
      </c>
      <c r="Q27" s="70">
        <f>IF('AOP Critical'!R20="","",'AOP Critical'!R20)</f>
        <v>0.24</v>
      </c>
      <c r="R27" s="70">
        <f>IF('AOP Critical'!S20="","",'AOP Critical'!S20)</f>
        <v>0.23</v>
      </c>
      <c r="S27" s="70">
        <f>IF('AOP Critical'!T20="","",'AOP Critical'!T20)</f>
        <v>0.25</v>
      </c>
      <c r="T27" s="70" t="str">
        <f>IF('AOP Critical'!U20="","",'AOP Critical'!U20)</f>
        <v/>
      </c>
      <c r="U27" s="70" t="str">
        <f>IF('AOP Critical'!V20="","",'AOP Critical'!V20)</f>
        <v/>
      </c>
      <c r="V27" s="70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0">
        <f>IF('AOP Critical'!L21="","",'AOP Critical'!L21)</f>
        <v>0.27400000000000002</v>
      </c>
      <c r="L28" s="70">
        <f>IF('AOP Critical'!M21="","",'AOP Critical'!M21)</f>
        <v>0.29899999999999999</v>
      </c>
      <c r="M28" s="70">
        <f>IF('AOP Critical'!N21="","",'AOP Critical'!N21)</f>
        <v>0.28999999999999998</v>
      </c>
      <c r="N28" s="70">
        <f>IF('AOP Critical'!O21="","",'AOP Critical'!O21)</f>
        <v>0.3</v>
      </c>
      <c r="O28" s="70">
        <f>IF('AOP Critical'!P21="","",'AOP Critical'!P21)</f>
        <v>0.31</v>
      </c>
      <c r="P28" s="70">
        <f>IF('AOP Critical'!Q21="","",'AOP Critical'!Q21)</f>
        <v>0.28999999999999998</v>
      </c>
      <c r="Q28" s="70">
        <f>IF('AOP Critical'!R21="","",'AOP Critical'!R21)</f>
        <v>0.3</v>
      </c>
      <c r="R28" s="70">
        <f>IF('AOP Critical'!S21="","",'AOP Critical'!S21)</f>
        <v>0.3</v>
      </c>
      <c r="S28" s="70">
        <f>IF('AOP Critical'!T21="","",'AOP Critical'!T21)</f>
        <v>0.27</v>
      </c>
      <c r="T28" s="70" t="str">
        <f>IF('AOP Critical'!U21="","",'AOP Critical'!U21)</f>
        <v/>
      </c>
      <c r="U28" s="70" t="str">
        <f>IF('AOP Critical'!V21="","",'AOP Critical'!V21)</f>
        <v/>
      </c>
      <c r="V28" s="70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1">
        <f>IF('AOP Critical'!L51="","",'AOP Critical'!L51)</f>
        <v>0.34700072985878605</v>
      </c>
      <c r="L29" s="71">
        <f>IF('AOP Critical'!M51="","",'AOP Critical'!M51)</f>
        <v>0.32854527661902383</v>
      </c>
      <c r="M29" s="71">
        <f>IF('AOP Critical'!N51="","",'AOP Critical'!N51)</f>
        <v>0.30191652751587683</v>
      </c>
      <c r="N29" s="71">
        <f>IF('AOP Critical'!O51="","",'AOP Critical'!O51)</f>
        <v>0.32233175889748933</v>
      </c>
      <c r="O29" s="71">
        <f>IF('AOP Critical'!P51="","",'AOP Critical'!P51)</f>
        <v>0.32732965712929335</v>
      </c>
      <c r="P29" s="71">
        <f>IF('AOP Critical'!Q51="","",'AOP Critical'!Q51)</f>
        <v>0.31564073493651035</v>
      </c>
      <c r="Q29" s="71">
        <f>IF('AOP Critical'!R51="","",'AOP Critical'!R51)</f>
        <v>0.33096935042775388</v>
      </c>
      <c r="R29" s="71">
        <f>IF('AOP Critical'!S51="","",'AOP Critical'!S51)</f>
        <v>0.33943248102419393</v>
      </c>
      <c r="S29" s="71">
        <f>IF('AOP Critical'!T51="","",'AOP Critical'!T51)</f>
        <v>0.33082830926903184</v>
      </c>
      <c r="T29" s="71" t="str">
        <f>IF('AOP Critical'!U51="","",'AOP Critical'!U51)</f>
        <v/>
      </c>
      <c r="U29" s="71" t="str">
        <f>IF('AOP Critical'!V51="","",'AOP Critical'!V51)</f>
        <v/>
      </c>
      <c r="V29" s="71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1">
        <f>IF('AOP Critical'!L52="","",'AOP Critical'!L52)</f>
        <v>0.36591770011686803</v>
      </c>
      <c r="L30" s="71">
        <f>IF('AOP Critical'!M52="","",'AOP Critical'!M52)</f>
        <v>0.43346514302305739</v>
      </c>
      <c r="M30" s="71">
        <f>IF('AOP Critical'!N52="","",'AOP Critical'!N52)</f>
        <v>0.41319844449711768</v>
      </c>
      <c r="N30" s="71">
        <f>IF('AOP Critical'!O52="","",'AOP Critical'!O52)</f>
        <v>0.41195005974326776</v>
      </c>
      <c r="O30" s="71">
        <f>IF('AOP Critical'!P52="","",'AOP Critical'!P52)</f>
        <v>0.40747704161607318</v>
      </c>
      <c r="P30" s="71">
        <f>IF('AOP Critical'!Q52="","",'AOP Critical'!Q52)</f>
        <v>0.36849551470072495</v>
      </c>
      <c r="Q30" s="71">
        <f>IF('AOP Critical'!R52="","",'AOP Critical'!R52)</f>
        <v>0.35573521911109235</v>
      </c>
      <c r="R30" s="71">
        <f>IF('AOP Critical'!S52="","",'AOP Critical'!S52)</f>
        <v>0.36691053201149237</v>
      </c>
      <c r="S30" s="71">
        <f>IF('AOP Critical'!T52="","",'AOP Critical'!T52)</f>
        <v>0.36899999999999999</v>
      </c>
      <c r="T30" s="71" t="str">
        <f>IF('AOP Critical'!U52="","",'AOP Critical'!U52)</f>
        <v/>
      </c>
      <c r="U30" s="71" t="str">
        <f>IF('AOP Critical'!V52="","",'AOP Critical'!V52)</f>
        <v/>
      </c>
      <c r="V30" s="71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0">
        <f>IF('AOP Critical'!L26="","",'AOP Critical'!L26)</f>
        <v>0.34</v>
      </c>
      <c r="L33" s="70">
        <f>IF('AOP Critical'!M26="","",'AOP Critical'!M26)</f>
        <v>0.34</v>
      </c>
      <c r="M33" s="70">
        <f>IF('AOP Critical'!N26="","",'AOP Critical'!N26)</f>
        <v>0.34</v>
      </c>
      <c r="N33" s="70">
        <f>IF('AOP Critical'!O26="","",'AOP Critical'!O26)</f>
        <v>0.34</v>
      </c>
      <c r="O33" s="70">
        <f>IF('AOP Critical'!P26="","",'AOP Critical'!P26)</f>
        <v>0.34</v>
      </c>
      <c r="P33" s="70">
        <f>IF('AOP Critical'!Q26="","",'AOP Critical'!Q26)</f>
        <v>0.34</v>
      </c>
      <c r="Q33" s="70">
        <f>IF('AOP Critical'!R26="","",'AOP Critical'!R26)</f>
        <v>0.34</v>
      </c>
      <c r="R33" s="70">
        <f>IF('AOP Critical'!S26="","",'AOP Critical'!S26)</f>
        <v>0.34</v>
      </c>
      <c r="S33" s="70">
        <f>IF('AOP Critical'!T26="","",'AOP Critical'!T26)</f>
        <v>0.34</v>
      </c>
      <c r="T33" s="70" t="str">
        <f>IF('AOP Critical'!U26="","",'AOP Critical'!U26)</f>
        <v/>
      </c>
      <c r="U33" s="70" t="str">
        <f>IF('AOP Critical'!V26="","",'AOP Critical'!V26)</f>
        <v/>
      </c>
      <c r="V33" s="70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0">
        <f>IF('AOP Critical'!L27="","",'AOP Critical'!L27)</f>
        <v>0.318</v>
      </c>
      <c r="L34" s="70">
        <f>IF('AOP Critical'!M27="","",'AOP Critical'!M27)</f>
        <v>0.35799999999999998</v>
      </c>
      <c r="M34" s="70">
        <f>IF('AOP Critical'!N27="","",'AOP Critical'!N27)</f>
        <v>0.41499999999999998</v>
      </c>
      <c r="N34" s="70">
        <f>IF('AOP Critical'!O27="","",'AOP Critical'!O27)</f>
        <v>0.40500000000000003</v>
      </c>
      <c r="O34" s="70">
        <f>IF('AOP Critical'!P27="","",'AOP Critical'!P27)</f>
        <v>0.371</v>
      </c>
      <c r="P34" s="70">
        <f>IF('AOP Critical'!Q27="","",'AOP Critical'!Q27)</f>
        <v>0.41899999999999998</v>
      </c>
      <c r="Q34" s="70">
        <f>IF('AOP Critical'!R27="","",'AOP Critical'!R27)</f>
        <v>0.39900000000000002</v>
      </c>
      <c r="R34" s="70">
        <f>IF('AOP Critical'!S27="","",'AOP Critical'!S27)</f>
        <v>0.41199999999999998</v>
      </c>
      <c r="S34" s="70">
        <f>IF('AOP Critical'!T27="","",'AOP Critical'!T27)</f>
        <v>0.42299999999999999</v>
      </c>
      <c r="T34" s="70" t="str">
        <f>IF('AOP Critical'!U27="","",'AOP Critical'!U27)</f>
        <v/>
      </c>
      <c r="U34" s="70" t="str">
        <f>IF('AOP Critical'!V27="","",'AOP Critical'!V27)</f>
        <v/>
      </c>
      <c r="V34" s="70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0">
        <f>IF('AOP Critical'!L22="","",'AOP Critical'!L22)</f>
        <v>0.9</v>
      </c>
      <c r="L35" s="70">
        <f>IF('AOP Critical'!M22="","",'AOP Critical'!M22)</f>
        <v>0.9</v>
      </c>
      <c r="M35" s="70">
        <f>IF('AOP Critical'!N22="","",'AOP Critical'!N22)</f>
        <v>0.9</v>
      </c>
      <c r="N35" s="70">
        <f>IF('AOP Critical'!O22="","",'AOP Critical'!O22)</f>
        <v>0.9</v>
      </c>
      <c r="O35" s="70">
        <f>IF('AOP Critical'!P22="","",'AOP Critical'!P22)</f>
        <v>0.9</v>
      </c>
      <c r="P35" s="70">
        <f>IF('AOP Critical'!Q22="","",'AOP Critical'!Q22)</f>
        <v>0.9</v>
      </c>
      <c r="Q35" s="70">
        <f>IF('AOP Critical'!R22="","",'AOP Critical'!R22)</f>
        <v>0.9</v>
      </c>
      <c r="R35" s="70">
        <f>IF('AOP Critical'!S22="","",'AOP Critical'!S22)</f>
        <v>0.9</v>
      </c>
      <c r="S35" s="70">
        <f>IF('AOP Critical'!T22="","",'AOP Critical'!T22)</f>
        <v>0.9</v>
      </c>
      <c r="T35" s="70">
        <f>IF('AOP Critical'!U22="","",'AOP Critical'!U22)</f>
        <v>0.9</v>
      </c>
      <c r="U35" s="70">
        <f>IF('AOP Critical'!V22="","",'AOP Critical'!V22)</f>
        <v>0.9</v>
      </c>
      <c r="V35" s="70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0">
        <f>IF('AOP Critical'!L23="","",'AOP Critical'!L23)</f>
        <v>0.81</v>
      </c>
      <c r="L36" s="70">
        <f>IF('AOP Critical'!M23="","",'AOP Critical'!M23)</f>
        <v>0.78</v>
      </c>
      <c r="M36" s="70">
        <f>IF('AOP Critical'!N23="","",'AOP Critical'!N23)</f>
        <v>0.8</v>
      </c>
      <c r="N36" s="70">
        <f>IF('AOP Critical'!O23="","",'AOP Critical'!O23)</f>
        <v>0.82</v>
      </c>
      <c r="O36" s="70">
        <f>IF('AOP Critical'!P23="","",'AOP Critical'!P23)</f>
        <v>0.79500000000000004</v>
      </c>
      <c r="P36" s="70">
        <f>IF('AOP Critical'!Q23="","",'AOP Critical'!Q23)</f>
        <v>0.86</v>
      </c>
      <c r="Q36" s="70">
        <f>IF('AOP Critical'!R23="","",'AOP Critical'!R23)</f>
        <v>0.88</v>
      </c>
      <c r="R36" s="70">
        <f>IF('AOP Critical'!S23="","",'AOP Critical'!S23)</f>
        <v>0.94</v>
      </c>
      <c r="S36" s="70">
        <f>IF('AOP Critical'!T23="","",'AOP Critical'!T23)</f>
        <v>0.91</v>
      </c>
      <c r="T36" s="70" t="str">
        <f>IF('AOP Critical'!U23="","",'AOP Critical'!U23)</f>
        <v/>
      </c>
      <c r="U36" s="70" t="str">
        <f>IF('AOP Critical'!V23="","",'AOP Critical'!V23)</f>
        <v/>
      </c>
      <c r="V36" s="70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1" t="str">
        <f>IF('AOP Critical'!L43="","",'AOP Critical'!L43)</f>
        <v/>
      </c>
      <c r="L37" s="71" t="str">
        <f>IF('AOP Critical'!M43="","",'AOP Critical'!M43)</f>
        <v/>
      </c>
      <c r="M37" s="71">
        <f>IF('AOP Critical'!N43="","",'AOP Critical'!N43)</f>
        <v>0.05</v>
      </c>
      <c r="N37" s="71" t="str">
        <f>IF('AOP Critical'!O43="","",'AOP Critical'!O43)</f>
        <v/>
      </c>
      <c r="O37" s="71" t="str">
        <f>IF('AOP Critical'!P43="","",'AOP Critical'!P43)</f>
        <v/>
      </c>
      <c r="P37" s="71">
        <f>IF('AOP Critical'!Q43="","",'AOP Critical'!Q43)</f>
        <v>5.5E-2</v>
      </c>
      <c r="Q37" s="71" t="str">
        <f>IF('AOP Critical'!R43="","",'AOP Critical'!R43)</f>
        <v/>
      </c>
      <c r="R37" s="71" t="str">
        <f>IF('AOP Critical'!S43="","",'AOP Critical'!S43)</f>
        <v/>
      </c>
      <c r="S37" s="71" t="str">
        <f>IF('AOP Critical'!T43="","",'AOP Critical'!T43)</f>
        <v/>
      </c>
      <c r="T37" s="71" t="str">
        <f>IF('AOP Critical'!U43="","",'AOP Critical'!U43)</f>
        <v/>
      </c>
      <c r="U37" s="71" t="str">
        <f>IF('AOP Critical'!V43="","",'AOP Critical'!V43)</f>
        <v/>
      </c>
      <c r="V37" s="71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1">
        <f>IF('AOP Critical'!L45="","",'AOP Critical'!L45)</f>
        <v>0.4</v>
      </c>
      <c r="L39" s="71">
        <f>IF('AOP Critical'!M45="","",'AOP Critical'!M45)</f>
        <v>0.4</v>
      </c>
      <c r="M39" s="71">
        <f>IF('AOP Critical'!N45="","",'AOP Critical'!N45)</f>
        <v>0.4</v>
      </c>
      <c r="N39" s="71">
        <f>IF('AOP Critical'!O45="","",'AOP Critical'!O45)</f>
        <v>0.4</v>
      </c>
      <c r="O39" s="71">
        <f>IF('AOP Critical'!P45="","",'AOP Critical'!P45)</f>
        <v>0.4</v>
      </c>
      <c r="P39" s="71">
        <f>IF('AOP Critical'!Q45="","",'AOP Critical'!Q45)</f>
        <v>0.4</v>
      </c>
      <c r="Q39" s="71">
        <f>IF('AOP Critical'!R45="","",'AOP Critical'!R45)</f>
        <v>0.4</v>
      </c>
      <c r="R39" s="71">
        <f>IF('AOP Critical'!S45="","",'AOP Critical'!S45)</f>
        <v>0.4</v>
      </c>
      <c r="S39" s="71">
        <f>IF('AOP Critical'!T45="","",'AOP Critical'!T45)</f>
        <v>0.4</v>
      </c>
      <c r="T39" s="71" t="str">
        <f>IF('AOP Critical'!U45="","",'AOP Critical'!U45)</f>
        <v/>
      </c>
      <c r="U39" s="71" t="str">
        <f>IF('AOP Critical'!V45="","",'AOP Critical'!V45)</f>
        <v/>
      </c>
      <c r="V39" s="71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1">
        <f>IF('AOP Critical'!L46="","",'AOP Critical'!L46)</f>
        <v>0.66</v>
      </c>
      <c r="L40" s="71">
        <f>IF('AOP Critical'!M46="","",'AOP Critical'!M46)</f>
        <v>0.34</v>
      </c>
      <c r="M40" s="71">
        <f>IF('AOP Critical'!N46="","",'AOP Critical'!N46)</f>
        <v>0.41</v>
      </c>
      <c r="N40" s="71">
        <f>IF('AOP Critical'!O46="","",'AOP Critical'!O46)</f>
        <v>0.39</v>
      </c>
      <c r="O40" s="71">
        <f>IF('AOP Critical'!P46="","",'AOP Critical'!P46)</f>
        <v>0.40799999999999997</v>
      </c>
      <c r="P40" s="71">
        <f>IF('AOP Critical'!Q46="","",'AOP Critical'!Q46)</f>
        <v>0.43</v>
      </c>
      <c r="Q40" s="71">
        <f>IF('AOP Critical'!R46="","",'AOP Critical'!R46)</f>
        <v>0.56000000000000005</v>
      </c>
      <c r="R40" s="71">
        <f>IF('AOP Critical'!S46="","",'AOP Critical'!S46)</f>
        <v>0.39</v>
      </c>
      <c r="S40" s="71">
        <f>IF('AOP Critical'!T46="","",'AOP Critical'!T46)</f>
        <v>0.37</v>
      </c>
      <c r="T40" s="71" t="str">
        <f>IF('AOP Critical'!U46="","",'AOP Critical'!U46)</f>
        <v/>
      </c>
      <c r="U40" s="71" t="str">
        <f>IF('AOP Critical'!V46="","",'AOP Critical'!V46)</f>
        <v/>
      </c>
      <c r="V40" s="71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1" vm="1">
        <f>IF('AOP Critical'!L28="","",'AOP Critical'!L28)</f>
        <v>3.6951550944796852E-2</v>
      </c>
      <c r="L45" s="71" vm="3">
        <f>IF('AOP Critical'!M28="","",'AOP Critical'!M28)</f>
        <v>0.43621586155644376</v>
      </c>
      <c r="M45" s="71" vm="6">
        <f>IF('AOP Critical'!N28="","",'AOP Critical'!N28)</f>
        <v>6.9838696752701823E-2</v>
      </c>
      <c r="N45" s="71" vm="10">
        <f>IF('AOP Critical'!O28="","",'AOP Critical'!O28)</f>
        <v>0.21843539773619547</v>
      </c>
      <c r="O45" s="71" vm="12">
        <f>IF('AOP Critical'!P28="","",'AOP Critical'!P28)</f>
        <v>0.20239261325941293</v>
      </c>
      <c r="P45" s="71" vm="14">
        <f>IF('AOP Critical'!Q28="","",'AOP Critical'!Q28)</f>
        <v>0.29754592225545773</v>
      </c>
      <c r="Q45" s="71" vm="18">
        <f>IF('AOP Critical'!R28="","",'AOP Critical'!R28)</f>
        <v>0.26300517799117751</v>
      </c>
      <c r="R45" s="71" vm="22">
        <f>IF('AOP Critical'!S28="","",'AOP Critical'!S28)</f>
        <v>0.30756202137510114</v>
      </c>
      <c r="S45" s="71">
        <f>IF('AOP Critical'!T28="","",'AOP Critical'!T28)</f>
        <v>0.38100000000000001</v>
      </c>
      <c r="T45" s="71" t="str">
        <f>IF('AOP Critical'!U28="","",'AOP Critical'!U28)</f>
        <v/>
      </c>
      <c r="U45" s="71" t="str">
        <f>IF('AOP Critical'!V28="","",'AOP Critical'!V28)</f>
        <v/>
      </c>
      <c r="V45" s="71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1" vm="2">
        <f>IF('AOP Critical'!L29="","",'AOP Critical'!L29)</f>
        <v>-0.21537837470975407</v>
      </c>
      <c r="L46" s="71">
        <f>IF('AOP Critical'!M29="","",'AOP Critical'!M29)</f>
        <v>0.27400000000000002</v>
      </c>
      <c r="M46" s="71" vm="7">
        <f>IF('AOP Critical'!N29="","",'AOP Critical'!N29)</f>
        <v>0.17956999989031885</v>
      </c>
      <c r="N46" s="71" vm="11">
        <f>IF('AOP Critical'!O29="","",'AOP Critical'!O29)</f>
        <v>0.24020098639758425</v>
      </c>
      <c r="O46" s="71" vm="13">
        <f>IF('AOP Critical'!P29="","",'AOP Critical'!P29)</f>
        <v>0.12891206138967748</v>
      </c>
      <c r="P46" s="71" vm="15">
        <f>IF('AOP Critical'!Q29="","",'AOP Critical'!Q29)</f>
        <v>0.37665227402645685</v>
      </c>
      <c r="Q46" s="71" vm="19">
        <f>IF('AOP Critical'!R29="","",'AOP Critical'!R29)</f>
        <v>0.26390638821134749</v>
      </c>
      <c r="R46" s="71" vm="23">
        <f>IF('AOP Critical'!S29="","",'AOP Critical'!S29)</f>
        <v>0.28426058124592513</v>
      </c>
      <c r="S46" s="71">
        <f>IF('AOP Critical'!T29="","",'AOP Critical'!T29)</f>
        <v>0.378</v>
      </c>
      <c r="T46" s="71" t="str">
        <f>IF('AOP Critical'!U29="","",'AOP Critical'!U29)</f>
        <v/>
      </c>
      <c r="U46" s="71" t="str">
        <f>IF('AOP Critical'!V29="","",'AOP Critical'!V29)</f>
        <v/>
      </c>
      <c r="V46" s="71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1"/>
      <c r="L47" s="71" vm="4">
        <f>IF('AOP Critical'!M30="","",'AOP Critical'!M30)</f>
        <v>9.8925321866648819E-2</v>
      </c>
      <c r="M47" s="71" vm="8">
        <f>IF('AOP Critical'!N30="","",'AOP Critical'!N30)</f>
        <v>0.11712228373869382</v>
      </c>
      <c r="N47" s="71">
        <f>IF('AOP Critical'!O30="","",'AOP Critical'!O30)</f>
        <v>0.15809999999999999</v>
      </c>
      <c r="O47" s="71">
        <f>IF('AOP Critical'!P30="","",'AOP Critical'!P30)</f>
        <v>0.151</v>
      </c>
      <c r="P47" s="71" vm="16">
        <f>IF('AOP Critical'!Q30="","",'AOP Critical'!Q30)</f>
        <v>0.12551463489599346</v>
      </c>
      <c r="Q47" s="71" vm="20">
        <f>IF('AOP Critical'!R30="","",'AOP Critical'!R30)</f>
        <v>0.10280225768958351</v>
      </c>
      <c r="R47" s="71">
        <f>IF('AOP Critical'!S30="","",'AOP Critical'!S30)</f>
        <v>0.13500000000000001</v>
      </c>
      <c r="S47" s="71">
        <f>IF('AOP Critical'!T30="","",'AOP Critical'!T30)</f>
        <v>0.11600000000000001</v>
      </c>
      <c r="T47" s="71" t="str">
        <f>IF('AOP Critical'!U30="","",'AOP Critical'!U30)</f>
        <v/>
      </c>
      <c r="U47" s="71" t="str">
        <f>IF('AOP Critical'!V30="","",'AOP Critical'!V30)</f>
        <v/>
      </c>
      <c r="V47" s="71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1">
        <f>IF('AOP Critical'!L31="","",'AOP Critical'!L31)</f>
        <v>0.32500000000000001</v>
      </c>
      <c r="L48" s="71" vm="5">
        <f>IF('AOP Critical'!M31="","",'AOP Critical'!M31)</f>
        <v>0.19016698273293486</v>
      </c>
      <c r="M48" s="71" vm="9">
        <f>IF('AOP Critical'!N31="","",'AOP Critical'!N31)</f>
        <v>0.14313042982821633</v>
      </c>
      <c r="N48" s="71">
        <f>IF('AOP Critical'!O31="","",'AOP Critical'!O31)</f>
        <v>0.2399</v>
      </c>
      <c r="O48" s="71">
        <f>IF('AOP Critical'!P31="","",'AOP Critical'!P31)</f>
        <v>0.20599999999999999</v>
      </c>
      <c r="P48" s="71" vm="17">
        <f>IF('AOP Critical'!Q31="","",'AOP Critical'!Q31)</f>
        <v>0.15714973912715791</v>
      </c>
      <c r="Q48" s="71" vm="21">
        <f>IF('AOP Critical'!R31="","",'AOP Critical'!R31)</f>
        <v>0.10382365349216505</v>
      </c>
      <c r="R48" s="71">
        <f>IF('AOP Critical'!S31="","",'AOP Critical'!S31)</f>
        <v>0.151</v>
      </c>
      <c r="S48" s="71">
        <f>IF('AOP Critical'!T31="","",'AOP Critical'!T31)</f>
        <v>0.17799999999999999</v>
      </c>
      <c r="T48" s="71" t="str">
        <f>IF('AOP Critical'!U31="","",'AOP Critical'!U31)</f>
        <v/>
      </c>
      <c r="U48" s="71" t="str">
        <f>IF('AOP Critical'!V31="","",'AOP Critical'!V31)</f>
        <v/>
      </c>
      <c r="V48" s="71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3">
        <f>IF('AOP Critical'!L32="","",'AOP Critical'!L32)</f>
        <v>8.6903037999999988</v>
      </c>
      <c r="L49" s="73">
        <f>IF('AOP Critical'!M32="","",'AOP Critical'!M32)</f>
        <v>14.05</v>
      </c>
      <c r="M49" s="73">
        <f>IF('AOP Critical'!N32="","",'AOP Critical'!N32)</f>
        <v>24.179069699999999</v>
      </c>
      <c r="N49" s="73">
        <f>IF('AOP Critical'!O32="","",'AOP Critical'!O32)</f>
        <v>33.551317699999998</v>
      </c>
      <c r="O49" s="73">
        <f>IF('AOP Critical'!P32="","",'AOP Critical'!P32)</f>
        <v>41.442849800000005</v>
      </c>
      <c r="P49" s="73">
        <f>IF('AOP Critical'!Q32="","",'AOP Critical'!Q32)</f>
        <v>60.823965100000009</v>
      </c>
      <c r="Q49" s="73">
        <f>IF('AOP Critical'!R32="","",'AOP Critical'!R32)</f>
        <v>72.599999999999994</v>
      </c>
      <c r="R49" s="73">
        <f>IF('AOP Critical'!S32="","",'AOP Critical'!S32)</f>
        <v>82.449704499999996</v>
      </c>
      <c r="S49" s="73">
        <f>IF('AOP Critical'!T32="","",'AOP Critical'!T32)</f>
        <v>97.4</v>
      </c>
      <c r="T49" s="73" t="str">
        <f>IF('AOP Critical'!U32="","",'AOP Critical'!U32)</f>
        <v/>
      </c>
      <c r="U49" s="73" t="str">
        <f>IF('AOP Critical'!V32="","",'AOP Critical'!V32)</f>
        <v/>
      </c>
      <c r="V49" s="73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3">
        <f>IF('AOP Critical'!L33="","",'AOP Critical'!L33)</f>
        <v>4.05</v>
      </c>
      <c r="L50" s="73">
        <f>IF('AOP Critical'!M33="","",'AOP Critical'!M33)</f>
        <v>9.7989724000000002</v>
      </c>
      <c r="M50" s="73">
        <f>IF('AOP Critical'!N33="","",'AOP Critical'!N33)</f>
        <v>25.313448100000002</v>
      </c>
      <c r="N50" s="73">
        <f>IF('AOP Critical'!O33="","",'AOP Critical'!O33)</f>
        <v>31.452557499999998</v>
      </c>
      <c r="O50" s="73">
        <f>IF('AOP Critical'!P33="","",'AOP Critical'!P33)</f>
        <v>41.128122899999994</v>
      </c>
      <c r="P50" s="73">
        <f>IF('AOP Critical'!Q33="","",'AOP Critical'!Q33)</f>
        <v>55.164574999999999</v>
      </c>
      <c r="Q50" s="73">
        <f>IF('AOP Critical'!R33="","",'AOP Critical'!R33)</f>
        <v>61.940289700000001</v>
      </c>
      <c r="R50" s="73">
        <f>IF('AOP Critical'!S33="","",'AOP Critical'!S33)</f>
        <v>72.779408199999978</v>
      </c>
      <c r="S50" s="73">
        <f>IF('AOP Critical'!T33="","",'AOP Critical'!T33)</f>
        <v>91.2</v>
      </c>
      <c r="T50" s="73" t="str">
        <f>IF('AOP Critical'!U33="","",'AOP Critical'!U33)</f>
        <v/>
      </c>
      <c r="U50" s="73" t="str">
        <f>IF('AOP Critical'!V33="","",'AOP Critical'!V33)</f>
        <v/>
      </c>
      <c r="V50" s="73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1" t="str">
        <f>IF('AOP Critical'!L24="","",'AOP Critical'!L24)</f>
        <v/>
      </c>
      <c r="L51" s="71" t="str">
        <f>IF('AOP Critical'!M24="","",'AOP Critical'!M24)</f>
        <v/>
      </c>
      <c r="M51" s="71">
        <f>IF('AOP Critical'!N24="","",'AOP Critical'!N24)</f>
        <v>0.104</v>
      </c>
      <c r="N51" s="71" t="str">
        <f>IF('AOP Critical'!O24="","",'AOP Critical'!O24)</f>
        <v>QTR</v>
      </c>
      <c r="O51" s="71" t="str">
        <f>IF('AOP Critical'!P24="","",'AOP Critical'!P24)</f>
        <v>QTR</v>
      </c>
      <c r="P51" s="71">
        <f>IF('AOP Critical'!Q24="","",'AOP Critical'!Q24)</f>
        <v>0.11799999999999999</v>
      </c>
      <c r="Q51" s="71" t="str">
        <f>IF('AOP Critical'!R24="","",'AOP Critical'!R24)</f>
        <v>QTR</v>
      </c>
      <c r="R51" s="71" t="str">
        <f>IF('AOP Critical'!S24="","",'AOP Critical'!S24)</f>
        <v>QTR</v>
      </c>
      <c r="S51" s="71" t="str">
        <f>IF('AOP Critical'!T24="","",'AOP Critical'!T24)</f>
        <v/>
      </c>
      <c r="T51" s="71" t="str">
        <f>IF('AOP Critical'!U24="","",'AOP Critical'!U24)</f>
        <v>QTR</v>
      </c>
      <c r="U51" s="71" t="str">
        <f>IF('AOP Critical'!V24="","",'AOP Critical'!V24)</f>
        <v>QTR</v>
      </c>
      <c r="V51" s="71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0" t="str">
        <f>IF('AOP Critical'!L34="","",'AOP Critical'!L34)</f>
        <v/>
      </c>
      <c r="L56" s="70" t="str">
        <f>IF('AOP Critical'!M34="","",'AOP Critical'!M34)</f>
        <v/>
      </c>
      <c r="M56" s="70">
        <f>IF('AOP Critical'!N34="","",'AOP Critical'!N34)</f>
        <v>0.9</v>
      </c>
      <c r="N56" s="70" t="str">
        <f>IF('AOP Critical'!O34="","",'AOP Critical'!O34)</f>
        <v/>
      </c>
      <c r="O56" s="70" t="str">
        <f>IF('AOP Critical'!P34="","",'AOP Critical'!P34)</f>
        <v/>
      </c>
      <c r="P56" s="70">
        <f>IF('AOP Critical'!Q34="","",'AOP Critical'!Q34)</f>
        <v>0.9</v>
      </c>
      <c r="Q56" s="70" t="str">
        <f>IF('AOP Critical'!R34="","",'AOP Critical'!R34)</f>
        <v/>
      </c>
      <c r="R56" s="70" t="str">
        <f>IF('AOP Critical'!S34="","",'AOP Critical'!S34)</f>
        <v/>
      </c>
      <c r="S56" s="70">
        <f>IF('AOP Critical'!T34="","",'AOP Critical'!T34)</f>
        <v>0.9</v>
      </c>
      <c r="T56" s="70" t="str">
        <f>IF('AOP Critical'!U34="","",'AOP Critical'!U34)</f>
        <v/>
      </c>
      <c r="U56" s="70" t="str">
        <f>IF('AOP Critical'!V34="","",'AOP Critical'!V34)</f>
        <v/>
      </c>
      <c r="V56" s="70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0" t="str">
        <f>IF('AOP Critical'!L35="","",'AOP Critical'!L35)</f>
        <v>QTR</v>
      </c>
      <c r="L57" s="70" t="str">
        <f>IF('AOP Critical'!M35="","",'AOP Critical'!M35)</f>
        <v>QTR</v>
      </c>
      <c r="M57" s="70">
        <f>IF('AOP Critical'!N35="","",'AOP Critical'!N35)</f>
        <v>1</v>
      </c>
      <c r="N57" s="70" t="str">
        <f>IF('AOP Critical'!O35="","",'AOP Critical'!O35)</f>
        <v>QTR</v>
      </c>
      <c r="O57" s="70" t="str">
        <f>IF('AOP Critical'!P35="","",'AOP Critical'!P35)</f>
        <v>QTR</v>
      </c>
      <c r="P57" s="70">
        <f>IF('AOP Critical'!Q35="","",'AOP Critical'!Q35)</f>
        <v>0.96199999999999997</v>
      </c>
      <c r="Q57" s="70" t="str">
        <f>IF('AOP Critical'!R35="","",'AOP Critical'!R35)</f>
        <v>QTR</v>
      </c>
      <c r="R57" s="70" t="str">
        <f>IF('AOP Critical'!S35="","",'AOP Critical'!S35)</f>
        <v>QTR</v>
      </c>
      <c r="S57" s="70">
        <f>IF('AOP Critical'!T35="","",'AOP Critical'!T35)</f>
        <v>0.91300000000000003</v>
      </c>
      <c r="T57" s="70" t="str">
        <f>IF('AOP Critical'!U35="","",'AOP Critical'!U35)</f>
        <v/>
      </c>
      <c r="U57" s="70" t="str">
        <f>IF('AOP Critical'!V35="","",'AOP Critical'!V35)</f>
        <v/>
      </c>
      <c r="V57" s="70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0" t="str">
        <f>IF('AOP Critical'!L36="","",'AOP Critical'!L36)</f>
        <v/>
      </c>
      <c r="L58" s="70" t="str">
        <f>IF('AOP Critical'!M36="","",'AOP Critical'!M36)</f>
        <v/>
      </c>
      <c r="M58" s="70" t="str">
        <f>IF('AOP Critical'!N36="","",'AOP Critical'!N36)</f>
        <v/>
      </c>
      <c r="N58" s="70">
        <f>IF('AOP Critical'!O36="","",'AOP Critical'!O36)</f>
        <v>0.83</v>
      </c>
      <c r="O58" s="70" t="str">
        <f>IF('AOP Critical'!P36="","",'AOP Critical'!P36)</f>
        <v/>
      </c>
      <c r="P58" s="70">
        <f>IF('AOP Critical'!Q36="","",'AOP Critical'!Q36)</f>
        <v>0.83</v>
      </c>
      <c r="Q58" s="70" t="str">
        <f>IF('AOP Critical'!R36="","",'AOP Critical'!R36)</f>
        <v/>
      </c>
      <c r="R58" s="70" t="str">
        <f>IF('AOP Critical'!S36="","",'AOP Critical'!S36)</f>
        <v/>
      </c>
      <c r="S58" s="70" t="str">
        <f>IF('AOP Critical'!T36="","",'AOP Critical'!T36)</f>
        <v/>
      </c>
      <c r="T58" s="70" t="str">
        <f>IF('AOP Critical'!U36="","",'AOP Critical'!U36)</f>
        <v/>
      </c>
      <c r="U58" s="70" t="str">
        <f>IF('AOP Critical'!V36="","",'AOP Critical'!V36)</f>
        <v/>
      </c>
      <c r="V58" s="70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0" t="str">
        <f>IF('AOP Critical'!L37="","",'AOP Critical'!L37)</f>
        <v>HY</v>
      </c>
      <c r="L59" s="70" t="str">
        <f>IF('AOP Critical'!M37="","",'AOP Critical'!M37)</f>
        <v>HY</v>
      </c>
      <c r="M59" s="70" t="str">
        <f>IF('AOP Critical'!N37="","",'AOP Critical'!N37)</f>
        <v>HY</v>
      </c>
      <c r="N59" s="70">
        <f>IF('AOP Critical'!O37="","",'AOP Critical'!O37)</f>
        <v>0.79</v>
      </c>
      <c r="O59" s="70" t="str">
        <f>IF('AOP Critical'!P37="","",'AOP Critical'!P37)</f>
        <v>HY</v>
      </c>
      <c r="P59" s="70">
        <f>IF('AOP Critical'!Q37="","",'AOP Critical'!Q37)</f>
        <v>0.79</v>
      </c>
      <c r="Q59" s="70" t="str">
        <f>IF('AOP Critical'!R37="","",'AOP Critical'!R37)</f>
        <v>HY</v>
      </c>
      <c r="R59" s="70" t="str">
        <f>IF('AOP Critical'!S37="","",'AOP Critical'!S37)</f>
        <v/>
      </c>
      <c r="S59" s="70" t="str">
        <f>IF('AOP Critical'!T37="","",'AOP Critical'!T37)</f>
        <v/>
      </c>
      <c r="T59" s="70" t="str">
        <f>IF('AOP Critical'!U37="","",'AOP Critical'!U37)</f>
        <v/>
      </c>
      <c r="U59" s="70" t="str">
        <f>IF('AOP Critical'!V37="","",'AOP Critical'!V37)</f>
        <v/>
      </c>
      <c r="V59" s="70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topLeftCell="D1" zoomScale="90" zoomScaleNormal="90" workbookViewId="0">
      <pane ySplit="5" topLeftCell="A32" activePane="bottomLeft" state="frozen"/>
      <selection pane="bottomLeft" activeCell="B43" sqref="B43:B44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customWidth="1"/>
    <col min="13" max="13" width="6.85546875" customWidth="1"/>
    <col min="14" max="14" width="6.28515625" customWidth="1"/>
    <col min="15" max="15" width="7.28515625" customWidth="1"/>
    <col min="16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7" customHeight="1">
      <c r="A5" s="86" t="s">
        <v>0</v>
      </c>
      <c r="B5" s="35" t="s">
        <v>2</v>
      </c>
      <c r="C5" s="35" t="s">
        <v>3</v>
      </c>
      <c r="D5" s="35" t="s">
        <v>4</v>
      </c>
      <c r="E5" s="116" t="s">
        <v>5</v>
      </c>
      <c r="F5" s="116"/>
      <c r="G5" s="116"/>
      <c r="H5" s="87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6"/>
      <c r="Y6" s="113"/>
      <c r="Z6" s="113"/>
      <c r="AA6" s="123" t="s">
        <v>54</v>
      </c>
    </row>
    <row r="7" spans="1:27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3" t="s">
        <v>55</v>
      </c>
      <c r="L7" s="17">
        <v>3.7999999999999999E-2</v>
      </c>
      <c r="M7" s="51">
        <v>3.7999999999999999E-2</v>
      </c>
      <c r="N7" s="51">
        <v>2.8000000000000001E-2</v>
      </c>
      <c r="O7" s="51">
        <v>2.5999999999999999E-2</v>
      </c>
      <c r="P7" s="51">
        <v>2.5999999999999999E-2</v>
      </c>
      <c r="Q7" s="51">
        <v>0.03</v>
      </c>
      <c r="R7" s="51">
        <v>3.1E-2</v>
      </c>
      <c r="S7" s="51">
        <v>3.5000000000000003E-2</v>
      </c>
      <c r="T7" s="51">
        <v>3.5000000000000003E-2</v>
      </c>
      <c r="U7" s="51"/>
      <c r="V7" s="51"/>
      <c r="W7" s="51"/>
      <c r="X7" s="94"/>
      <c r="Y7" s="96"/>
      <c r="Z7" s="96"/>
      <c r="AA7" s="124"/>
    </row>
    <row r="8" spans="1:27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4">
        <v>46231</v>
      </c>
      <c r="AA8" s="123" t="s">
        <v>59</v>
      </c>
    </row>
    <row r="9" spans="1:27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3" t="s">
        <v>55</v>
      </c>
      <c r="L9" s="19">
        <v>1</v>
      </c>
      <c r="M9" s="53">
        <v>0.75</v>
      </c>
      <c r="N9" s="53">
        <v>0.4</v>
      </c>
      <c r="O9" s="76">
        <v>0</v>
      </c>
      <c r="P9" s="53">
        <v>0</v>
      </c>
      <c r="Q9" s="53">
        <v>0</v>
      </c>
      <c r="R9" s="53">
        <v>1</v>
      </c>
      <c r="S9" s="53">
        <v>1</v>
      </c>
      <c r="T9" s="53">
        <v>1</v>
      </c>
      <c r="U9" s="53"/>
      <c r="V9" s="53"/>
      <c r="W9" s="53"/>
      <c r="X9" s="94"/>
      <c r="Y9" s="96"/>
      <c r="Z9" s="115"/>
      <c r="AA9" s="124"/>
    </row>
    <row r="10" spans="1:27">
      <c r="A10" s="109"/>
      <c r="B10" s="91" t="s">
        <v>60</v>
      </c>
      <c r="C10" s="92" t="s">
        <v>49</v>
      </c>
      <c r="D10" s="90" t="s">
        <v>61</v>
      </c>
      <c r="E10" s="108">
        <v>1</v>
      </c>
      <c r="F10" s="108"/>
      <c r="G10" s="108"/>
      <c r="H10" s="111" t="s">
        <v>51</v>
      </c>
      <c r="I10" s="108" t="s">
        <v>62</v>
      </c>
      <c r="J10" s="107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3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3" t="s">
        <v>55</v>
      </c>
      <c r="L11" s="9">
        <v>2</v>
      </c>
      <c r="M11" s="54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4"/>
      <c r="Z11" s="118"/>
      <c r="AA11" s="124"/>
    </row>
    <row r="12" spans="1:27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4"/>
      <c r="Y12" s="95"/>
      <c r="Z12" s="96"/>
      <c r="AA12" s="123" t="s">
        <v>67</v>
      </c>
    </row>
    <row r="13" spans="1:27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9"/>
      <c r="X13" s="94"/>
      <c r="Y13" s="96"/>
      <c r="Z13" s="96"/>
      <c r="AA13" s="124"/>
    </row>
    <row r="14" spans="1:27" ht="15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171" t="s">
        <v>71</v>
      </c>
      <c r="Y14" s="97" t="s">
        <v>72</v>
      </c>
      <c r="Z14" s="152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3" t="s">
        <v>55</v>
      </c>
      <c r="L15" s="17">
        <v>0.51780000000000004</v>
      </c>
      <c r="M15" s="51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8">
        <v>0.53600000000000003</v>
      </c>
      <c r="S15" s="78">
        <v>0.5363</v>
      </c>
      <c r="T15" s="78">
        <v>0.53749999999999998</v>
      </c>
      <c r="U15" s="32"/>
      <c r="V15" s="32"/>
      <c r="W15" s="33"/>
      <c r="X15" s="94"/>
      <c r="Y15" s="113"/>
      <c r="Z15" s="113"/>
      <c r="AA15" s="131"/>
    </row>
    <row r="16" spans="1:27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2">
        <v>0.13344842106998206</v>
      </c>
      <c r="S16" s="82">
        <v>0.13972119594175969</v>
      </c>
      <c r="T16" s="82">
        <v>0.13600000000000001</v>
      </c>
      <c r="U16" s="25"/>
      <c r="V16" s="25"/>
      <c r="W16" s="26"/>
      <c r="X16" s="94"/>
      <c r="Y16" s="95"/>
      <c r="Z16" s="115"/>
      <c r="AA16" s="123" t="s">
        <v>77</v>
      </c>
    </row>
    <row r="17" spans="1:27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3" t="s">
        <v>55</v>
      </c>
      <c r="L17" s="17">
        <v>-4.253311543933095E-2</v>
      </c>
      <c r="M17" s="51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9"/>
      <c r="X17" s="94"/>
      <c r="Y17" s="96"/>
      <c r="Z17" s="115"/>
      <c r="AA17" s="124"/>
    </row>
    <row r="18" spans="1:27">
      <c r="A18" s="109"/>
      <c r="B18" s="93" t="s">
        <v>78</v>
      </c>
      <c r="C18" s="93" t="s">
        <v>74</v>
      </c>
      <c r="D18" s="93" t="s">
        <v>79</v>
      </c>
      <c r="E18" s="108" t="s">
        <v>76</v>
      </c>
      <c r="F18" s="108"/>
      <c r="G18" s="108"/>
      <c r="H18" s="111" t="s">
        <v>32</v>
      </c>
      <c r="I18" s="108" t="s">
        <v>80</v>
      </c>
      <c r="J18" s="107" t="s">
        <v>52</v>
      </c>
      <c r="K18" s="23" t="s">
        <v>53</v>
      </c>
      <c r="L18" s="48">
        <v>0.224</v>
      </c>
      <c r="M18" s="48">
        <v>0.35800000000000004</v>
      </c>
      <c r="N18" s="48">
        <v>0.79700000000000004</v>
      </c>
      <c r="O18" s="48">
        <v>1.0409999999999999</v>
      </c>
      <c r="P18" s="48">
        <v>1.155</v>
      </c>
      <c r="Q18" s="48">
        <v>1.6040000000000001</v>
      </c>
      <c r="R18" s="48">
        <v>2.4180000000000001</v>
      </c>
      <c r="S18" s="48">
        <v>2.93</v>
      </c>
      <c r="T18" s="48">
        <v>3.7040000000000002</v>
      </c>
      <c r="U18" s="48"/>
      <c r="V18" s="48"/>
      <c r="W18" s="48"/>
      <c r="X18" s="157" t="s">
        <v>81</v>
      </c>
      <c r="Y18" s="157"/>
      <c r="Z18" s="154">
        <v>46108</v>
      </c>
      <c r="AA18" s="156"/>
    </row>
    <row r="19" spans="1:27" ht="18.600000000000001" customHeight="1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3" t="s">
        <v>55</v>
      </c>
      <c r="L19" s="88">
        <v>0.2598381666666667</v>
      </c>
      <c r="M19" s="88">
        <v>0.3838381666666667</v>
      </c>
      <c r="N19" s="88">
        <v>1.1128381666666667</v>
      </c>
      <c r="O19" s="88">
        <v>1.3223861666666668</v>
      </c>
      <c r="P19" s="88">
        <v>1.6513861666666667</v>
      </c>
      <c r="Q19" s="88">
        <v>2.1303861666666668</v>
      </c>
      <c r="R19" s="89">
        <v>2.6433861666666667</v>
      </c>
      <c r="S19" s="89">
        <v>3.3972231666666666</v>
      </c>
      <c r="T19" s="89">
        <v>4.5205241666666662</v>
      </c>
      <c r="U19" s="47"/>
      <c r="V19" s="47"/>
      <c r="W19" s="49"/>
      <c r="X19" s="157"/>
      <c r="Y19" s="157"/>
      <c r="Z19" s="155"/>
      <c r="AA19" s="156"/>
    </row>
    <row r="20" spans="1:27" ht="24" customHeight="1">
      <c r="A20" s="109"/>
      <c r="B20" s="93" t="s">
        <v>82</v>
      </c>
      <c r="C20" s="93" t="s">
        <v>65</v>
      </c>
      <c r="D20" s="90" t="s">
        <v>83</v>
      </c>
      <c r="E20" s="108" t="s">
        <v>76</v>
      </c>
      <c r="F20" s="108"/>
      <c r="G20" s="108"/>
      <c r="H20" s="111" t="s">
        <v>51</v>
      </c>
      <c r="I20" s="108" t="s">
        <v>33</v>
      </c>
      <c r="J20" s="107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>
        <v>0.25</v>
      </c>
      <c r="U20" s="18"/>
      <c r="V20" s="18"/>
      <c r="W20" s="28"/>
      <c r="X20" s="99" t="s">
        <v>84</v>
      </c>
      <c r="Y20" s="101" t="s">
        <v>85</v>
      </c>
      <c r="Z20" s="153"/>
      <c r="AA20" s="125" t="s">
        <v>86</v>
      </c>
    </row>
    <row r="21" spans="1:27" ht="32.1" customHeight="1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>
        <v>0.27</v>
      </c>
      <c r="U21" s="30"/>
      <c r="V21" s="30"/>
      <c r="W21" s="31"/>
      <c r="X21" s="100"/>
      <c r="Y21" s="102"/>
      <c r="Z21" s="119"/>
      <c r="AA21" s="125"/>
    </row>
    <row r="22" spans="1:27" ht="15.95" customHeight="1">
      <c r="A22" s="109" t="s">
        <v>26</v>
      </c>
      <c r="B22" s="93" t="s">
        <v>87</v>
      </c>
      <c r="C22" s="122" t="s">
        <v>88</v>
      </c>
      <c r="D22" s="93" t="s">
        <v>89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5"/>
      <c r="Y22" s="95"/>
      <c r="Z22" s="114">
        <v>46257</v>
      </c>
      <c r="AA22" s="161"/>
    </row>
    <row r="23" spans="1:27" ht="17.100000000000001" customHeight="1" thickBot="1">
      <c r="A23" s="168"/>
      <c r="B23" s="93"/>
      <c r="C23" s="122"/>
      <c r="D23" s="93"/>
      <c r="E23" s="108"/>
      <c r="F23" s="108"/>
      <c r="G23" s="108"/>
      <c r="H23" s="111"/>
      <c r="I23" s="108"/>
      <c r="J23" s="107"/>
      <c r="K23" s="23" t="s">
        <v>55</v>
      </c>
      <c r="L23" s="55">
        <v>0.81</v>
      </c>
      <c r="M23" s="55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>
        <v>0.91</v>
      </c>
      <c r="U23" s="30"/>
      <c r="V23" s="30"/>
      <c r="W23" s="31"/>
      <c r="X23" s="106"/>
      <c r="Y23" s="96"/>
      <c r="Z23" s="115"/>
      <c r="AA23" s="162"/>
    </row>
    <row r="24" spans="1:27" ht="17.45" customHeight="1">
      <c r="A24" s="143" t="s">
        <v>27</v>
      </c>
      <c r="B24" s="93" t="s">
        <v>90</v>
      </c>
      <c r="C24" s="122" t="s">
        <v>91</v>
      </c>
      <c r="D24" s="90" t="s">
        <v>92</v>
      </c>
      <c r="E24" s="108" t="s">
        <v>93</v>
      </c>
      <c r="F24" s="108" t="s">
        <v>93</v>
      </c>
      <c r="G24" s="108" t="s">
        <v>93</v>
      </c>
      <c r="H24" s="111" t="s">
        <v>32</v>
      </c>
      <c r="I24" s="108" t="s">
        <v>33</v>
      </c>
      <c r="J24" s="120" t="s">
        <v>34</v>
      </c>
      <c r="K24" s="23" t="s">
        <v>53</v>
      </c>
      <c r="L24" s="36"/>
      <c r="M24" s="36"/>
      <c r="N24" s="38">
        <v>0.104</v>
      </c>
      <c r="O24" s="22" t="s">
        <v>94</v>
      </c>
      <c r="P24" s="22" t="s">
        <v>94</v>
      </c>
      <c r="Q24" s="38">
        <v>0.11799999999999999</v>
      </c>
      <c r="R24" s="22" t="s">
        <v>94</v>
      </c>
      <c r="S24" s="22" t="s">
        <v>94</v>
      </c>
      <c r="T24" s="36"/>
      <c r="U24" s="22" t="s">
        <v>94</v>
      </c>
      <c r="V24" s="22" t="s">
        <v>94</v>
      </c>
      <c r="W24" s="39"/>
      <c r="X24" s="137"/>
      <c r="Y24" s="152"/>
      <c r="Z24" s="119"/>
      <c r="AA24" s="123" t="s">
        <v>95</v>
      </c>
    </row>
    <row r="25" spans="1:27" ht="15" thickBot="1">
      <c r="A25" s="167"/>
      <c r="B25" s="93"/>
      <c r="C25" s="122"/>
      <c r="D25" s="90"/>
      <c r="E25" s="108"/>
      <c r="F25" s="108"/>
      <c r="G25" s="108"/>
      <c r="H25" s="111"/>
      <c r="I25" s="108"/>
      <c r="J25" s="120"/>
      <c r="K25" s="23" t="s">
        <v>55</v>
      </c>
      <c r="L25" s="22" t="s">
        <v>94</v>
      </c>
      <c r="M25" s="22" t="s">
        <v>94</v>
      </c>
      <c r="N25" s="51">
        <v>0.115</v>
      </c>
      <c r="O25" s="22" t="s">
        <v>94</v>
      </c>
      <c r="P25" s="22" t="s">
        <v>94</v>
      </c>
      <c r="Q25" s="17">
        <v>0.121</v>
      </c>
      <c r="R25" s="22" t="s">
        <v>94</v>
      </c>
      <c r="S25" s="22" t="s">
        <v>94</v>
      </c>
      <c r="T25" s="56"/>
      <c r="U25" s="22" t="s">
        <v>94</v>
      </c>
      <c r="V25" s="22" t="s">
        <v>94</v>
      </c>
      <c r="W25" s="56"/>
      <c r="X25" s="106"/>
      <c r="Y25" s="113"/>
      <c r="Z25" s="153"/>
      <c r="AA25" s="124"/>
    </row>
    <row r="26" spans="1:27" ht="14.45" customHeight="1">
      <c r="A26" s="167"/>
      <c r="B26" s="91" t="s">
        <v>96</v>
      </c>
      <c r="C26" s="160" t="s">
        <v>91</v>
      </c>
      <c r="D26" s="90" t="s">
        <v>97</v>
      </c>
      <c r="E26" s="108">
        <v>34</v>
      </c>
      <c r="F26" s="158"/>
      <c r="G26" s="158"/>
      <c r="H26" s="111" t="s">
        <v>32</v>
      </c>
      <c r="I26" s="108" t="s">
        <v>33</v>
      </c>
      <c r="J26" s="107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>
        <v>0.34</v>
      </c>
      <c r="U26" s="25"/>
      <c r="V26" s="25"/>
      <c r="W26" s="26"/>
      <c r="X26" s="94"/>
      <c r="Y26" s="96"/>
      <c r="Z26" s="115"/>
      <c r="AA26" s="123" t="s">
        <v>98</v>
      </c>
    </row>
    <row r="27" spans="1:27" ht="14.45" customHeight="1" thickBot="1">
      <c r="A27" s="167"/>
      <c r="B27" s="91"/>
      <c r="C27" s="160"/>
      <c r="D27" s="90"/>
      <c r="E27" s="108"/>
      <c r="F27" s="158"/>
      <c r="G27" s="158"/>
      <c r="H27" s="111"/>
      <c r="I27" s="108"/>
      <c r="J27" s="107"/>
      <c r="K27" s="23" t="s">
        <v>55</v>
      </c>
      <c r="L27" s="79">
        <v>0.318</v>
      </c>
      <c r="M27" s="51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9"/>
      <c r="X27" s="94"/>
      <c r="Y27" s="96"/>
      <c r="Z27" s="115"/>
      <c r="AA27" s="124"/>
    </row>
    <row r="28" spans="1:27" ht="14.45" customHeight="1">
      <c r="A28" s="167"/>
      <c r="B28" s="90" t="s">
        <v>99</v>
      </c>
      <c r="C28" s="93" t="s">
        <v>74</v>
      </c>
      <c r="D28" s="90" t="s">
        <v>100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2" vm="18">
        <v>0.26300517799117751</v>
      </c>
      <c r="S28" s="82" vm="22">
        <v>0.30756202137510114</v>
      </c>
      <c r="T28" s="82">
        <v>0.38100000000000001</v>
      </c>
      <c r="U28" s="25"/>
      <c r="V28" s="25"/>
      <c r="W28" s="26"/>
      <c r="X28" s="103" t="s">
        <v>101</v>
      </c>
      <c r="Y28" s="97"/>
      <c r="Z28" s="119"/>
      <c r="AA28" s="128" t="s">
        <v>102</v>
      </c>
    </row>
    <row r="29" spans="1:27" ht="15" thickBot="1">
      <c r="A29" s="167"/>
      <c r="B29" s="90"/>
      <c r="C29" s="93"/>
      <c r="D29" s="90"/>
      <c r="E29" s="108"/>
      <c r="F29" s="108"/>
      <c r="G29" s="108"/>
      <c r="H29" s="111"/>
      <c r="I29" s="108"/>
      <c r="J29" s="107"/>
      <c r="K29" s="23" t="s">
        <v>55</v>
      </c>
      <c r="L29" s="17" vm="2">
        <v>-0.21537837470975407</v>
      </c>
      <c r="M29" s="50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9"/>
      <c r="X29" s="104"/>
      <c r="Y29" s="98"/>
      <c r="Z29" s="153"/>
      <c r="AA29" s="129"/>
    </row>
    <row r="30" spans="1:27" ht="14.45" customHeight="1">
      <c r="A30" s="167"/>
      <c r="B30" s="90"/>
      <c r="C30" s="93" t="s">
        <v>74</v>
      </c>
      <c r="D30" s="90" t="s">
        <v>103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2" vm="20">
        <v>0.10280225768958351</v>
      </c>
      <c r="S30" s="82">
        <v>0.13500000000000001</v>
      </c>
      <c r="T30" s="82">
        <v>0.11600000000000001</v>
      </c>
      <c r="U30" s="25"/>
      <c r="V30" s="25"/>
      <c r="W30" s="26"/>
      <c r="X30" s="103"/>
      <c r="Y30" s="152"/>
      <c r="Z30" s="119"/>
      <c r="AA30" s="165"/>
    </row>
    <row r="31" spans="1:27">
      <c r="A31" s="167"/>
      <c r="B31" s="90"/>
      <c r="C31" s="93"/>
      <c r="D31" s="90"/>
      <c r="E31" s="108"/>
      <c r="F31" s="108"/>
      <c r="G31" s="108"/>
      <c r="H31" s="111"/>
      <c r="I31" s="108"/>
      <c r="J31" s="107"/>
      <c r="K31" s="23" t="s">
        <v>55</v>
      </c>
      <c r="L31" s="17">
        <v>0.32500000000000001</v>
      </c>
      <c r="M31" s="51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3" vm="21">
        <v>0.10382365349216505</v>
      </c>
      <c r="S31" s="83">
        <v>0.151</v>
      </c>
      <c r="T31" s="83">
        <v>0.17799999999999999</v>
      </c>
      <c r="U31" s="45"/>
      <c r="V31" s="45"/>
      <c r="W31" s="46"/>
      <c r="X31" s="104"/>
      <c r="Y31" s="113"/>
      <c r="Z31" s="153"/>
      <c r="AA31" s="166"/>
    </row>
    <row r="32" spans="1:27" ht="14.45" customHeight="1">
      <c r="A32" s="167"/>
      <c r="B32" s="93" t="s">
        <v>104</v>
      </c>
      <c r="C32" s="122" t="s">
        <v>65</v>
      </c>
      <c r="D32" s="90" t="s">
        <v>105</v>
      </c>
      <c r="E32" s="108" t="s">
        <v>76</v>
      </c>
      <c r="F32" s="108"/>
      <c r="G32" s="108"/>
      <c r="H32" s="111" t="s">
        <v>32</v>
      </c>
      <c r="I32" s="108" t="s">
        <v>80</v>
      </c>
      <c r="J32" s="107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5">
        <v>33.551317699999998</v>
      </c>
      <c r="P32" s="42">
        <v>41.442849800000005</v>
      </c>
      <c r="Q32" s="80">
        <v>60.823965100000009</v>
      </c>
      <c r="R32" s="8">
        <v>72.599999999999994</v>
      </c>
      <c r="S32" s="85">
        <v>82.449704499999996</v>
      </c>
      <c r="T32" s="8">
        <v>97.4</v>
      </c>
      <c r="U32" s="8"/>
      <c r="V32" s="8"/>
      <c r="W32" s="34"/>
      <c r="X32" s="169" t="s">
        <v>106</v>
      </c>
      <c r="Y32" s="97" t="s">
        <v>107</v>
      </c>
      <c r="Z32" s="119"/>
      <c r="AA32" s="123" t="s">
        <v>108</v>
      </c>
    </row>
    <row r="33" spans="1:29" ht="15.6" customHeight="1" thickBot="1">
      <c r="A33" s="167"/>
      <c r="B33" s="93"/>
      <c r="C33" s="122"/>
      <c r="D33" s="90"/>
      <c r="E33" s="108"/>
      <c r="F33" s="108"/>
      <c r="G33" s="108"/>
      <c r="H33" s="111"/>
      <c r="I33" s="108"/>
      <c r="J33" s="107"/>
      <c r="K33" s="23" t="s">
        <v>55</v>
      </c>
      <c r="L33" s="43">
        <v>4.05</v>
      </c>
      <c r="M33" s="52">
        <v>9.7989724000000002</v>
      </c>
      <c r="N33" s="43">
        <v>25.313448100000002</v>
      </c>
      <c r="O33" s="66">
        <v>31.452557499999998</v>
      </c>
      <c r="P33" s="43">
        <v>41.128122899999994</v>
      </c>
      <c r="Q33" s="81">
        <v>55.164574999999999</v>
      </c>
      <c r="R33" s="84">
        <v>61.940289700000001</v>
      </c>
      <c r="S33" s="84">
        <v>72.779408199999978</v>
      </c>
      <c r="T33" s="32">
        <v>91.2</v>
      </c>
      <c r="U33" s="32"/>
      <c r="V33" s="32"/>
      <c r="W33" s="33"/>
      <c r="X33" s="170"/>
      <c r="Y33" s="98"/>
      <c r="Z33" s="153"/>
      <c r="AA33" s="124"/>
    </row>
    <row r="34" spans="1:29">
      <c r="A34" s="109" t="s">
        <v>28</v>
      </c>
      <c r="B34" s="148" t="s">
        <v>29</v>
      </c>
      <c r="C34" s="93" t="s">
        <v>88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 t="s">
        <v>109</v>
      </c>
      <c r="Z34" s="115"/>
      <c r="AA34" s="123" t="s">
        <v>110</v>
      </c>
    </row>
    <row r="35" spans="1:29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3" t="s">
        <v>55</v>
      </c>
      <c r="L35" s="22" t="s">
        <v>94</v>
      </c>
      <c r="M35" s="22" t="s">
        <v>94</v>
      </c>
      <c r="N35" s="19">
        <v>1</v>
      </c>
      <c r="O35" s="22" t="s">
        <v>94</v>
      </c>
      <c r="P35" s="22" t="s">
        <v>94</v>
      </c>
      <c r="Q35" s="19">
        <v>0.96199999999999997</v>
      </c>
      <c r="R35" s="22" t="s">
        <v>94</v>
      </c>
      <c r="S35" s="22" t="s">
        <v>94</v>
      </c>
      <c r="T35" s="19">
        <v>0.91300000000000003</v>
      </c>
      <c r="U35" s="19"/>
      <c r="V35" s="19"/>
      <c r="W35" s="29"/>
      <c r="X35" s="94"/>
      <c r="Y35" s="96"/>
      <c r="Z35" s="115"/>
      <c r="AA35" s="124"/>
    </row>
    <row r="36" spans="1:29">
      <c r="A36" s="109"/>
      <c r="B36" s="148" t="s">
        <v>35</v>
      </c>
      <c r="C36" s="93" t="s">
        <v>111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112</v>
      </c>
      <c r="Y36" s="95" t="s">
        <v>113</v>
      </c>
      <c r="Z36" s="115"/>
      <c r="AA36" s="123" t="s">
        <v>114</v>
      </c>
    </row>
    <row r="37" spans="1:29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3" t="s">
        <v>55</v>
      </c>
      <c r="L37" s="22" t="s">
        <v>115</v>
      </c>
      <c r="M37" s="22" t="s">
        <v>115</v>
      </c>
      <c r="N37" s="22" t="s">
        <v>115</v>
      </c>
      <c r="O37" s="19">
        <v>0.79</v>
      </c>
      <c r="P37" s="22" t="s">
        <v>115</v>
      </c>
      <c r="Q37" s="19">
        <v>0.79</v>
      </c>
      <c r="R37" s="22" t="s">
        <v>115</v>
      </c>
      <c r="S37" s="57"/>
      <c r="T37" s="57"/>
      <c r="U37" s="57"/>
      <c r="V37" s="57"/>
      <c r="W37" s="58"/>
      <c r="X37" s="137"/>
      <c r="Y37" s="97"/>
      <c r="Z37" s="119"/>
      <c r="AA37" s="125"/>
    </row>
    <row r="38" spans="1:29" s="5" customForma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3.45">
      <c r="A39" s="141" t="s">
        <v>116</v>
      </c>
      <c r="B39" s="141"/>
      <c r="C39" s="5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1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42" t="s">
        <v>47</v>
      </c>
      <c r="B41" s="145" t="s">
        <v>123</v>
      </c>
      <c r="C41" s="146" t="s">
        <v>49</v>
      </c>
      <c r="D41" s="147" t="s">
        <v>124</v>
      </c>
      <c r="E41" s="140" t="s">
        <v>93</v>
      </c>
      <c r="F41" s="140" t="s">
        <v>93</v>
      </c>
      <c r="G41" s="140" t="s">
        <v>93</v>
      </c>
      <c r="H41" s="159" t="s">
        <v>51</v>
      </c>
      <c r="I41" s="140" t="s">
        <v>33</v>
      </c>
      <c r="J41" s="149" t="s">
        <v>52</v>
      </c>
      <c r="K41" s="62" t="s">
        <v>53</v>
      </c>
      <c r="L41" s="77">
        <v>1.9099999999999999E-2</v>
      </c>
      <c r="M41" s="77">
        <v>4.07E-2</v>
      </c>
      <c r="N41" s="77">
        <v>4.6199999999999998E-2</v>
      </c>
      <c r="O41" s="77">
        <v>3.8600000000000002E-2</v>
      </c>
      <c r="P41" s="77">
        <v>3.5299999999999998E-2</v>
      </c>
      <c r="Q41" s="63">
        <v>2.7099999999999999E-2</v>
      </c>
      <c r="R41" s="63">
        <v>2.5100000000000001E-2</v>
      </c>
      <c r="S41" s="63">
        <v>2.41E-2</v>
      </c>
      <c r="T41" s="63">
        <v>3.1600000000000003E-2</v>
      </c>
      <c r="U41" s="63">
        <v>3.1099999999999999E-2</v>
      </c>
      <c r="V41" s="63">
        <v>3.5700000000000003E-2</v>
      </c>
      <c r="W41" s="64">
        <v>3.32E-2</v>
      </c>
      <c r="X41" s="136"/>
      <c r="Y41" s="131"/>
      <c r="Z41" s="131"/>
      <c r="AA41" s="124" t="s">
        <v>123</v>
      </c>
      <c r="AC41" s="12"/>
    </row>
    <row r="42" spans="1:29" ht="23.1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3" t="s">
        <v>55</v>
      </c>
      <c r="L42" s="56">
        <v>9.1999999999999998E-3</v>
      </c>
      <c r="M42" s="56">
        <v>1.5800000000000002E-2</v>
      </c>
      <c r="N42" s="56">
        <v>1.7600000000000001E-2</v>
      </c>
      <c r="O42" s="56">
        <v>1.5800000000000002E-2</v>
      </c>
      <c r="P42" s="56">
        <v>8.6E-3</v>
      </c>
      <c r="Q42" s="56">
        <v>1.2699999999999999E-2</v>
      </c>
      <c r="R42" s="56">
        <v>1.3299999999999999E-2</v>
      </c>
      <c r="S42" s="56">
        <v>1.3899999999999999E-2</v>
      </c>
      <c r="T42" s="56">
        <v>1.7000000000000001E-2</v>
      </c>
      <c r="U42" s="56"/>
      <c r="V42" s="56"/>
      <c r="W42" s="60"/>
      <c r="X42" s="136"/>
      <c r="Y42" s="131"/>
      <c r="Z42" s="131"/>
      <c r="AA42" s="126"/>
    </row>
    <row r="43" spans="1:29">
      <c r="A43" s="144" t="s">
        <v>26</v>
      </c>
      <c r="B43" s="91" t="s">
        <v>125</v>
      </c>
      <c r="C43" s="92" t="s">
        <v>91</v>
      </c>
      <c r="D43" s="90" t="s">
        <v>126</v>
      </c>
      <c r="E43" s="108" t="s">
        <v>93</v>
      </c>
      <c r="F43" s="108" t="s">
        <v>93</v>
      </c>
      <c r="G43" s="108" t="s">
        <v>93</v>
      </c>
      <c r="H43" s="111" t="s">
        <v>32</v>
      </c>
      <c r="I43" s="108" t="s">
        <v>33</v>
      </c>
      <c r="J43" s="120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30" t="s">
        <v>127</v>
      </c>
      <c r="Y43" s="132" t="s">
        <v>128</v>
      </c>
      <c r="Z43" s="133"/>
      <c r="AA43" s="134" t="s">
        <v>129</v>
      </c>
    </row>
    <row r="44" spans="1:29">
      <c r="A44" s="144"/>
      <c r="B44" s="91"/>
      <c r="C44" s="92"/>
      <c r="D44" s="90"/>
      <c r="E44" s="108"/>
      <c r="F44" s="108"/>
      <c r="G44" s="108"/>
      <c r="H44" s="111"/>
      <c r="I44" s="158"/>
      <c r="J44" s="120"/>
      <c r="K44" s="23" t="s">
        <v>55</v>
      </c>
      <c r="L44" s="22" t="s">
        <v>94</v>
      </c>
      <c r="M44" s="22" t="s">
        <v>94</v>
      </c>
      <c r="N44" s="17">
        <v>4.2000000000000003E-2</v>
      </c>
      <c r="O44" s="22" t="s">
        <v>94</v>
      </c>
      <c r="P44" s="22" t="s">
        <v>94</v>
      </c>
      <c r="Q44" s="17">
        <v>0.04</v>
      </c>
      <c r="R44" s="22" t="s">
        <v>94</v>
      </c>
      <c r="S44" s="22" t="s">
        <v>94</v>
      </c>
      <c r="T44" s="56"/>
      <c r="U44" s="22" t="s">
        <v>94</v>
      </c>
      <c r="V44" s="22" t="s">
        <v>94</v>
      </c>
      <c r="W44" s="56"/>
      <c r="X44" s="130"/>
      <c r="Y44" s="132"/>
      <c r="Z44" s="133"/>
      <c r="AA44" s="134"/>
    </row>
    <row r="45" spans="1:29">
      <c r="A45" s="144"/>
      <c r="B45" s="91" t="s">
        <v>130</v>
      </c>
      <c r="C45" s="92" t="s">
        <v>91</v>
      </c>
      <c r="D45" s="90" t="s">
        <v>131</v>
      </c>
      <c r="E45" s="108" t="s">
        <v>93</v>
      </c>
      <c r="F45" s="108" t="s">
        <v>93</v>
      </c>
      <c r="G45" s="108" t="s">
        <v>93</v>
      </c>
      <c r="H45" s="111" t="s">
        <v>32</v>
      </c>
      <c r="I45" s="108" t="s">
        <v>33</v>
      </c>
      <c r="J45" s="127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>
        <v>0.4</v>
      </c>
      <c r="T45" s="36">
        <v>0.4</v>
      </c>
      <c r="U45" s="36"/>
      <c r="V45" s="36"/>
      <c r="W45" s="39"/>
      <c r="X45" s="130"/>
      <c r="Y45" s="132" t="s">
        <v>132</v>
      </c>
      <c r="Z45" s="135">
        <v>46188</v>
      </c>
      <c r="AA45" s="126" t="s">
        <v>130</v>
      </c>
    </row>
    <row r="46" spans="1:29" ht="16.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9"/>
      <c r="X46" s="130"/>
      <c r="Y46" s="133"/>
      <c r="Z46" s="133"/>
      <c r="AA46" s="126"/>
    </row>
    <row r="47" spans="1:29">
      <c r="A47" s="144"/>
      <c r="B47" s="91" t="s">
        <v>133</v>
      </c>
      <c r="C47" s="92" t="s">
        <v>88</v>
      </c>
      <c r="D47" s="90" t="s">
        <v>134</v>
      </c>
      <c r="E47" s="108" t="s">
        <v>93</v>
      </c>
      <c r="F47" s="108" t="s">
        <v>93</v>
      </c>
      <c r="G47" s="108" t="s">
        <v>93</v>
      </c>
      <c r="H47" s="111" t="s">
        <v>32</v>
      </c>
      <c r="I47" s="108" t="s">
        <v>80</v>
      </c>
      <c r="J47" s="127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30"/>
      <c r="Y47" s="133"/>
      <c r="Z47" s="133"/>
      <c r="AA47" s="90" t="s">
        <v>135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7"/>
      <c r="X48" s="130"/>
      <c r="Y48" s="133"/>
      <c r="Z48" s="133"/>
      <c r="AA48" s="90"/>
    </row>
    <row r="49" spans="1:27">
      <c r="A49" s="143" t="s">
        <v>136</v>
      </c>
      <c r="B49" s="150" t="s">
        <v>137</v>
      </c>
      <c r="C49" s="92" t="s">
        <v>69</v>
      </c>
      <c r="D49" s="90" t="s">
        <v>138</v>
      </c>
      <c r="E49" s="108">
        <v>74</v>
      </c>
      <c r="F49" s="108" t="s">
        <v>93</v>
      </c>
      <c r="G49" s="108" t="s">
        <v>93</v>
      </c>
      <c r="H49" s="111" t="s">
        <v>32</v>
      </c>
      <c r="I49" s="108" t="s">
        <v>33</v>
      </c>
      <c r="J49" s="107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30"/>
      <c r="Y49" s="132"/>
      <c r="Z49" s="133"/>
      <c r="AA49" s="126" t="s">
        <v>139</v>
      </c>
    </row>
    <row r="50" spans="1:27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5"/>
      <c r="X50" s="130"/>
      <c r="Y50" s="132"/>
      <c r="Z50" s="133"/>
      <c r="AA50" s="126"/>
    </row>
    <row r="51" spans="1:27">
      <c r="A51" s="144" t="s">
        <v>25</v>
      </c>
      <c r="B51" s="91" t="s">
        <v>140</v>
      </c>
      <c r="C51" s="92" t="s">
        <v>74</v>
      </c>
      <c r="D51" s="90" t="s">
        <v>141</v>
      </c>
      <c r="E51" s="108">
        <v>33.1</v>
      </c>
      <c r="F51" s="108" t="s">
        <v>93</v>
      </c>
      <c r="G51" s="108" t="s">
        <v>93</v>
      </c>
      <c r="H51" s="111" t="s">
        <v>32</v>
      </c>
      <c r="I51" s="108" t="s">
        <v>33</v>
      </c>
      <c r="J51" s="107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8">
        <v>0.33082830926903184</v>
      </c>
      <c r="U51" s="36"/>
      <c r="V51" s="36"/>
      <c r="W51" s="39"/>
      <c r="X51" s="130"/>
      <c r="Y51" s="133"/>
      <c r="Z51" s="133"/>
      <c r="AA51" s="93" t="s">
        <v>142</v>
      </c>
    </row>
    <row r="52" spans="1:27" ht="15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8">
        <v>0.36849551470072495</v>
      </c>
      <c r="R52" s="78">
        <v>0.35573521911109235</v>
      </c>
      <c r="S52" s="78">
        <v>0.36691053201149237</v>
      </c>
      <c r="T52" s="78">
        <v>0.36899999999999999</v>
      </c>
      <c r="U52" s="30"/>
      <c r="V52" s="30"/>
      <c r="W52" s="31"/>
      <c r="X52" s="130"/>
      <c r="Y52" s="133"/>
      <c r="Z52" s="133"/>
      <c r="AA52" s="9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81" stopIfTrue="1">
      <formula>AND(OR($H26="Higher the better", $H26="Higher the Better"), L27&gt;=L26)</formula>
    </cfRule>
    <cfRule type="expression" dxfId="65" priority="80">
      <formula>AND(OR($H26="Higher the better", $H26="Higher the Better"), L27&lt;L26)</formula>
    </cfRule>
    <cfRule type="expression" dxfId="64" priority="79">
      <formula>AND(OR($H26="Lower the better", $H26="Lower the Better"), L27&lt;=L26)</formula>
    </cfRule>
    <cfRule type="expression" dxfId="63" priority="78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9">
      <formula xml:space="preserve"> AND(OR($H6="Higher the better", $H6="Higher the Better"), L7&gt;= L6)</formula>
    </cfRule>
    <cfRule type="expression" dxfId="61" priority="74">
      <formula>AND(OR($H6="Lower the better", $H6="Lower the better"), L7&gt; L6)</formula>
    </cfRule>
    <cfRule type="expression" dxfId="60" priority="247">
      <formula>AND(OR($H6="Lower the better", $H6= "Lower the Better"), L7 &lt;= L6)</formula>
    </cfRule>
    <cfRule type="expression" dxfId="59" priority="248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7">
      <formula>AND(OR($H45="Higher the better", $H45="Higher the Better"), L46&lt;L45)</formula>
    </cfRule>
    <cfRule type="expression" dxfId="54" priority="175">
      <formula>AND(OR($H45="Lower the better", $H45="Lower the Better"), L46&gt;L45)</formula>
    </cfRule>
    <cfRule type="expression" dxfId="53" priority="176">
      <formula>AND(OR($H45="Lower the better", $H45="Lower the Better"), L46&lt;=L45)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expression" dxfId="51" priority="107">
      <formula>AND(OR($H51="Higher the better", $H51="Higher the Better"), L52&lt;L51)</formula>
    </cfRule>
    <cfRule type="expression" dxfId="50" priority="106">
      <formula>AND(OR($H51="Lower the better", $H51="Lower the Better"), L52&lt;=L51)</formula>
    </cfRule>
    <cfRule type="containsBlanks" dxfId="49" priority="104">
      <formula>LEN(TRIM(L52))=0</formula>
    </cfRule>
    <cfRule type="expression" dxfId="48" priority="105">
      <formula>AND(OR($H51="Lower the better", $H51="Lower the Better"), L52&gt;L51)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expression" dxfId="46" priority="71" stopIfTrue="1">
      <formula>AND(OR($H24="Higher the better", $H24="Higher the Better"), L25&gt;=L24)</formula>
    </cfRule>
    <cfRule type="expression" dxfId="45" priority="70">
      <formula>AND(OR($H24="Higher the better", $H24="Higher the Better"), L25&lt;L24)</formula>
    </cfRule>
    <cfRule type="expression" dxfId="44" priority="68">
      <formula>AND(OR($H24="Lower the better", $H24="Lower the Better"), L25&gt;L24)</formula>
    </cfRule>
    <cfRule type="containsBlanks" dxfId="43" priority="67">
      <formula>LEN(TRIM(L25))=0</formula>
    </cfRule>
    <cfRule type="expression" dxfId="42" priority="69">
      <formula>AND(OR($H24="Lower the better", $H24="Lower the Better"), L25&lt;=L24)</formula>
    </cfRule>
  </conditionalFormatting>
  <conditionalFormatting sqref="N25">
    <cfRule type="expression" dxfId="41" priority="18">
      <formula>AND(OR($H24="Lower the better", $H24="Lower the Better"), N25&lt;=N24)</formula>
    </cfRule>
    <cfRule type="expression" dxfId="40" priority="17">
      <formula>AND(OR($H24="Lower the better", $H24="Lower the Better"), N25&gt;N24)</formula>
    </cfRule>
    <cfRule type="containsBlanks" dxfId="39" priority="16">
      <formula>LEN(TRIM(N25))=0</formula>
    </cfRule>
    <cfRule type="expression" dxfId="38" priority="25" stopIfTrue="1">
      <formula>AND(OR($H24="Higher the better", $H24="Higher the Better"), N25&gt;=N24)</formula>
    </cfRule>
    <cfRule type="expression" dxfId="37" priority="22">
      <formula>AND(OR($H24="Lower the better", $H24="Lower the Better"), N25&gt;N24)</formula>
    </cfRule>
    <cfRule type="expression" dxfId="36" priority="24">
      <formula>AND(OR($H24="Higher the better", $H24="Higher the Better"), N25&lt;N24)</formula>
    </cfRule>
    <cfRule type="containsBlanks" dxfId="35" priority="21">
      <formula>LEN(TRIM(N25))=0</formula>
    </cfRule>
    <cfRule type="expression" dxfId="34" priority="20" stopIfTrue="1">
      <formula>AND(OR($H24="Higher the better", $H24="Higher the Better"), N25&gt;=N24)</formula>
    </cfRule>
    <cfRule type="expression" dxfId="33" priority="23">
      <formula>AND(OR($H24="Lower the better", $H24="Lower the Better"), N25&lt;=N24)</formula>
    </cfRule>
    <cfRule type="expression" dxfId="32" priority="19">
      <formula>AND(OR($H24="Higher the better", $H24="Higher the Better"), N25&lt;N24)</formula>
    </cfRule>
  </conditionalFormatting>
  <conditionalFormatting sqref="N44">
    <cfRule type="expression" dxfId="31" priority="65">
      <formula>AND(OR($H43="Higher the better", $H43="Higher the Better"), N44&lt;N43)</formula>
    </cfRule>
    <cfRule type="expression" dxfId="30" priority="66" stopIfTrue="1">
      <formula>AND(OR($H43="Higher the better", $H43="Higher the Better"), N44&gt;=N43)</formula>
    </cfRule>
    <cfRule type="containsBlanks" dxfId="29" priority="62">
      <formula>LEN(TRIM(N44))=0</formula>
    </cfRule>
    <cfRule type="expression" dxfId="28" priority="63">
      <formula>AND(OR($H43="Lower the better", $H43="Lower the Better"), N44&gt;N43)</formula>
    </cfRule>
    <cfRule type="expression" dxfId="27" priority="64">
      <formula>AND(OR($H43="Lower the better", $H43="Lower the Better"), N44&lt;=N43)</formula>
    </cfRule>
  </conditionalFormatting>
  <conditionalFormatting sqref="Q25">
    <cfRule type="expression" dxfId="26" priority="30" stopIfTrue="1">
      <formula>AND(OR($H24="Higher the better", $H24="Higher the Better"), Q25&gt;=Q24)</formula>
    </cfRule>
    <cfRule type="expression" dxfId="25" priority="29">
      <formula>AND(OR($H24="Higher the better", $H24="Higher the Better"), Q25&lt;Q24)</formula>
    </cfRule>
    <cfRule type="expression" dxfId="24" priority="28">
      <formula>AND(OR($H24="Lower the better", $H24="Lower the Better"), Q25&lt;=Q24)</formula>
    </cfRule>
    <cfRule type="expression" dxfId="23" priority="27">
      <formula>AND(OR($H24="Lower the better", $H24="Lower the Better"), Q25&gt;Q24)</formula>
    </cfRule>
    <cfRule type="containsBlanks" dxfId="22" priority="26">
      <formula>LEN(TRIM(Q25))=0</formula>
    </cfRule>
  </conditionalFormatting>
  <conditionalFormatting sqref="Q37">
    <cfRule type="expression" dxfId="21" priority="10">
      <formula xml:space="preserve"> AND(OR($H36="Higher the better", $H36="Higher the Better"), Q37&gt;= Q36)</formula>
    </cfRule>
    <cfRule type="expression" dxfId="20" priority="9">
      <formula>AND(OR($H36="Higher the better", $H36="Higher the Better"), Q37 &lt; Q36)</formula>
    </cfRule>
    <cfRule type="expression" dxfId="19" priority="8">
      <formula>AND(OR($H36="Lower the better", $H36= "Lower the Better"), Q37 &lt;= Q36)</formula>
    </cfRule>
    <cfRule type="expression" dxfId="18" priority="6">
      <formula>AND(OR($H36="Lower the better", $H36="Lower the better"), Q37&gt; Q36)</formula>
    </cfRule>
    <cfRule type="containsBlanks" dxfId="17" priority="7">
      <formula>LEN(TRIM(Q37))=0</formula>
    </cfRule>
  </conditionalFormatting>
  <conditionalFormatting sqref="Q44">
    <cfRule type="expression" dxfId="16" priority="15" stopIfTrue="1">
      <formula>AND(OR($H43="Higher the better", $H43="Higher the Better"), Q44&gt;=Q43)</formula>
    </cfRule>
    <cfRule type="expression" dxfId="15" priority="14">
      <formula>AND(OR($H43="Higher the better", $H43="Higher the Better"), Q44&lt;Q43)</formula>
    </cfRule>
    <cfRule type="expression" dxfId="14" priority="13">
      <formula>AND(OR($H43="Lower the better", $H43="Lower the Better"), Q44&lt;=Q43)</formula>
    </cfRule>
    <cfRule type="expression" dxfId="13" priority="12">
      <formula>AND(OR($H43="Lower the better", $H43="Lower the Better"), Q44&gt;Q43)</formula>
    </cfRule>
    <cfRule type="containsBlanks" dxfId="12" priority="11">
      <formula>LEN(TRIM(Q44))=0</formula>
    </cfRule>
  </conditionalFormatting>
  <conditionalFormatting sqref="T44">
    <cfRule type="expression" dxfId="11" priority="56" stopIfTrue="1">
      <formula>AND(OR($H43="Higher the better", $H43="Higher the Better"), T44&gt;=T43)</formula>
    </cfRule>
    <cfRule type="expression" dxfId="10" priority="55">
      <formula>AND(OR($H43="Higher the better", $H43="Higher the Better"), T44&lt;T43)</formula>
    </cfRule>
    <cfRule type="expression" dxfId="9" priority="54">
      <formula>AND(OR($H43="Lower the better", $H43="Lower the Better"), T44&lt;=T43)</formula>
    </cfRule>
    <cfRule type="expression" dxfId="8" priority="53">
      <formula>AND(OR($H43="Lower the better", $H43="Lower the Better"), T44&gt;T43)</formula>
    </cfRule>
    <cfRule type="containsBlanks" dxfId="7" priority="52">
      <formula>LEN(TRIM(T44))=0</formula>
    </cfRule>
  </conditionalFormatting>
  <conditionalFormatting sqref="W44">
    <cfRule type="expression" dxfId="6" priority="48">
      <formula>AND(OR($H43="Lower the better", $H43="Lower the Better"), W44&gt;W43)</formula>
    </cfRule>
    <cfRule type="containsBlanks" dxfId="5" priority="47">
      <formula>LEN(TRIM(W44))=0</formula>
    </cfRule>
    <cfRule type="expression" dxfId="4" priority="51" stopIfTrue="1">
      <formula>AND(OR($H43="Higher the better", $H43="Higher the Better"), W44&gt;=W43)</formula>
    </cfRule>
    <cfRule type="expression" dxfId="3" priority="50">
      <formula>AND(OR($H43="Higher the better", $H43="Higher the Better"), W44&lt;W43)</formula>
    </cfRule>
    <cfRule type="expression" dxfId="2" priority="49">
      <formula>AND(OR($H43="Lower the better", $H43="Lower the Better"), W44&lt;=W43)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disablePrompts="1"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e40374fb-a6cc-4854-989f-c1d94a7967ee" ContentTypeId="0x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94BB51-7951-4F88-97F3-C0EC6D9471D8}"/>
</file>

<file path=customXml/itemProps2.xml><?xml version="1.0" encoding="utf-8"?>
<ds:datastoreItem xmlns:ds="http://schemas.openxmlformats.org/officeDocument/2006/customXml" ds:itemID="{00689E59-8A26-4E67-9A3E-2052C2F0E5F2}"/>
</file>

<file path=customXml/itemProps3.xml><?xml version="1.0" encoding="utf-8"?>
<ds:datastoreItem xmlns:ds="http://schemas.openxmlformats.org/officeDocument/2006/customXml" ds:itemID="{B59988E5-FE96-444B-A770-A47DB401478A}"/>
</file>

<file path=customXml/itemProps4.xml><?xml version="1.0" encoding="utf-8"?>
<ds:datastoreItem xmlns:ds="http://schemas.openxmlformats.org/officeDocument/2006/customXml" ds:itemID="{4496F7DA-3E04-4F13-B9D0-FE26D9FB8ABD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Patankar, Mini</cp:lastModifiedBy>
  <cp:revision/>
  <dcterms:created xsi:type="dcterms:W3CDTF">2026-01-28T08:54:22Z</dcterms:created>
  <dcterms:modified xsi:type="dcterms:W3CDTF">2026-10-13T04:33:53Z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