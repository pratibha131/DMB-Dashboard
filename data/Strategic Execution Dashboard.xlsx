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10" documentId="8_{9B9C04DA-ABE2-4E9B-9FCF-AA5C7C703189}" xr6:coauthVersionLast="47" xr6:coauthVersionMax="47" xr10:uidLastSave="{8B9C3698-7C23-4896-8953-ED430E711542}"/>
  <bookViews>
    <workbookView xWindow="-110" yWindow="-110" windowWidth="19420" windowHeight="10300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<sst xmlns="http://schemas.openxmlformats.org/spreadsheetml/2006/main" count="493" uniqueCount="142">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</sst>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mmm/yyyy"/>
    <numFmt numFmtId="166" formatCode="0.0%"/>
    <numFmt numFmtId="167" formatCode="0.0"/>
    <numFmt numFmtId="168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5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6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6" fontId="8" fillId="7" borderId="11" xfId="1" applyNumberFormat="1" applyFont="1" applyFill="1" applyBorder="1" applyAlignment="1">
      <alignment horizontal="center" vertical="center"/>
    </xf>
    <xf numFmtId="167" fontId="8" fillId="7" borderId="1" xfId="1" applyNumberFormat="1" applyFont="1" applyFill="1" applyBorder="1" applyAlignment="1">
      <alignment horizontal="center" vertical="center"/>
    </xf>
    <xf numFmtId="167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6" fontId="9" fillId="15" borderId="1" xfId="1" applyNumberFormat="1" applyFont="1" applyFill="1" applyBorder="1" applyAlignment="1">
      <alignment horizontal="center" vertical="center"/>
    </xf>
    <xf numFmtId="166" fontId="9" fillId="14" borderId="1" xfId="1" applyNumberFormat="1" applyFont="1" applyFill="1" applyBorder="1" applyAlignment="1">
      <alignment horizontal="center" vertical="center"/>
    </xf>
    <xf numFmtId="167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left" vertical="center" readingOrder="1"/>
    </xf>
    <xf numFmtId="168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6" fontId="0" fillId="0" borderId="0" xfId="0" applyNumberFormat="1"/>
    <xf numFmtId="9" fontId="0" fillId="0" borderId="0" xfId="0" applyNumberFormat="1"/>
    <xf numFmtId="9" fontId="0" fillId="0" borderId="0" xfId="1" applyFont="1"/>
    <xf numFmtId="166" fontId="0" fillId="0" borderId="0" xfId="1" applyNumberFormat="1" applyFont="1"/>
    <xf numFmtId="10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166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center" vertical="center"/>
    </xf>
    <xf numFmtId="168" fontId="9" fillId="0" borderId="1" xfId="4" applyNumberFormat="1" applyFont="1" applyBorder="1" applyAlignment="1">
      <alignment horizontal="center" vertical="center"/>
    </xf>
    <xf numFmtId="166" fontId="8" fillId="7" borderId="9" xfId="1" applyNumberFormat="1" applyFont="1" applyFill="1" applyBorder="1" applyAlignment="1">
      <alignment horizontal="center" vertical="center"/>
    </xf>
    <xf numFmtId="166" fontId="9" fillId="0" borderId="2" xfId="1" applyNumberFormat="1" applyFont="1" applyBorder="1" applyAlignment="1">
      <alignment horizontal="center" vertical="center"/>
    </xf>
    <xf numFmtId="167" fontId="9" fillId="0" borderId="7" xfId="1" applyNumberFormat="1" applyFont="1" applyBorder="1" applyAlignment="1">
      <alignment horizontal="center" vertical="center"/>
    </xf>
    <xf numFmtId="167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164" fontId="9" fillId="0" borderId="1" xfId="4" applyFont="1" applyBorder="1" applyAlignment="1">
      <alignment horizontal="center" vertical="center"/>
    </xf>
    <xf numFmtId="164" fontId="9" fillId="0" borderId="2" xfId="4" applyFont="1" applyBorder="1" applyAlignment="1">
      <alignment horizontal="center" vertical="center"/>
    </xf>
    <xf numFmtId="10" fontId="0" fillId="0" borderId="0" xfId="0" applyNumberFormat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quotePrefix="1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B1" activePane="topRight" state="frozen"/>
      <selection pane="topRight" activeCell="A5" sqref="A5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 t="str">
        <f>IF('AOP Critical'!S8="","",'AOP Critical'!S8)</f>
        <v/>
      </c>
      <c r="S7" s="69" t="str">
        <f>IF('AOP Critical'!T8="","",'AOP Critical'!T8)</f>
        <v/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/>
      </c>
      <c r="T51" s="70" t="str">
        <f>IF('AOP Critical'!U24="","",'AOP Critical'!U24)</f>
        <v>QTR</v>
      </c>
      <c r="U51" s="70" t="str">
        <f>IF('AOP Critical'!V24="","",'AOP Critical'!V24)</f>
        <v>QTR</v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/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topLeftCell="Y1" zoomScale="90" zoomScaleNormal="90" workbookViewId="0">
      <pane ySplit="5" topLeftCell="A39" activePane="bottomLeft" state="frozen"/>
      <selection pane="bottomLeft" activeCell="T41" sqref="T41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89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64" t="s">
        <v>5</v>
      </c>
      <c r="F5" s="164"/>
      <c r="G5" s="164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20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18"/>
      <c r="T8" s="18"/>
      <c r="U8" s="18"/>
      <c r="V8" s="18"/>
      <c r="W8" s="27"/>
      <c r="X8" s="111"/>
      <c r="Y8" s="130"/>
      <c r="Z8" s="115"/>
      <c r="AA8" s="117" t="s">
        <v>58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111"/>
      <c r="Y9" s="131"/>
      <c r="Z9" s="116"/>
      <c r="AA9" s="118"/>
    </row>
    <row r="10" spans="1:27" x14ac:dyDescent="0.35">
      <c r="A10" s="92"/>
      <c r="B10" s="125" t="s">
        <v>59</v>
      </c>
      <c r="C10" s="137" t="s">
        <v>49</v>
      </c>
      <c r="D10" s="105" t="s">
        <v>60</v>
      </c>
      <c r="E10" s="104">
        <v>1</v>
      </c>
      <c r="F10" s="104"/>
      <c r="G10" s="104"/>
      <c r="H10" s="103" t="s">
        <v>51</v>
      </c>
      <c r="I10" s="104" t="s">
        <v>61</v>
      </c>
      <c r="J10" s="106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/>
      <c r="U10" s="8"/>
      <c r="V10" s="8"/>
      <c r="W10" s="33"/>
      <c r="X10" s="111"/>
      <c r="Y10" s="119"/>
      <c r="Z10" s="165"/>
      <c r="AA10" s="117" t="s">
        <v>62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63</v>
      </c>
      <c r="C12" s="123" t="s">
        <v>64</v>
      </c>
      <c r="D12" s="105" t="s">
        <v>65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111"/>
      <c r="Y12" s="130"/>
      <c r="Z12" s="131"/>
      <c r="AA12" s="117" t="s">
        <v>66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111"/>
      <c r="Y13" s="131"/>
      <c r="Z13" s="131"/>
      <c r="AA13" s="118"/>
    </row>
    <row r="14" spans="1:27" x14ac:dyDescent="0.35">
      <c r="A14" s="92"/>
      <c r="B14" s="123" t="s">
        <v>67</v>
      </c>
      <c r="C14" s="124" t="s">
        <v>68</v>
      </c>
      <c r="D14" s="105" t="s">
        <v>69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29" t="s">
        <v>141</v>
      </c>
      <c r="Y14" s="96" t="s">
        <v>140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111"/>
      <c r="Y15" s="101"/>
      <c r="Z15" s="101"/>
      <c r="AA15" s="128"/>
    </row>
    <row r="16" spans="1:27" x14ac:dyDescent="0.35">
      <c r="A16" s="92" t="s">
        <v>25</v>
      </c>
      <c r="B16" s="123" t="s">
        <v>70</v>
      </c>
      <c r="C16" s="123" t="s">
        <v>71</v>
      </c>
      <c r="D16" s="105" t="s">
        <v>72</v>
      </c>
      <c r="E16" s="104" t="s">
        <v>73</v>
      </c>
      <c r="F16" s="104"/>
      <c r="G16" s="104"/>
      <c r="H16" s="103" t="s">
        <v>32</v>
      </c>
      <c r="I16" s="104" t="s">
        <v>33</v>
      </c>
      <c r="J16" s="106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111"/>
      <c r="Y16" s="130"/>
      <c r="Z16" s="116"/>
      <c r="AA16" s="117" t="s">
        <v>74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111"/>
      <c r="Y17" s="131"/>
      <c r="Z17" s="116"/>
      <c r="AA17" s="118"/>
    </row>
    <row r="18" spans="1:27" x14ac:dyDescent="0.35">
      <c r="A18" s="92"/>
      <c r="B18" s="123" t="s">
        <v>75</v>
      </c>
      <c r="C18" s="123" t="s">
        <v>71</v>
      </c>
      <c r="D18" s="123" t="s">
        <v>76</v>
      </c>
      <c r="E18" s="104" t="s">
        <v>73</v>
      </c>
      <c r="F18" s="104"/>
      <c r="G18" s="104"/>
      <c r="H18" s="103" t="s">
        <v>32</v>
      </c>
      <c r="I18" s="104" t="s">
        <v>77</v>
      </c>
      <c r="J18" s="106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35" t="s">
        <v>133</v>
      </c>
      <c r="Y18" s="135"/>
      <c r="Z18" s="132">
        <v>46108</v>
      </c>
      <c r="AA18" s="134"/>
    </row>
    <row r="19" spans="1:27" ht="18.5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2" t="s">
        <v>55</v>
      </c>
      <c r="L19" s="87">
        <v>0.2598381666666667</v>
      </c>
      <c r="M19" s="87">
        <v>0.3838381666666667</v>
      </c>
      <c r="N19" s="87">
        <v>1.1128381666666667</v>
      </c>
      <c r="O19" s="87">
        <v>1.3223861666666668</v>
      </c>
      <c r="P19" s="87">
        <v>1.6513861666666667</v>
      </c>
      <c r="Q19" s="87">
        <v>2.1303861666666668</v>
      </c>
      <c r="R19" s="88">
        <v>2.6433861666666667</v>
      </c>
      <c r="S19" s="88">
        <v>3.3972231666666666</v>
      </c>
      <c r="T19" s="88">
        <v>4.5205241666666662</v>
      </c>
      <c r="U19" s="46"/>
      <c r="V19" s="46"/>
      <c r="W19" s="48"/>
      <c r="X19" s="135"/>
      <c r="Y19" s="135"/>
      <c r="Z19" s="133"/>
      <c r="AA19" s="134"/>
    </row>
    <row r="20" spans="1:27" ht="24" customHeight="1" x14ac:dyDescent="0.35">
      <c r="A20" s="92"/>
      <c r="B20" s="123" t="s">
        <v>78</v>
      </c>
      <c r="C20" s="123" t="s">
        <v>64</v>
      </c>
      <c r="D20" s="105" t="s">
        <v>79</v>
      </c>
      <c r="E20" s="104" t="s">
        <v>73</v>
      </c>
      <c r="F20" s="104"/>
      <c r="G20" s="104"/>
      <c r="H20" s="103" t="s">
        <v>51</v>
      </c>
      <c r="I20" s="104" t="s">
        <v>33</v>
      </c>
      <c r="J20" s="106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7" t="s">
        <v>139</v>
      </c>
      <c r="Y20" s="169" t="s">
        <v>138</v>
      </c>
      <c r="Z20" s="95"/>
      <c r="AA20" s="153" t="s">
        <v>80</v>
      </c>
    </row>
    <row r="21" spans="1:27" ht="32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8"/>
      <c r="Y21" s="170"/>
      <c r="Z21" s="94"/>
      <c r="AA21" s="153"/>
    </row>
    <row r="22" spans="1:27" ht="16" customHeight="1" x14ac:dyDescent="0.35">
      <c r="A22" s="92" t="s">
        <v>26</v>
      </c>
      <c r="B22" s="123" t="s">
        <v>81</v>
      </c>
      <c r="C22" s="124" t="s">
        <v>82</v>
      </c>
      <c r="D22" s="123" t="s">
        <v>83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71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2" t="s">
        <v>55</v>
      </c>
      <c r="L23" s="54">
        <v>0.81</v>
      </c>
      <c r="M23" s="54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29">
        <v>0.88</v>
      </c>
      <c r="S23" s="29">
        <v>0.94</v>
      </c>
      <c r="T23" s="29">
        <v>0.94</v>
      </c>
      <c r="U23" s="29"/>
      <c r="V23" s="29"/>
      <c r="W23" s="30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84</v>
      </c>
      <c r="C24" s="124" t="s">
        <v>85</v>
      </c>
      <c r="D24" s="105" t="s">
        <v>86</v>
      </c>
      <c r="E24" s="104" t="s">
        <v>87</v>
      </c>
      <c r="F24" s="104" t="s">
        <v>87</v>
      </c>
      <c r="G24" s="104" t="s">
        <v>87</v>
      </c>
      <c r="H24" s="103" t="s">
        <v>32</v>
      </c>
      <c r="I24" s="104" t="s">
        <v>33</v>
      </c>
      <c r="J24" s="102" t="s">
        <v>34</v>
      </c>
      <c r="K24" s="22" t="s">
        <v>53</v>
      </c>
      <c r="L24" s="35"/>
      <c r="M24" s="35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35"/>
      <c r="U24" s="21" t="s">
        <v>88</v>
      </c>
      <c r="V24" s="21" t="s">
        <v>88</v>
      </c>
      <c r="W24" s="38"/>
      <c r="X24" s="109"/>
      <c r="Y24" s="100"/>
      <c r="Z24" s="94"/>
      <c r="AA24" s="117" t="s">
        <v>89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2" t="s">
        <v>55</v>
      </c>
      <c r="L25" s="21" t="s">
        <v>88</v>
      </c>
      <c r="M25" s="21" t="s">
        <v>88</v>
      </c>
      <c r="N25" s="50">
        <v>0.115</v>
      </c>
      <c r="O25" s="21" t="s">
        <v>88</v>
      </c>
      <c r="P25" s="21" t="s">
        <v>88</v>
      </c>
      <c r="Q25" s="17">
        <v>0.121</v>
      </c>
      <c r="R25" s="21" t="s">
        <v>88</v>
      </c>
      <c r="S25" s="21" t="s">
        <v>88</v>
      </c>
      <c r="T25" s="55"/>
      <c r="U25" s="21" t="s">
        <v>88</v>
      </c>
      <c r="V25" s="21" t="s">
        <v>88</v>
      </c>
      <c r="W25" s="55"/>
      <c r="X25" s="110"/>
      <c r="Y25" s="101"/>
      <c r="Z25" s="95"/>
      <c r="AA25" s="118"/>
    </row>
    <row r="26" spans="1:27" ht="14.5" customHeight="1" x14ac:dyDescent="0.35">
      <c r="A26" s="91"/>
      <c r="B26" s="125" t="s">
        <v>90</v>
      </c>
      <c r="C26" s="126" t="s">
        <v>85</v>
      </c>
      <c r="D26" s="105" t="s">
        <v>91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2" t="s">
        <v>53</v>
      </c>
      <c r="L26" s="35">
        <v>0.34</v>
      </c>
      <c r="M26" s="35">
        <v>0.34</v>
      </c>
      <c r="N26" s="35">
        <v>0.34</v>
      </c>
      <c r="O26" s="35">
        <v>0.34</v>
      </c>
      <c r="P26" s="35">
        <v>0.34</v>
      </c>
      <c r="Q26" s="35">
        <v>0.34</v>
      </c>
      <c r="R26" s="35">
        <v>0.34</v>
      </c>
      <c r="S26" s="24">
        <v>0.34</v>
      </c>
      <c r="T26" s="24">
        <v>0.34</v>
      </c>
      <c r="U26" s="24"/>
      <c r="V26" s="24"/>
      <c r="W26" s="25"/>
      <c r="X26" s="111"/>
      <c r="Y26" s="131"/>
      <c r="Z26" s="116"/>
      <c r="AA26" s="117" t="s">
        <v>92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111"/>
      <c r="Y27" s="131"/>
      <c r="Z27" s="116"/>
      <c r="AA27" s="118"/>
    </row>
    <row r="28" spans="1:27" ht="14.5" customHeight="1" x14ac:dyDescent="0.35">
      <c r="A28" s="91"/>
      <c r="B28" s="105" t="s">
        <v>93</v>
      </c>
      <c r="C28" s="123" t="s">
        <v>71</v>
      </c>
      <c r="D28" s="105" t="s">
        <v>94</v>
      </c>
      <c r="E28" s="104" t="s">
        <v>73</v>
      </c>
      <c r="F28" s="104"/>
      <c r="G28" s="104"/>
      <c r="H28" s="103" t="s">
        <v>32</v>
      </c>
      <c r="I28" s="104" t="s">
        <v>33</v>
      </c>
      <c r="J28" s="106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59" t="s">
        <v>134</v>
      </c>
      <c r="Y28" s="96"/>
      <c r="Z28" s="94"/>
      <c r="AA28" s="154" t="s">
        <v>95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71</v>
      </c>
      <c r="D30" s="105" t="s">
        <v>96</v>
      </c>
      <c r="E30" s="104" t="s">
        <v>73</v>
      </c>
      <c r="F30" s="104"/>
      <c r="G30" s="104"/>
      <c r="H30" s="103" t="s">
        <v>32</v>
      </c>
      <c r="I30" s="104" t="s">
        <v>33</v>
      </c>
      <c r="J30" s="106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60"/>
      <c r="Y31" s="101"/>
      <c r="Z31" s="95"/>
      <c r="AA31" s="108"/>
    </row>
    <row r="32" spans="1:27" ht="14.5" customHeight="1" x14ac:dyDescent="0.35">
      <c r="A32" s="91"/>
      <c r="B32" s="123" t="s">
        <v>97</v>
      </c>
      <c r="C32" s="124" t="s">
        <v>64</v>
      </c>
      <c r="D32" s="105" t="s">
        <v>98</v>
      </c>
      <c r="E32" s="104" t="s">
        <v>73</v>
      </c>
      <c r="F32" s="104"/>
      <c r="G32" s="104"/>
      <c r="H32" s="103" t="s">
        <v>32</v>
      </c>
      <c r="I32" s="104" t="s">
        <v>77</v>
      </c>
      <c r="J32" s="106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98" t="s">
        <v>135</v>
      </c>
      <c r="Y32" s="96" t="s">
        <v>137</v>
      </c>
      <c r="Z32" s="94"/>
      <c r="AA32" s="117" t="s">
        <v>99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82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111"/>
      <c r="Y34" s="131" t="s">
        <v>136</v>
      </c>
      <c r="Z34" s="116"/>
      <c r="AA34" s="117" t="s">
        <v>100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101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111" t="s">
        <v>102</v>
      </c>
      <c r="Y36" s="130" t="s">
        <v>103</v>
      </c>
      <c r="Z36" s="116"/>
      <c r="AA36" s="117" t="s">
        <v>104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56"/>
      <c r="U37" s="56"/>
      <c r="V37" s="56"/>
      <c r="W37" s="57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106</v>
      </c>
      <c r="B39" s="149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113</v>
      </c>
      <c r="C41" s="152" t="s">
        <v>49</v>
      </c>
      <c r="D41" s="143" t="s">
        <v>114</v>
      </c>
      <c r="E41" s="121" t="s">
        <v>87</v>
      </c>
      <c r="F41" s="121" t="s">
        <v>87</v>
      </c>
      <c r="G41" s="121" t="s">
        <v>87</v>
      </c>
      <c r="H41" s="122" t="s">
        <v>51</v>
      </c>
      <c r="I41" s="121" t="s">
        <v>33</v>
      </c>
      <c r="J41" s="138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58"/>
      <c r="Y41" s="128"/>
      <c r="Z41" s="128"/>
      <c r="AA41" s="118" t="s">
        <v>113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115</v>
      </c>
      <c r="C43" s="137" t="s">
        <v>85</v>
      </c>
      <c r="D43" s="105" t="s">
        <v>116</v>
      </c>
      <c r="E43" s="104" t="s">
        <v>87</v>
      </c>
      <c r="F43" s="104" t="s">
        <v>87</v>
      </c>
      <c r="G43" s="104" t="s">
        <v>87</v>
      </c>
      <c r="H43" s="103" t="s">
        <v>32</v>
      </c>
      <c r="I43" s="104" t="s">
        <v>33</v>
      </c>
      <c r="J43" s="102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46" t="s">
        <v>117</v>
      </c>
      <c r="Y43" s="141" t="s">
        <v>118</v>
      </c>
      <c r="Z43" s="140"/>
      <c r="AA43" s="156" t="s">
        <v>119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46"/>
      <c r="Y44" s="141"/>
      <c r="Z44" s="140"/>
      <c r="AA44" s="156"/>
    </row>
    <row r="45" spans="1:29" x14ac:dyDescent="0.35">
      <c r="A45" s="136"/>
      <c r="B45" s="125" t="s">
        <v>120</v>
      </c>
      <c r="C45" s="137" t="s">
        <v>85</v>
      </c>
      <c r="D45" s="105" t="s">
        <v>121</v>
      </c>
      <c r="E45" s="104" t="s">
        <v>87</v>
      </c>
      <c r="F45" s="104" t="s">
        <v>87</v>
      </c>
      <c r="G45" s="104" t="s">
        <v>87</v>
      </c>
      <c r="H45" s="103" t="s">
        <v>32</v>
      </c>
      <c r="I45" s="104" t="s">
        <v>33</v>
      </c>
      <c r="J45" s="139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46"/>
      <c r="Y45" s="141" t="s">
        <v>122</v>
      </c>
      <c r="Z45" s="157">
        <v>46188</v>
      </c>
      <c r="AA45" s="145" t="s">
        <v>120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46"/>
      <c r="Y46" s="140"/>
      <c r="Z46" s="140"/>
      <c r="AA46" s="145"/>
    </row>
    <row r="47" spans="1:29" x14ac:dyDescent="0.35">
      <c r="A47" s="136"/>
      <c r="B47" s="125" t="s">
        <v>123</v>
      </c>
      <c r="C47" s="137" t="s">
        <v>82</v>
      </c>
      <c r="D47" s="105" t="s">
        <v>124</v>
      </c>
      <c r="E47" s="104" t="s">
        <v>87</v>
      </c>
      <c r="F47" s="104" t="s">
        <v>87</v>
      </c>
      <c r="G47" s="104" t="s">
        <v>87</v>
      </c>
      <c r="H47" s="103" t="s">
        <v>32</v>
      </c>
      <c r="I47" s="104" t="s">
        <v>77</v>
      </c>
      <c r="J47" s="139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46"/>
      <c r="Y47" s="140"/>
      <c r="Z47" s="140"/>
      <c r="AA47" s="105" t="s">
        <v>125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46"/>
      <c r="Y48" s="140"/>
      <c r="Z48" s="140"/>
      <c r="AA48" s="105"/>
    </row>
    <row r="49" spans="1:27" x14ac:dyDescent="0.35">
      <c r="A49" s="90" t="s">
        <v>126</v>
      </c>
      <c r="B49" s="142" t="s">
        <v>127</v>
      </c>
      <c r="C49" s="137" t="s">
        <v>68</v>
      </c>
      <c r="D49" s="105" t="s">
        <v>128</v>
      </c>
      <c r="E49" s="104">
        <v>74</v>
      </c>
      <c r="F49" s="104" t="s">
        <v>87</v>
      </c>
      <c r="G49" s="104" t="s">
        <v>87</v>
      </c>
      <c r="H49" s="103" t="s">
        <v>32</v>
      </c>
      <c r="I49" s="104" t="s">
        <v>33</v>
      </c>
      <c r="J49" s="106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46"/>
      <c r="Y49" s="141"/>
      <c r="Z49" s="140"/>
      <c r="AA49" s="145" t="s">
        <v>129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130</v>
      </c>
      <c r="C51" s="137" t="s">
        <v>71</v>
      </c>
      <c r="D51" s="105" t="s">
        <v>131</v>
      </c>
      <c r="E51" s="104">
        <v>33.1</v>
      </c>
      <c r="F51" s="104" t="s">
        <v>87</v>
      </c>
      <c r="G51" s="104" t="s">
        <v>87</v>
      </c>
      <c r="H51" s="103" t="s">
        <v>32</v>
      </c>
      <c r="I51" s="104" t="s">
        <v>33</v>
      </c>
      <c r="J51" s="106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46"/>
      <c r="Y51" s="140"/>
      <c r="Z51" s="140"/>
      <c r="AA51" s="123" t="s">
        <v>132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81" stopIfTrue="1">
      <formula>AND(OR($H26="Higher the better", $H26="Higher the Better"), L27&gt;=L26)</formula>
    </cfRule>
    <cfRule type="expression" dxfId="65" priority="80">
      <formula>AND(OR($H26="Higher the better", $H26="Higher the Better"), L27&lt;L26)</formula>
    </cfRule>
    <cfRule type="expression" dxfId="64" priority="79">
      <formula>AND(OR($H26="Lower the better", $H26="Lower the Better"), L27&lt;=L26)</formula>
    </cfRule>
    <cfRule type="expression" dxfId="63" priority="78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9">
      <formula xml:space="preserve"> AND(OR($H6="Higher the better", $H6="Higher the Better"), L7&gt;= L6)</formula>
    </cfRule>
    <cfRule type="expression" dxfId="61" priority="74">
      <formula>AND(OR($H6="Lower the better", $H6="Lower the better"), L7&gt; L6)</formula>
    </cfRule>
    <cfRule type="expression" dxfId="60" priority="247">
      <formula>AND(OR($H6="Lower the better", $H6= "Lower the Better"), L7 &lt;= L6)</formula>
    </cfRule>
    <cfRule type="expression" dxfId="59" priority="248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7">
      <formula>AND(OR($H45="Higher the better", $H45="Higher the Better"), L46&lt;L45)</formula>
    </cfRule>
    <cfRule type="expression" dxfId="54" priority="175">
      <formula>AND(OR($H45="Lower the better", $H45="Lower the Better"), L46&gt;L45)</formula>
    </cfRule>
    <cfRule type="expression" dxfId="53" priority="176">
      <formula>AND(OR($H45="Lower the better", $H45="Lower the Better"), L46&lt;=L45)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expression" dxfId="51" priority="107">
      <formula>AND(OR($H51="Higher the better", $H51="Higher the Better"), L52&lt;L51)</formula>
    </cfRule>
    <cfRule type="expression" dxfId="50" priority="106">
      <formula>AND(OR($H51="Lower the better", $H51="Lower the Better"), L52&lt;=L51)</formula>
    </cfRule>
    <cfRule type="containsBlanks" dxfId="49" priority="104">
      <formula>LEN(TRIM(L52))=0</formula>
    </cfRule>
    <cfRule type="expression" dxfId="48" priority="105">
      <formula>AND(OR($H51="Lower the better", $H51="Lower the Better"), L52&gt;L51)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expression" dxfId="46" priority="71" stopIfTrue="1">
      <formula>AND(OR($H24="Higher the better", $H24="Higher the Better"), L25&gt;=L24)</formula>
    </cfRule>
    <cfRule type="expression" dxfId="45" priority="70">
      <formula>AND(OR($H24="Higher the better", $H24="Higher the Better"), L25&lt;L24)</formula>
    </cfRule>
    <cfRule type="expression" dxfId="44" priority="68">
      <formula>AND(OR($H24="Lower the better", $H24="Lower the Better"), L25&gt;L24)</formula>
    </cfRule>
    <cfRule type="containsBlanks" dxfId="43" priority="67">
      <formula>LEN(TRIM(L25))=0</formula>
    </cfRule>
    <cfRule type="expression" dxfId="42" priority="69">
      <formula>AND(OR($H24="Lower the better", $H24="Lower the Better"), L25&lt;=L24)</formula>
    </cfRule>
  </conditionalFormatting>
  <conditionalFormatting sqref="N25">
    <cfRule type="expression" dxfId="41" priority="18">
      <formula>AND(OR($H24="Lower the better", $H24="Lower the Better"), N25&lt;=N24)</formula>
    </cfRule>
    <cfRule type="expression" dxfId="40" priority="17">
      <formula>AND(OR($H24="Lower the better", $H24="Lower the Better"), N25&gt;N24)</formula>
    </cfRule>
    <cfRule type="containsBlanks" dxfId="39" priority="16">
      <formula>LEN(TRIM(N25))=0</formula>
    </cfRule>
    <cfRule type="expression" dxfId="38" priority="25" stopIfTrue="1">
      <formula>AND(OR($H24="Higher the better", $H24="Higher the Better"), N25&gt;=N24)</formula>
    </cfRule>
    <cfRule type="expression" dxfId="37" priority="22">
      <formula>AND(OR($H24="Lower the better", $H24="Lower the Better"), N25&gt;N24)</formula>
    </cfRule>
    <cfRule type="expression" dxfId="36" priority="24">
      <formula>AND(OR($H24="Higher the better", $H24="Higher the Better"), N25&lt;N24)</formula>
    </cfRule>
    <cfRule type="containsBlanks" dxfId="35" priority="21">
      <formula>LEN(TRIM(N25))=0</formula>
    </cfRule>
    <cfRule type="expression" dxfId="34" priority="20" stopIfTrue="1">
      <formula>AND(OR($H24="Higher the better", $H24="Higher the Better"), N25&gt;=N24)</formula>
    </cfRule>
    <cfRule type="expression" dxfId="33" priority="23">
      <formula>AND(OR($H24="Lower the better", $H24="Lower the Better"), N25&lt;=N24)</formula>
    </cfRule>
    <cfRule type="expression" dxfId="32" priority="19">
      <formula>AND(OR($H24="Higher the better", $H24="Higher the Better"), N25&lt;N24)</formula>
    </cfRule>
  </conditionalFormatting>
  <conditionalFormatting sqref="N44">
    <cfRule type="expression" dxfId="31" priority="65">
      <formula>AND(OR($H43="Higher the better", $H43="Higher the Better"), N44&lt;N43)</formula>
    </cfRule>
    <cfRule type="expression" dxfId="30" priority="66" stopIfTrue="1">
      <formula>AND(OR($H43="Higher the better", $H43="Higher the Better"), N44&gt;=N43)</formula>
    </cfRule>
    <cfRule type="containsBlanks" dxfId="29" priority="62">
      <formula>LEN(TRIM(N44))=0</formula>
    </cfRule>
    <cfRule type="expression" dxfId="28" priority="63">
      <formula>AND(OR($H43="Lower the better", $H43="Lower the Better"), N44&gt;N43)</formula>
    </cfRule>
    <cfRule type="expression" dxfId="27" priority="64">
      <formula>AND(OR($H43="Lower the better", $H43="Lower the Better"), N44&lt;=N43)</formula>
    </cfRule>
  </conditionalFormatting>
  <conditionalFormatting sqref="Q25">
    <cfRule type="expression" dxfId="26" priority="30" stopIfTrue="1">
      <formula>AND(OR($H24="Higher the better", $H24="Higher the Better"), Q25&gt;=Q24)</formula>
    </cfRule>
    <cfRule type="expression" dxfId="25" priority="29">
      <formula>AND(OR($H24="Higher the better", $H24="Higher the Better"), Q25&lt;Q24)</formula>
    </cfRule>
    <cfRule type="expression" dxfId="24" priority="28">
      <formula>AND(OR($H24="Lower the better", $H24="Lower the Better"), Q25&lt;=Q24)</formula>
    </cfRule>
    <cfRule type="expression" dxfId="23" priority="27">
      <formula>AND(OR($H24="Lower the better", $H24="Lower the Better"), Q25&gt;Q24)</formula>
    </cfRule>
    <cfRule type="containsBlanks" dxfId="22" priority="26">
      <formula>LEN(TRIM(Q25))=0</formula>
    </cfRule>
  </conditionalFormatting>
  <conditionalFormatting sqref="Q37">
    <cfRule type="expression" dxfId="21" priority="10">
      <formula xml:space="preserve"> AND(OR($H36="Higher the better", $H36="Higher the Better"), Q37&gt;= Q36)</formula>
    </cfRule>
    <cfRule type="expression" dxfId="20" priority="9">
      <formula>AND(OR($H36="Higher the better", $H36="Higher the Better"), Q37 &lt; Q36)</formula>
    </cfRule>
    <cfRule type="expression" dxfId="19" priority="8">
      <formula>AND(OR($H36="Lower the better", $H36= "Lower the Better"), Q37 &lt;= Q36)</formula>
    </cfRule>
    <cfRule type="expression" dxfId="18" priority="6">
      <formula>AND(OR($H36="Lower the better", $H36="Lower the better"), Q37&gt; Q36)</formula>
    </cfRule>
    <cfRule type="containsBlanks" dxfId="17" priority="7">
      <formula>LEN(TRIM(Q37))=0</formula>
    </cfRule>
  </conditionalFormatting>
  <conditionalFormatting sqref="Q44">
    <cfRule type="expression" dxfId="16" priority="15" stopIfTrue="1">
      <formula>AND(OR($H43="Higher the better", $H43="Higher the Better"), Q44&gt;=Q43)</formula>
    </cfRule>
    <cfRule type="expression" dxfId="15" priority="14">
      <formula>AND(OR($H43="Higher the better", $H43="Higher the Better"), Q44&lt;Q43)</formula>
    </cfRule>
    <cfRule type="expression" dxfId="14" priority="13">
      <formula>AND(OR($H43="Lower the better", $H43="Lower the Better"), Q44&lt;=Q43)</formula>
    </cfRule>
    <cfRule type="expression" dxfId="13" priority="12">
      <formula>AND(OR($H43="Lower the better", $H43="Lower the Better"), Q44&gt;Q43)</formula>
    </cfRule>
    <cfRule type="containsBlanks" dxfId="12" priority="11">
      <formula>LEN(TRIM(Q44))=0</formula>
    </cfRule>
  </conditionalFormatting>
  <conditionalFormatting sqref="T44">
    <cfRule type="expression" dxfId="11" priority="56" stopIfTrue="1">
      <formula>AND(OR($H43="Higher the better", $H43="Higher the Better"), T44&gt;=T43)</formula>
    </cfRule>
    <cfRule type="expression" dxfId="10" priority="55">
      <formula>AND(OR($H43="Higher the better", $H43="Higher the Better"), T44&lt;T43)</formula>
    </cfRule>
    <cfRule type="expression" dxfId="9" priority="54">
      <formula>AND(OR($H43="Lower the better", $H43="Lower the Better"), T44&lt;=T43)</formula>
    </cfRule>
    <cfRule type="expression" dxfId="8" priority="53">
      <formula>AND(OR($H43="Lower the better", $H43="Lower the Better"), T44&gt;T43)</formula>
    </cfRule>
    <cfRule type="containsBlanks" dxfId="7" priority="52">
      <formula>LEN(TRIM(T44))=0</formula>
    </cfRule>
  </conditionalFormatting>
  <conditionalFormatting sqref="W44">
    <cfRule type="expression" dxfId="6" priority="48">
      <formula>AND(OR($H43="Lower the better", $H43="Lower the Better"), W44&gt;W43)</formula>
    </cfRule>
    <cfRule type="containsBlanks" dxfId="5" priority="47">
      <formula>LEN(TRIM(W44))=0</formula>
    </cfRule>
    <cfRule type="expression" dxfId="4" priority="51" stopIfTrue="1">
      <formula>AND(OR($H43="Higher the better", $H43="Higher the Better"), W44&gt;=W43)</formula>
    </cfRule>
    <cfRule type="expression" dxfId="3" priority="50">
      <formula>AND(OR($H43="Higher the better", $H43="Higher the Better"), W44&lt;W43)</formula>
    </cfRule>
    <cfRule type="expression" dxfId="2" priority="49">
      <formula>AND(OR($H43="Lower the better", $H43="Lower the Better"), W44&lt;=W43)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3F9F019C-2529-47D7-9C19-168692A0A5B3}"/>
</file>

<file path=customXml/itemProps4.xml><?xml version="1.0" encoding="utf-8"?>
<ds:datastoreItem xmlns:ds="http://schemas.openxmlformats.org/officeDocument/2006/customXml" ds:itemID="{7094BB51-7951-4F88-97F3-C0EC6D9471D8}">
  <ds:schemaRefs>
    <ds:schemaRef ds:uri="f5a961e1-edc1-4f62-8655-e8a46ef79e5c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68108f69-118e-4385-83b3-00743b1bf54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Sonavane, Neena Sandeep</cp:lastModifiedBy>
  <cp:revision/>
  <dcterms:created xsi:type="dcterms:W3CDTF">2026-01-28T08:54:22Z</dcterms:created>
  <dcterms:modified xsi:type="dcterms:W3CDTF">2026-10-14T05:48:14Z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