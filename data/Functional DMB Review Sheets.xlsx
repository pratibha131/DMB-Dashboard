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5.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comments/comment3.xml" ContentType="application/vnd.openxmlformats-officedocument.spreadsheetml.comments+xml"/>
  <Override PartName="/xl/worksheets/sheet8.xml" ContentType="application/vnd.openxmlformats-officedocument.spreadsheetml.worksheet+xml"/>
  <Override PartName="/xl/drawings/drawing7.xml" ContentType="application/vnd.openxmlformats-officedocument.drawing+xml"/>
  <Override PartName="/xl/comments/comment4.xml" ContentType="application/vnd.openxmlformats-officedocument.spreadsheetml.comments+xml"/>
  <Override PartName="/xl/worksheets/sheet9.xml" ContentType="application/vnd.openxmlformats-officedocument.spreadsheetml.worksheet+xml"/>
  <Override PartName="/xl/drawings/drawing8.xml" ContentType="application/vnd.openxmlformats-officedocument.drawing+xml"/>
  <Override PartName="/xl/comments/comment5.xml" ContentType="application/vnd.openxmlformats-officedocument.spreadsheetml.comments+xml"/>
  <Override PartName="/xl/worksheets/sheet10.xml" ContentType="application/vnd.openxmlformats-officedocument.spreadsheetml.worksheet+xml"/>
  <Override PartName="/xl/drawings/drawing9.xml" ContentType="application/vnd.openxmlformats-officedocument.drawing+xml"/>
  <Override PartName="/xl/comments/comment6.xml" ContentType="application/vnd.openxmlformats-officedocument.spreadsheetml.comments+xml"/>
  <Override PartName="/xl/worksheets/sheet11.xml" ContentType="application/vnd.openxmlformats-officedocument.spreadsheetml.worksheet+xml"/>
  <Override PartName="/xl/drawings/drawing10.xml" ContentType="application/vnd.openxmlformats-officedocument.drawing+xml"/>
  <Override PartName="/xl/comments/comment7.xml" ContentType="application/vnd.openxmlformats-officedocument.spreadsheetml.comments+xml"/>
  <Override PartName="/xl/worksheets/sheet12.xml" ContentType="application/vnd.openxmlformats-officedocument.spreadsheetml.worksheet+xml"/>
  <Override PartName="/xl/drawings/drawing11.xml" ContentType="application/vnd.openxmlformats-officedocument.drawing+xml"/>
  <Override PartName="/xl/comments/comment8.xml" ContentType="application/vnd.openxmlformats-officedocument.spreadsheetml.comments+xml"/>
  <Override PartName="/xl/worksheets/sheet13.xml" ContentType="application/vnd.openxmlformats-officedocument.spreadsheetml.worksheet+xml"/>
  <Override PartName="/xl/drawings/drawing12.xml" ContentType="application/vnd.openxmlformats-officedocument.drawing+xml"/>
  <Override PartName="/xl/comments/comment9.xml" ContentType="application/vnd.openxmlformats-officedocument.spreadsheetml.comments+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9090" yWindow="-110" windowWidth="19420" windowHeight="10300" tabRatio="635" firstSheet="7" activeTab="2" autoFilterDateGrouping="1"/>
  </bookViews>
  <sheets>
    <sheet xmlns:r="http://schemas.openxmlformats.org/officeDocument/2006/relationships" name="MPR Review" sheetId="1" state="hidden" r:id="rId1"/>
    <sheet xmlns:r="http://schemas.openxmlformats.org/officeDocument/2006/relationships" name="MasterSheet" sheetId="2" state="hidden" r:id="rId2"/>
    <sheet xmlns:r="http://schemas.openxmlformats.org/officeDocument/2006/relationships" name="1.Quality" sheetId="3" state="visible" r:id="rId3"/>
    <sheet xmlns:r="http://schemas.openxmlformats.org/officeDocument/2006/relationships" name="2.Regulatory" sheetId="4" state="visible" r:id="rId4"/>
    <sheet xmlns:r="http://schemas.openxmlformats.org/officeDocument/2006/relationships" name="3.ISC " sheetId="5" state="visible" r:id="rId5"/>
    <sheet xmlns:r="http://schemas.openxmlformats.org/officeDocument/2006/relationships" name="4.Procurement" sheetId="6" state="visible" r:id="rId6"/>
    <sheet xmlns:r="http://schemas.openxmlformats.org/officeDocument/2006/relationships" name="5.R&amp;D " sheetId="7" state="visible" r:id="rId7"/>
    <sheet xmlns:r="http://schemas.openxmlformats.org/officeDocument/2006/relationships" name="6. Marketing" sheetId="8" state="visible" r:id="rId8"/>
    <sheet xmlns:r="http://schemas.openxmlformats.org/officeDocument/2006/relationships" name="Marketing June" sheetId="9" state="hidden" r:id="rId9"/>
    <sheet xmlns:r="http://schemas.openxmlformats.org/officeDocument/2006/relationships" name="7.Customer Service" sheetId="10" state="visible" r:id="rId10"/>
    <sheet xmlns:r="http://schemas.openxmlformats.org/officeDocument/2006/relationships" name="8.Commercial Excellence" sheetId="11" state="visible" r:id="rId11"/>
    <sheet xmlns:r="http://schemas.openxmlformats.org/officeDocument/2006/relationships" name="9.NAR " sheetId="12" state="visible" r:id="rId12"/>
    <sheet xmlns:r="http://schemas.openxmlformats.org/officeDocument/2006/relationships" name="10.EUROPE " sheetId="13" state="visible" r:id="rId13"/>
    <sheet xmlns:r="http://schemas.openxmlformats.org/officeDocument/2006/relationships" name="11.GROWTH " sheetId="14" state="visible" r:id="rId14"/>
    <sheet xmlns:r="http://schemas.openxmlformats.org/officeDocument/2006/relationships" name="12.FINANCE" sheetId="15" state="visible" r:id="rId15"/>
    <sheet xmlns:r="http://schemas.openxmlformats.org/officeDocument/2006/relationships" name="Sheet1 (2)" sheetId="16" state="hidden" r:id="rId16"/>
  </sheets>
  <externalReferences>
    <externalReference xmlns:r="http://schemas.openxmlformats.org/officeDocument/2006/relationships" r:id="rId17"/>
  </externalReferences>
  <definedNames>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 name="_xlnm._FilterDatabase" localSheetId="9" hidden="1">'7.Customer Service'!$A$88:$F$88</definedName>
  </definedNames>
  <calcPr calcId="191028" fullCalcOnLoad="1"/>
</workbook>
</file>

<file path=xl/styles.xml><?xml version="1.0" encoding="utf-8"?>
<styleSheet xmlns="http://schemas.openxmlformats.org/spreadsheetml/2006/main">
  <numFmts count="8">
    <numFmt numFmtId="164" formatCode="mmm/yyyy"/>
    <numFmt numFmtId="165" formatCode="0.0"/>
    <numFmt numFmtId="166" formatCode="0.000"/>
    <numFmt numFmtId="167" formatCode="0.0%"/>
    <numFmt numFmtId="168" formatCode="0.0000"/>
    <numFmt numFmtId="169" formatCode="0.000_);\(0.000\)"/>
    <numFmt numFmtId="170" formatCode="_ * #,##0.00_ ;_ * \-#,##0.00_ ;_ * &quot;-&quot;??_ ;_ @_ "/>
    <numFmt numFmtId="171" formatCode="_ &quot;₹&quot;\ * #,##0.00_ ;_ &quot;₹&quot;\ * \-#,##0.00_ ;_ &quot;₹&quot;\ * &quot;-&quot;??_ ;_ @_ "/>
  </numFmts>
  <fonts count="65">
    <font>
      <name val="Aptos Narrow"/>
      <family val="2"/>
      <color theme="1"/>
      <sz val="11"/>
      <scheme val="minor"/>
    </font>
    <font>
      <name val="Aptos Narrow"/>
      <family val="2"/>
      <color theme="1"/>
      <sz val="11"/>
      <scheme val="minor"/>
    </font>
    <font>
      <name val="Aptos Narrow"/>
      <family val="2"/>
      <b val="1"/>
      <color theme="0"/>
      <sz val="9"/>
      <scheme val="minor"/>
    </font>
    <font>
      <name val="Aptos Narrow"/>
      <family val="2"/>
      <color theme="1"/>
      <sz val="9"/>
      <scheme val="minor"/>
    </font>
    <font>
      <name val="Aptos Narrow"/>
      <family val="2"/>
      <b val="1"/>
      <color theme="1"/>
      <sz val="9"/>
      <scheme val="minor"/>
    </font>
    <font>
      <name val="Aptos Narrow"/>
      <family val="2"/>
      <b val="1"/>
      <color theme="1"/>
      <sz val="14"/>
      <scheme val="minor"/>
    </font>
    <font>
      <name val="Aptos Narrow"/>
      <family val="2"/>
      <b val="1"/>
      <color theme="0"/>
      <sz val="16"/>
      <scheme val="minor"/>
    </font>
    <font>
      <name val="Arial"/>
      <family val="2"/>
      <sz val="12"/>
    </font>
    <font>
      <name val="Arial"/>
      <family val="2"/>
      <sz val="10"/>
    </font>
    <font>
      <name val="Aptos Narrow"/>
      <family val="2"/>
      <b val="1"/>
      <color theme="1"/>
      <sz val="11"/>
      <scheme val="minor"/>
    </font>
    <font>
      <name val="Aptos Narrow"/>
      <family val="2"/>
      <b val="1"/>
      <color theme="1"/>
      <sz val="10"/>
      <scheme val="minor"/>
    </font>
    <font>
      <name val="Aptos Narrow"/>
      <family val="2"/>
      <b val="1"/>
      <color theme="0"/>
      <sz val="11"/>
      <scheme val="minor"/>
    </font>
    <font>
      <name val="Aptos Narrow"/>
      <family val="2"/>
      <color theme="1"/>
      <sz val="10"/>
      <scheme val="minor"/>
    </font>
    <font>
      <name val="Aptos Narrow"/>
      <family val="2"/>
      <b val="1"/>
      <color theme="0"/>
      <sz val="14"/>
      <scheme val="minor"/>
    </font>
    <font>
      <name val="Aptos Narrow"/>
      <family val="2"/>
      <b val="1"/>
      <i val="1"/>
      <color theme="0"/>
      <sz val="16"/>
      <scheme val="minor"/>
    </font>
    <font>
      <name val="Aptos Narrow"/>
      <family val="2"/>
      <sz val="14"/>
      <scheme val="minor"/>
    </font>
    <font>
      <name val="Aptos Narrow"/>
      <family val="2"/>
      <color rgb="FF000000"/>
      <sz val="10"/>
      <scheme val="minor"/>
    </font>
    <font>
      <name val="Calibri"/>
      <charset val="1"/>
      <family val="2"/>
      <b val="1"/>
      <color theme="0"/>
      <sz val="9"/>
    </font>
    <font>
      <name val="Aptos Narrow"/>
      <family val="2"/>
      <sz val="10"/>
      <scheme val="minor"/>
    </font>
    <font>
      <name val="Aptos Narrow"/>
      <family val="2"/>
      <color theme="0"/>
      <sz val="11"/>
      <scheme val="minor"/>
    </font>
    <font>
      <name val="Aptos Narrow"/>
      <family val="2"/>
      <b val="1"/>
      <color theme="0"/>
      <sz val="12"/>
      <scheme val="minor"/>
    </font>
    <font>
      <name val="Arial"/>
      <family val="2"/>
      <color indexed="8"/>
      <sz val="12"/>
    </font>
    <font>
      <name val="Aptos Narrow"/>
      <family val="2"/>
      <b val="1"/>
      <sz val="10"/>
      <scheme val="minor"/>
    </font>
    <font>
      <name val="Aptos Narrow"/>
      <family val="2"/>
      <color rgb="FF000000"/>
      <sz val="11"/>
    </font>
    <font>
      <name val="Aptos Narrow"/>
      <family val="2"/>
      <color rgb="FF000000"/>
      <sz val="10"/>
    </font>
    <font>
      <name val="Aptos Narrow"/>
      <family val="2"/>
      <b val="1"/>
      <color rgb="FF000000"/>
      <sz val="10"/>
    </font>
    <font>
      <name val="Aptos Narrow"/>
      <family val="2"/>
      <b val="1"/>
      <color rgb="FFFFFFFF"/>
      <sz val="9"/>
    </font>
    <font>
      <name val="Aptos Narrow"/>
      <family val="2"/>
      <b val="1"/>
      <color rgb="FF000000"/>
      <sz val="10"/>
      <scheme val="minor"/>
    </font>
    <font>
      <name val="Aptos Narrow"/>
      <family val="2"/>
      <color theme="1"/>
      <sz val="10"/>
    </font>
    <font>
      <name val="Aptos Narrow"/>
      <family val="2"/>
      <sz val="8"/>
      <scheme val="minor"/>
    </font>
    <font>
      <name val="Aptos Narrow"/>
      <family val="2"/>
      <strike val="1"/>
      <color theme="1"/>
      <sz val="10"/>
      <scheme val="minor"/>
    </font>
    <font>
      <name val="Aptos Narrow"/>
      <family val="2"/>
      <color theme="0"/>
      <sz val="9"/>
      <scheme val="minor"/>
    </font>
    <font>
      <name val="Aptos Narrow"/>
      <family val="2"/>
      <b val="1"/>
      <color rgb="FF000000"/>
      <sz val="11"/>
    </font>
    <font>
      <name val="Aptos Narrow"/>
      <family val="2"/>
      <b val="1"/>
      <color rgb="FFFFFFFF"/>
      <sz val="16"/>
    </font>
    <font>
      <name val="Aptos Narrow"/>
      <family val="2"/>
      <b val="1"/>
      <color rgb="FF000000"/>
      <sz val="14"/>
    </font>
    <font>
      <name val="Aptos Narrow"/>
      <family val="2"/>
      <b val="1"/>
      <color rgb="FFFFFFFF"/>
      <sz val="11"/>
    </font>
    <font>
      <name val="Aptos Narrow"/>
      <family val="2"/>
      <b val="1"/>
      <i val="1"/>
      <color rgb="FFFFFFFF"/>
      <sz val="16"/>
    </font>
    <font>
      <name val="Aptos Narrow"/>
      <family val="2"/>
      <b val="1"/>
      <color rgb="FFFFFFFF"/>
      <sz val="14"/>
    </font>
    <font>
      <name val="Aptos Narrow"/>
      <family val="2"/>
      <sz val="14"/>
    </font>
    <font>
      <name val="Tahoma"/>
      <family val="2"/>
      <color indexed="81"/>
      <sz val="9"/>
    </font>
    <font>
      <name val="Tahoma"/>
      <family val="2"/>
      <b val="1"/>
      <color indexed="81"/>
      <sz val="9"/>
    </font>
    <font>
      <name val="Aptos Narrow"/>
      <family val="2"/>
      <color theme="0"/>
      <sz val="10"/>
      <scheme val="minor"/>
    </font>
    <font>
      <name val="Calibri"/>
      <family val="2"/>
      <color rgb="FF363636"/>
      <sz val="10"/>
    </font>
    <font>
      <name val="Aptos Narrow"/>
      <family val="2"/>
      <i val="1"/>
      <color rgb="FF000000"/>
      <sz val="10"/>
      <scheme val="minor"/>
    </font>
    <font>
      <name val="Aptos Narrow"/>
      <family val="2"/>
      <sz val="11"/>
      <scheme val="minor"/>
    </font>
    <font>
      <name val="Aptos Narrow"/>
      <family val="2"/>
      <i val="1"/>
      <color rgb="FFFF0000"/>
      <sz val="11"/>
      <scheme val="minor"/>
    </font>
    <font>
      <name val="Aptos Narrow"/>
      <family val="2"/>
      <strike val="1"/>
      <color rgb="FFFF0000"/>
      <sz val="10"/>
      <scheme val="minor"/>
    </font>
    <font>
      <name val="Aptos Narrow"/>
      <family val="2"/>
      <color rgb="FFFF0000"/>
      <sz val="10"/>
      <scheme val="minor"/>
    </font>
    <font>
      <name val="Calibri"/>
      <family val="2"/>
      <color rgb="FF000000"/>
      <sz val="11"/>
    </font>
    <font>
      <name val="Aptos Narrow"/>
      <family val="2"/>
      <strike val="1"/>
      <sz val="10"/>
      <scheme val="minor"/>
    </font>
    <font>
      <name val="Aptos Narrow"/>
      <family val="2"/>
      <color theme="1"/>
      <sz val="8"/>
      <scheme val="minor"/>
    </font>
    <font>
      <name val="Aptos Narrow"/>
      <family val="2"/>
      <strike val="1"/>
      <color theme="1"/>
      <sz val="8"/>
      <scheme val="minor"/>
    </font>
    <font>
      <name val="Aptos Narrow"/>
      <family val="2"/>
      <strike val="1"/>
      <color rgb="FF000000"/>
      <sz val="10"/>
      <scheme val="minor"/>
    </font>
    <font>
      <name val="Aptos Narrow"/>
      <family val="2"/>
      <color rgb="FFFF0000"/>
      <sz val="11"/>
      <scheme val="minor"/>
    </font>
    <font>
      <name val="Aptos Narrow"/>
      <family val="2"/>
      <color rgb="FFFF0000"/>
      <sz val="8"/>
      <scheme val="minor"/>
    </font>
    <font>
      <name val="Aptos Narrow"/>
      <family val="2"/>
      <b val="1"/>
      <i val="1"/>
      <color theme="1"/>
      <sz val="8"/>
      <u val="single"/>
      <scheme val="minor"/>
    </font>
    <font>
      <name val="Aptos Narrow"/>
      <family val="2"/>
      <color rgb="FFFF0000"/>
      <sz val="10"/>
      <u val="single"/>
      <scheme val="minor"/>
    </font>
    <font>
      <name val="Aptos Narrow"/>
      <family val="2"/>
      <strike val="1"/>
      <color rgb="FFFF0000"/>
      <sz val="10"/>
      <u val="single"/>
      <scheme val="minor"/>
    </font>
    <font>
      <name val="Aptos Narrow"/>
      <family val="2"/>
      <strike val="1"/>
      <color rgb="FF000000"/>
      <sz val="10"/>
      <u val="single"/>
      <scheme val="minor"/>
    </font>
    <font>
      <name val="Aptos Narrow"/>
      <family val="2"/>
      <color rgb="FF00B050"/>
      <sz val="10"/>
      <u val="single"/>
      <scheme val="minor"/>
    </font>
    <font>
      <name val="Aptos Narrow"/>
      <family val="2"/>
      <b val="1"/>
      <color rgb="FFFF0000"/>
      <sz val="10"/>
      <u val="single"/>
      <scheme val="minor"/>
    </font>
    <font>
      <name val="Aptos Narrow"/>
      <family val="2"/>
      <b val="1"/>
      <i val="1"/>
      <sz val="10"/>
      <u val="single"/>
      <scheme val="minor"/>
    </font>
    <font>
      <name val="Aptos Narrow"/>
      <family val="2"/>
      <b val="1"/>
      <i val="1"/>
      <color theme="1"/>
      <sz val="10"/>
      <u val="single"/>
      <scheme val="minor"/>
    </font>
    <font>
      <name val="Aptos Narrow"/>
      <family val="2"/>
      <color rgb="FF00B050"/>
      <sz val="10"/>
      <scheme val="minor"/>
    </font>
    <font>
      <name val="Aptos Narrow"/>
      <family val="2"/>
      <b val="1"/>
      <color theme="1" tint="0.0499893185216834"/>
      <sz val="9"/>
      <scheme val="minor"/>
    </font>
  </fonts>
  <fills count="38">
    <fill>
      <patternFill/>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2"/>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8"/>
        <bgColor indexed="64"/>
      </patternFill>
    </fill>
    <fill>
      <patternFill patternType="solid">
        <fgColor rgb="FF92D050"/>
        <bgColor indexed="64"/>
      </patternFill>
    </fill>
    <fill>
      <patternFill patternType="solid">
        <fgColor rgb="FFFACFA8"/>
        <bgColor indexed="64"/>
      </patternFill>
    </fill>
    <fill>
      <patternFill patternType="solid">
        <fgColor theme="2" tint="-0.09997863704336681"/>
        <bgColor indexed="64"/>
      </patternFill>
    </fill>
    <fill>
      <patternFill patternType="solid">
        <fgColor theme="6" tint="0.3999755851924192"/>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
        <bgColor indexed="64"/>
      </patternFill>
    </fill>
    <fill>
      <patternFill patternType="solid">
        <fgColor theme="4"/>
        <bgColor theme="4"/>
      </patternFill>
    </fill>
    <fill>
      <patternFill patternType="solid">
        <fgColor rgb="FFFFD13F"/>
        <bgColor indexed="64"/>
      </patternFill>
    </fill>
    <fill>
      <patternFill patternType="solid">
        <fgColor theme="5" tint="0.5999938962981048"/>
        <bgColor indexed="64"/>
      </patternFill>
    </fill>
    <fill>
      <patternFill patternType="solid">
        <fgColor rgb="FFFFC000"/>
        <bgColor indexed="64"/>
      </patternFill>
    </fill>
    <fill>
      <patternFill patternType="solid">
        <fgColor rgb="FF006600"/>
        <bgColor indexed="64"/>
      </patternFill>
    </fill>
  </fills>
  <borders count="9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
      <left style="thin">
        <color rgb="FF000000"/>
      </left>
      <right/>
      <top/>
      <bottom/>
      <diagonal/>
    </border>
    <border>
      <left style="thin">
        <color rgb="FF000000"/>
      </left>
      <right style="thin">
        <color rgb="FF000000"/>
      </right>
      <top/>
      <bottom/>
      <diagonal/>
    </border>
    <border>
      <left style="thin">
        <color indexed="64"/>
      </left>
      <right style="thin">
        <color indexed="64"/>
      </right>
      <top style="thin">
        <color rgb="FF000000"/>
      </top>
      <bottom style="thin">
        <color indexed="64"/>
      </bottom>
      <diagonal/>
    </border>
    <border>
      <left style="thin">
        <color rgb="FF000000"/>
      </left>
      <right/>
      <top/>
      <bottom style="thin">
        <color rgb="FF000000"/>
      </bottom>
      <diagonal/>
    </border>
    <border>
      <left style="thin">
        <color indexed="64"/>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thin">
        <color rgb="FF000000"/>
      </right>
      <top style="medium">
        <color indexed="64"/>
      </top>
      <bottom style="thin">
        <color indexed="64"/>
      </bottom>
      <diagonal/>
    </border>
    <border>
      <left/>
      <right style="thin">
        <color rgb="FF000000"/>
      </right>
      <top style="medium">
        <color indexed="64"/>
      </top>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diagonal/>
    </border>
    <border>
      <left style="medium">
        <color indexed="64"/>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12">
    <xf numFmtId="0" fontId="1" fillId="0" borderId="0"/>
    <xf numFmtId="9" fontId="1" fillId="0" borderId="0"/>
    <xf numFmtId="0" fontId="7" fillId="0" borderId="0"/>
    <xf numFmtId="0" fontId="8" fillId="0" borderId="0"/>
    <xf numFmtId="0" fontId="21" fillId="15" borderId="0"/>
    <xf numFmtId="170" fontId="1" fillId="0" borderId="0"/>
    <xf numFmtId="171" fontId="1" fillId="0" borderId="0"/>
    <xf numFmtId="0" fontId="1" fillId="0" borderId="0"/>
    <xf numFmtId="0" fontId="1" fillId="0" borderId="0"/>
    <xf numFmtId="0" fontId="1" fillId="0" borderId="0"/>
    <xf numFmtId="171" fontId="1" fillId="0" borderId="0"/>
    <xf numFmtId="44" fontId="1" fillId="0" borderId="0"/>
  </cellStyleXfs>
  <cellXfs count="795">
    <xf numFmtId="0" fontId="0" fillId="0" borderId="0" pivotButton="0" quotePrefix="0" xfId="0"/>
    <xf numFmtId="0" fontId="2" fillId="2" borderId="1" applyAlignment="1" pivotButton="0" quotePrefix="0" xfId="0">
      <alignment horizontal="center" vertical="center" wrapText="1"/>
    </xf>
    <xf numFmtId="0" fontId="4" fillId="3" borderId="3" applyAlignment="1" pivotButton="0" quotePrefix="0" xfId="0">
      <alignment horizontal="center" vertical="center" wrapText="1"/>
    </xf>
    <xf numFmtId="0" fontId="4" fillId="3" borderId="1" applyAlignment="1" pivotButton="0" quotePrefix="0" xfId="0">
      <alignment horizontal="center" vertical="center" wrapText="1"/>
    </xf>
    <xf numFmtId="9" fontId="2" fillId="4" borderId="3" applyAlignment="1" pivotButton="0" quotePrefix="0" xfId="1">
      <alignment horizontal="center" vertical="center"/>
    </xf>
    <xf numFmtId="9" fontId="4" fillId="0" borderId="1" applyAlignment="1" pivotButton="0" quotePrefix="0" xfId="1">
      <alignment horizontal="center" vertical="center"/>
    </xf>
    <xf numFmtId="2" fontId="2" fillId="4" borderId="3" applyAlignment="1" pivotButton="0" quotePrefix="0" xfId="0">
      <alignment horizontal="center" vertical="center"/>
    </xf>
    <xf numFmtId="2" fontId="4" fillId="0" borderId="1" applyAlignment="1" pivotButton="0" quotePrefix="0" xfId="0">
      <alignment horizontal="center" vertical="center"/>
    </xf>
    <xf numFmtId="0" fontId="3" fillId="3" borderId="2" applyAlignment="1" pivotButton="0" quotePrefix="0" xfId="0">
      <alignment horizontal="left" wrapText="1"/>
    </xf>
    <xf numFmtId="0" fontId="3" fillId="0" borderId="1" pivotButton="0" quotePrefix="0" xfId="0"/>
    <xf numFmtId="0" fontId="6" fillId="6" borderId="0" pivotButton="0" quotePrefix="0" xfId="0"/>
    <xf numFmtId="0" fontId="5" fillId="0" borderId="0" pivotButton="0" quotePrefix="0" xfId="0"/>
    <xf numFmtId="0" fontId="9" fillId="0" borderId="1" pivotButton="0" quotePrefix="0" xfId="0"/>
    <xf numFmtId="0" fontId="9" fillId="0" borderId="0" pivotButton="0" quotePrefix="0" xfId="0"/>
    <xf numFmtId="0" fontId="10" fillId="3" borderId="1" applyAlignment="1" pivotButton="0" quotePrefix="0" xfId="0">
      <alignment horizontal="center" vertical="center" wrapText="1"/>
    </xf>
    <xf numFmtId="0" fontId="12" fillId="0" borderId="0" applyAlignment="1" pivotButton="0" quotePrefix="0" xfId="0">
      <alignment horizontal="center" vertical="center"/>
    </xf>
    <xf numFmtId="0" fontId="11" fillId="8" borderId="14" applyAlignment="1" pivotButton="0" quotePrefix="0" xfId="0">
      <alignment horizontal="center" vertical="center"/>
    </xf>
    <xf numFmtId="0" fontId="11" fillId="8" borderId="3" applyAlignment="1" pivotButton="0" quotePrefix="0" xfId="0">
      <alignment horizontal="center" vertical="center"/>
    </xf>
    <xf numFmtId="0" fontId="11" fillId="8" borderId="10" applyAlignment="1" pivotButton="0" quotePrefix="0" xfId="0">
      <alignment horizontal="center" vertical="center" wrapText="1"/>
    </xf>
    <xf numFmtId="0" fontId="11" fillId="8" borderId="11" applyAlignment="1" pivotButton="0" quotePrefix="0" xfId="0">
      <alignment horizontal="center" vertical="center"/>
    </xf>
    <xf numFmtId="0" fontId="11" fillId="8" borderId="15" applyAlignment="1" pivotButton="0" quotePrefix="0" xfId="0">
      <alignment horizontal="center" vertical="center"/>
    </xf>
    <xf numFmtId="0" fontId="11" fillId="10" borderId="18" applyAlignment="1" pivotButton="0" quotePrefix="0" xfId="0">
      <alignment horizontal="center" vertical="center"/>
    </xf>
    <xf numFmtId="0" fontId="11" fillId="10" borderId="8" applyAlignment="1" pivotButton="0" quotePrefix="0" xfId="0">
      <alignment horizontal="center" vertical="center"/>
    </xf>
    <xf numFmtId="0" fontId="11" fillId="10" borderId="8" applyAlignment="1" pivotButton="0" quotePrefix="0" xfId="0">
      <alignment horizontal="center" vertical="center" wrapText="1"/>
    </xf>
    <xf numFmtId="0" fontId="11" fillId="10" borderId="9" applyAlignment="1" pivotButton="0" quotePrefix="0" xfId="0">
      <alignment horizontal="center" vertical="center" wrapText="1"/>
    </xf>
    <xf numFmtId="0" fontId="11" fillId="8" borderId="1" applyAlignment="1" pivotButton="0" quotePrefix="0" xfId="2">
      <alignment horizontal="center" vertical="center"/>
    </xf>
    <xf numFmtId="0" fontId="11" fillId="2" borderId="1" applyAlignment="1" pivotButton="0" quotePrefix="0" xfId="0">
      <alignment horizontal="center" vertical="center" wrapText="1"/>
    </xf>
    <xf numFmtId="0" fontId="12" fillId="5" borderId="4" applyAlignment="1" pivotButton="0" quotePrefix="0" xfId="0">
      <alignment horizontal="center"/>
    </xf>
    <xf numFmtId="0" fontId="0" fillId="0" borderId="0" applyAlignment="1" pivotButton="0" quotePrefix="0" xfId="0">
      <alignment horizontal="center"/>
    </xf>
    <xf numFmtId="164" fontId="11" fillId="2" borderId="1" applyAlignment="1" pivotButton="0" quotePrefix="0" xfId="0">
      <alignment horizontal="center" vertical="center" wrapText="1"/>
    </xf>
    <xf numFmtId="164" fontId="9" fillId="0" borderId="1" applyAlignment="1" pivotButton="0" quotePrefix="0" xfId="0">
      <alignment horizontal="left"/>
    </xf>
    <xf numFmtId="0" fontId="5" fillId="0" borderId="7" pivotButton="0" quotePrefix="0" xfId="0"/>
    <xf numFmtId="0" fontId="0" fillId="0" borderId="0" applyAlignment="1" pivotButton="0" quotePrefix="0" xfId="0">
      <alignment horizontal="center" wrapText="1"/>
    </xf>
    <xf numFmtId="0" fontId="0" fillId="0" borderId="0" applyAlignment="1" pivotButton="0" quotePrefix="0" xfId="0">
      <alignment wrapText="1"/>
    </xf>
    <xf numFmtId="0" fontId="0" fillId="0" borderId="11" applyAlignment="1" pivotButton="0" quotePrefix="0" xfId="0">
      <alignment horizontal="center"/>
    </xf>
    <xf numFmtId="0" fontId="0" fillId="0" borderId="7" applyAlignment="1" pivotButton="0" quotePrefix="0" xfId="0">
      <alignment horizontal="center"/>
    </xf>
    <xf numFmtId="0" fontId="11" fillId="10" borderId="15" applyAlignment="1" pivotButton="0" quotePrefix="0" xfId="0">
      <alignment horizontal="center" vertical="center" wrapText="1"/>
    </xf>
    <xf numFmtId="164" fontId="9" fillId="0" borderId="0" applyAlignment="1" pivotButton="0" quotePrefix="0" xfId="0">
      <alignment horizontal="left"/>
    </xf>
    <xf numFmtId="0" fontId="0" fillId="5" borderId="0" pivotButton="0" quotePrefix="0" xfId="0"/>
    <xf numFmtId="0" fontId="0" fillId="0" borderId="1" pivotButton="0" quotePrefix="0" xfId="0"/>
    <xf numFmtId="0" fontId="12" fillId="5" borderId="4" applyAlignment="1" pivotButton="0" quotePrefix="0" xfId="0">
      <alignment horizontal="center" wrapText="1"/>
    </xf>
    <xf numFmtId="0" fontId="12" fillId="5" borderId="1" applyAlignment="1" pivotButton="0" quotePrefix="0" xfId="0">
      <alignment horizontal="center"/>
    </xf>
    <xf numFmtId="9" fontId="12" fillId="5" borderId="1" applyAlignment="1" pivotButton="0" quotePrefix="0" xfId="0">
      <alignment horizontal="center"/>
    </xf>
    <xf numFmtId="1" fontId="0" fillId="0" borderId="0" pivotButton="0" quotePrefix="0" xfId="0"/>
    <xf numFmtId="0" fontId="2" fillId="4" borderId="3" applyAlignment="1" pivotButton="0" quotePrefix="0" xfId="1">
      <alignment horizontal="center" vertical="center"/>
    </xf>
    <xf numFmtId="0" fontId="4" fillId="0" borderId="1" applyAlignment="1" pivotButton="0" quotePrefix="0" xfId="1">
      <alignment horizontal="center" vertical="center"/>
    </xf>
    <xf numFmtId="0" fontId="12" fillId="5" borderId="2" applyAlignment="1" pivotButton="0" quotePrefix="0" xfId="0">
      <alignment horizontal="center" vertical="center"/>
    </xf>
    <xf numFmtId="1" fontId="2" fillId="4" borderId="3" applyAlignment="1" pivotButton="0" quotePrefix="0" xfId="1">
      <alignment horizontal="center" vertical="center"/>
    </xf>
    <xf numFmtId="165" fontId="2" fillId="4" borderId="3" applyAlignment="1" pivotButton="0" quotePrefix="0" xfId="1">
      <alignment horizontal="center" vertical="center"/>
    </xf>
    <xf numFmtId="0" fontId="12" fillId="5" borderId="8" applyAlignment="1" pivotButton="0" quotePrefix="0" xfId="0">
      <alignment horizontal="center" vertical="center"/>
    </xf>
    <xf numFmtId="0" fontId="17" fillId="4" borderId="25" applyAlignment="1" pivotButton="0" quotePrefix="0" xfId="0">
      <alignment horizontal="center"/>
    </xf>
    <xf numFmtId="10" fontId="2" fillId="4" borderId="3" applyAlignment="1" pivotButton="0" quotePrefix="0" xfId="1">
      <alignment horizontal="center" vertical="center"/>
    </xf>
    <xf numFmtId="0" fontId="0" fillId="0" borderId="0" applyAlignment="1" pivotButton="0" quotePrefix="0" xfId="0">
      <alignment horizontal="center" vertical="center"/>
    </xf>
    <xf numFmtId="0" fontId="0" fillId="0" borderId="0" applyAlignment="1" pivotButton="0" quotePrefix="0" xfId="0">
      <alignment vertical="center"/>
    </xf>
    <xf numFmtId="0" fontId="0" fillId="0" borderId="1" applyAlignment="1" pivotButton="0" quotePrefix="0" xfId="0">
      <alignment horizontal="center" vertical="center"/>
    </xf>
    <xf numFmtId="9" fontId="19" fillId="6" borderId="1" applyAlignment="1" pivotButton="0" quotePrefix="0" xfId="0">
      <alignment horizontal="center" vertical="center"/>
    </xf>
    <xf numFmtId="9" fontId="0" fillId="5" borderId="1" applyAlignment="1" pivotButton="0" quotePrefix="0" xfId="0">
      <alignment horizontal="center" vertical="center"/>
    </xf>
    <xf numFmtId="10" fontId="0" fillId="13" borderId="1" applyAlignment="1" pivotButton="0" quotePrefix="0" xfId="1">
      <alignment horizontal="center" vertical="center"/>
    </xf>
    <xf numFmtId="10" fontId="0" fillId="13" borderId="1" applyAlignment="1" pivotButton="0" quotePrefix="0" xfId="1">
      <alignment vertical="center"/>
    </xf>
    <xf numFmtId="0" fontId="0" fillId="0" borderId="40" applyAlignment="1" pivotButton="0" quotePrefix="0" xfId="0">
      <alignment horizontal="center" vertical="center"/>
    </xf>
    <xf numFmtId="10" fontId="0" fillId="0" borderId="40" applyAlignment="1" pivotButton="0" quotePrefix="0" xfId="1">
      <alignment horizontal="center" vertical="center"/>
    </xf>
    <xf numFmtId="10" fontId="0" fillId="0" borderId="40" applyAlignment="1" pivotButton="0" quotePrefix="0" xfId="0">
      <alignment horizontal="center" vertical="center"/>
    </xf>
    <xf numFmtId="10" fontId="0" fillId="0" borderId="40" applyAlignment="1" pivotButton="0" quotePrefix="0" xfId="0">
      <alignment vertical="center"/>
    </xf>
    <xf numFmtId="0" fontId="0" fillId="5" borderId="1" applyAlignment="1" pivotButton="0" quotePrefix="0" xfId="0">
      <alignment horizontal="center" vertical="center"/>
    </xf>
    <xf numFmtId="0" fontId="19" fillId="6" borderId="1" applyAlignment="1" pivotButton="0" quotePrefix="0" xfId="0">
      <alignment horizontal="center" vertical="center"/>
    </xf>
    <xf numFmtId="0" fontId="19" fillId="6" borderId="34" applyAlignment="1" pivotButton="0" quotePrefix="0" xfId="0">
      <alignment horizontal="center" vertical="center"/>
    </xf>
    <xf numFmtId="0" fontId="19" fillId="6" borderId="34" applyAlignment="1" pivotButton="0" quotePrefix="0" xfId="0">
      <alignment vertical="center"/>
    </xf>
    <xf numFmtId="10" fontId="4" fillId="0" borderId="1" applyAlignment="1" pivotButton="0" quotePrefix="0" xfId="1">
      <alignment horizontal="center" vertical="center"/>
    </xf>
    <xf numFmtId="0" fontId="0" fillId="0" borderId="39" applyAlignment="1" pivotButton="0" quotePrefix="0" xfId="0">
      <alignment vertical="center"/>
    </xf>
    <xf numFmtId="0" fontId="0" fillId="0" borderId="27"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horizontal="center" vertical="center"/>
    </xf>
    <xf numFmtId="0" fontId="0" fillId="13" borderId="1" applyAlignment="1" pivotButton="0" quotePrefix="0" xfId="0">
      <alignment vertical="center"/>
    </xf>
    <xf numFmtId="0" fontId="0" fillId="13" borderId="40" applyAlignment="1" pivotButton="0" quotePrefix="0" xfId="0">
      <alignment vertical="center"/>
    </xf>
    <xf numFmtId="10" fontId="19" fillId="6" borderId="1" applyAlignment="1" pivotButton="0" quotePrefix="0" xfId="0">
      <alignment horizontal="center" vertical="center"/>
    </xf>
    <xf numFmtId="10" fontId="0" fillId="5" borderId="1" applyAlignment="1" pivotButton="0" quotePrefix="0" xfId="0">
      <alignment horizontal="center" vertical="center"/>
    </xf>
    <xf numFmtId="0" fontId="0" fillId="0" borderId="3" applyAlignment="1" pivotButton="0" quotePrefix="0" xfId="0">
      <alignment horizontal="center" vertical="center"/>
    </xf>
    <xf numFmtId="0" fontId="0" fillId="0" borderId="43" applyAlignment="1" pivotButton="0" quotePrefix="0" xfId="0">
      <alignment vertical="center"/>
    </xf>
    <xf numFmtId="0" fontId="0" fillId="0" borderId="8" applyAlignment="1" pivotButton="0" quotePrefix="0" xfId="0">
      <alignment vertical="center"/>
    </xf>
    <xf numFmtId="0" fontId="0" fillId="0" borderId="8" applyAlignment="1" pivotButton="0" quotePrefix="0" xfId="0">
      <alignment horizontal="center" vertical="center"/>
    </xf>
    <xf numFmtId="10" fontId="0" fillId="0" borderId="3" applyAlignment="1" pivotButton="0" quotePrefix="0" xfId="1">
      <alignment horizontal="center" vertical="center"/>
    </xf>
    <xf numFmtId="0" fontId="19" fillId="6" borderId="4" applyAlignment="1" pivotButton="0" quotePrefix="0" xfId="0">
      <alignment horizontal="center" vertical="center"/>
    </xf>
    <xf numFmtId="0" fontId="0" fillId="5" borderId="4" applyAlignment="1" pivotButton="0" quotePrefix="0" xfId="0">
      <alignment horizontal="center" vertical="center"/>
    </xf>
    <xf numFmtId="9" fontId="19" fillId="6" borderId="4" applyAlignment="1" pivotButton="0" quotePrefix="0" xfId="0">
      <alignment horizontal="center" vertical="center"/>
    </xf>
    <xf numFmtId="9" fontId="0" fillId="5" borderId="4" applyAlignment="1" pivotButton="0" quotePrefix="0" xfId="0">
      <alignment horizontal="center" vertical="center"/>
    </xf>
    <xf numFmtId="10" fontId="19" fillId="6" borderId="4" applyAlignment="1" pivotButton="0" quotePrefix="0" xfId="0">
      <alignment horizontal="center" vertical="center"/>
    </xf>
    <xf numFmtId="10" fontId="0" fillId="5" borderId="4" applyAlignment="1" pivotButton="0" quotePrefix="0" xfId="0">
      <alignment horizontal="center" vertical="center"/>
    </xf>
    <xf numFmtId="0" fontId="19" fillId="6" borderId="22" applyAlignment="1" pivotButton="0" quotePrefix="0" xfId="0">
      <alignment vertical="center"/>
    </xf>
    <xf numFmtId="165" fontId="0" fillId="0" borderId="0" pivotButton="0" quotePrefix="0" xfId="0"/>
    <xf numFmtId="0" fontId="23" fillId="0" borderId="0" pivotButton="0" quotePrefix="0" xfId="0"/>
    <xf numFmtId="0" fontId="0" fillId="20" borderId="0" pivotButton="0" quotePrefix="0" xfId="0"/>
    <xf numFmtId="9" fontId="26" fillId="19" borderId="10" applyAlignment="1" pivotButton="0" quotePrefix="0" xfId="0">
      <alignment horizontal="center"/>
    </xf>
    <xf numFmtId="9" fontId="4" fillId="0" borderId="3" applyAlignment="1" pivotButton="0" quotePrefix="0" xfId="1">
      <alignment horizontal="center" vertical="center"/>
    </xf>
    <xf numFmtId="0" fontId="9" fillId="0" borderId="1" applyAlignment="1" pivotButton="0" quotePrefix="0" xfId="0">
      <alignment vertical="center"/>
    </xf>
    <xf numFmtId="164" fontId="9" fillId="0" borderId="1" applyAlignment="1" pivotButton="0" quotePrefix="0" xfId="0">
      <alignment horizontal="left" vertical="center"/>
    </xf>
    <xf numFmtId="0" fontId="9" fillId="0" borderId="1" applyAlignment="1" pivotButton="0" quotePrefix="0" xfId="0">
      <alignment horizontal="center" vertical="center"/>
    </xf>
    <xf numFmtId="0" fontId="9" fillId="0" borderId="0" applyAlignment="1" pivotButton="0" quotePrefix="0" xfId="0">
      <alignment vertical="center"/>
    </xf>
    <xf numFmtId="164" fontId="9" fillId="0" borderId="0" applyAlignment="1" pivotButton="0" quotePrefix="0" xfId="0">
      <alignment horizontal="left" vertical="center"/>
    </xf>
    <xf numFmtId="0" fontId="5" fillId="0" borderId="0" applyAlignment="1" pivotButton="0" quotePrefix="0" xfId="0">
      <alignment vertical="center"/>
    </xf>
    <xf numFmtId="0" fontId="5" fillId="0" borderId="7" applyAlignment="1" pivotButton="0" quotePrefix="0" xfId="0">
      <alignment vertical="center"/>
    </xf>
    <xf numFmtId="0" fontId="0" fillId="5" borderId="0" applyAlignment="1" pivotButton="0" quotePrefix="0" xfId="0">
      <alignment vertical="center"/>
    </xf>
    <xf numFmtId="1" fontId="0" fillId="0" borderId="0" applyAlignment="1" pivotButton="0" quotePrefix="0" xfId="0">
      <alignment vertical="center"/>
    </xf>
    <xf numFmtId="0" fontId="0" fillId="0" borderId="0" applyAlignment="1" pivotButton="0" quotePrefix="0" xfId="0">
      <alignment horizontal="center" vertical="center" wrapText="1"/>
    </xf>
    <xf numFmtId="0" fontId="0" fillId="0" borderId="0" applyAlignment="1" pivotButton="0" quotePrefix="0" xfId="0">
      <alignment vertical="center" wrapText="1"/>
    </xf>
    <xf numFmtId="0" fontId="6" fillId="6" borderId="0" applyAlignment="1" pivotButton="0" quotePrefix="0" xfId="0">
      <alignment vertical="center"/>
    </xf>
    <xf numFmtId="0" fontId="12" fillId="5" borderId="4" applyAlignment="1" pivotButton="0" quotePrefix="0" xfId="0">
      <alignment horizontal="center" vertical="center" wrapText="1"/>
    </xf>
    <xf numFmtId="9" fontId="12" fillId="5" borderId="1" applyAlignment="1" pivotButton="0" quotePrefix="0" xfId="0">
      <alignment horizontal="center" vertical="center"/>
    </xf>
    <xf numFmtId="0" fontId="15" fillId="5" borderId="13" applyAlignment="1" pivotButton="0" quotePrefix="0" xfId="0">
      <alignment horizontal="center" vertical="center"/>
    </xf>
    <xf numFmtId="0" fontId="15" fillId="5" borderId="15" applyAlignment="1" pivotButton="0" quotePrefix="0" xfId="0">
      <alignment horizontal="center" vertical="center"/>
    </xf>
    <xf numFmtId="0" fontId="0" fillId="0" borderId="1" applyAlignment="1" pivotButton="0" quotePrefix="0" xfId="0">
      <alignment horizontal="left" vertical="center"/>
    </xf>
    <xf numFmtId="0" fontId="11" fillId="2" borderId="1" applyAlignment="1" pivotButton="0" quotePrefix="0" xfId="0">
      <alignment vertical="center" wrapText="1"/>
    </xf>
    <xf numFmtId="0" fontId="25" fillId="18" borderId="43" applyAlignment="1" pivotButton="0" quotePrefix="0" xfId="0">
      <alignment horizontal="center" wrapText="1"/>
    </xf>
    <xf numFmtId="0" fontId="25" fillId="18" borderId="1" applyAlignment="1" pivotButton="0" quotePrefix="0" xfId="0">
      <alignment horizontal="center" wrapText="1"/>
    </xf>
    <xf numFmtId="0" fontId="0" fillId="0" borderId="47" pivotButton="0" quotePrefix="0" xfId="0"/>
    <xf numFmtId="0" fontId="0" fillId="0" borderId="49" pivotButton="0" quotePrefix="0" xfId="0"/>
    <xf numFmtId="0" fontId="0" fillId="0" borderId="50" pivotButton="0" quotePrefix="0" xfId="0"/>
    <xf numFmtId="0" fontId="0" fillId="0" borderId="46" applyAlignment="1" pivotButton="0" quotePrefix="0" xfId="0">
      <alignment horizontal="left" vertical="center" wrapText="1"/>
    </xf>
    <xf numFmtId="0" fontId="0" fillId="0" borderId="49" applyAlignment="1" pivotButton="0" quotePrefix="0" xfId="0">
      <alignment horizontal="left" vertical="center"/>
    </xf>
    <xf numFmtId="9" fontId="4" fillId="0" borderId="27" applyAlignment="1" pivotButton="0" quotePrefix="0" xfId="1">
      <alignment horizontal="center" vertical="center"/>
    </xf>
    <xf numFmtId="0" fontId="19" fillId="6" borderId="3" applyAlignment="1" pivotButton="0" quotePrefix="0" xfId="0">
      <alignment horizontal="center" vertical="center"/>
    </xf>
    <xf numFmtId="0" fontId="19" fillId="6" borderId="11" applyAlignment="1" pivotButton="0" quotePrefix="0" xfId="0">
      <alignment horizontal="center" vertical="center"/>
    </xf>
    <xf numFmtId="0" fontId="9" fillId="0" borderId="4" pivotButton="0" quotePrefix="0" xfId="0"/>
    <xf numFmtId="9" fontId="2" fillId="22" borderId="3" applyAlignment="1" pivotButton="0" quotePrefix="0" xfId="1">
      <alignment horizontal="center" vertical="center"/>
    </xf>
    <xf numFmtId="9" fontId="4" fillId="22" borderId="3" applyAlignment="1" pivotButton="0" quotePrefix="0" xfId="1">
      <alignment horizontal="center" vertical="center"/>
    </xf>
    <xf numFmtId="166" fontId="4" fillId="0" borderId="1" applyAlignment="1" pivotButton="0" quotePrefix="0" xfId="1">
      <alignment horizontal="center" vertical="center"/>
    </xf>
    <xf numFmtId="167" fontId="4" fillId="0" borderId="1" applyAlignment="1" pivotButton="0" quotePrefix="0" xfId="1">
      <alignment horizontal="center" vertical="center"/>
    </xf>
    <xf numFmtId="1" fontId="4" fillId="24" borderId="27" applyAlignment="1" pivotButton="0" quotePrefix="0" xfId="1">
      <alignment horizontal="center" vertical="center"/>
    </xf>
    <xf numFmtId="0" fontId="12" fillId="5" borderId="1" applyAlignment="1" pivotButton="0" quotePrefix="0" xfId="0">
      <alignment horizontal="center" wrapText="1"/>
    </xf>
    <xf numFmtId="0" fontId="11" fillId="8" borderId="2" applyAlignment="1" pivotButton="0" quotePrefix="0" xfId="2">
      <alignment horizontal="center" vertical="center"/>
    </xf>
    <xf numFmtId="2" fontId="4" fillId="0" borderId="3" applyAlignment="1" pivotButton="0" quotePrefix="0" xfId="1">
      <alignment horizontal="center" vertical="center"/>
    </xf>
    <xf numFmtId="0" fontId="9" fillId="0" borderId="1" applyAlignment="1" pivotButton="0" quotePrefix="0" xfId="0">
      <alignment horizontal="left"/>
    </xf>
    <xf numFmtId="0" fontId="9" fillId="0" borderId="1" applyAlignment="1" pivotButton="0" quotePrefix="0" xfId="0">
      <alignment horizontal="center"/>
    </xf>
    <xf numFmtId="9" fontId="0" fillId="0" borderId="1" applyAlignment="1" pivotButton="0" quotePrefix="0" xfId="0">
      <alignment horizontal="center"/>
    </xf>
    <xf numFmtId="9" fontId="4" fillId="0" borderId="8" applyAlignment="1" pivotButton="0" quotePrefix="0" xfId="1">
      <alignment horizontal="center" vertical="center"/>
    </xf>
    <xf numFmtId="0" fontId="25" fillId="18" borderId="4" applyAlignment="1" pivotButton="0" quotePrefix="0" xfId="0">
      <alignment horizontal="center" wrapText="1"/>
    </xf>
    <xf numFmtId="0" fontId="31" fillId="4" borderId="1" applyAlignment="1" pivotButton="0" quotePrefix="0" xfId="0">
      <alignment horizontal="center"/>
    </xf>
    <xf numFmtId="0" fontId="0" fillId="25" borderId="1" applyAlignment="1" pivotButton="0" quotePrefix="0" xfId="0">
      <alignment horizontal="left" vertical="center"/>
    </xf>
    <xf numFmtId="0" fontId="0" fillId="25" borderId="4" applyAlignment="1" pivotButton="0" quotePrefix="0" xfId="0">
      <alignment wrapText="1"/>
    </xf>
    <xf numFmtId="0" fontId="0" fillId="25" borderId="49" applyAlignment="1" pivotButton="0" quotePrefix="0" xfId="0">
      <alignment horizontal="left" vertical="center"/>
    </xf>
    <xf numFmtId="0" fontId="0" fillId="25" borderId="57" applyAlignment="1" pivotButton="0" quotePrefix="0" xfId="0">
      <alignment wrapText="1"/>
    </xf>
    <xf numFmtId="0" fontId="0" fillId="25" borderId="1" applyAlignment="1" pivotButton="0" quotePrefix="0" xfId="0">
      <alignment horizontal="center"/>
    </xf>
    <xf numFmtId="0" fontId="0" fillId="25" borderId="44" applyAlignment="1" pivotButton="0" quotePrefix="0" xfId="0">
      <alignment horizontal="center"/>
    </xf>
    <xf numFmtId="0" fontId="0" fillId="25" borderId="1" pivotButton="0" quotePrefix="0" xfId="0"/>
    <xf numFmtId="0" fontId="0" fillId="25" borderId="47" pivotButton="0" quotePrefix="0" xfId="0"/>
    <xf numFmtId="0" fontId="0" fillId="25" borderId="51" pivotButton="0" quotePrefix="0" xfId="0"/>
    <xf numFmtId="0" fontId="0" fillId="25" borderId="44" pivotButton="0" quotePrefix="0" xfId="0"/>
    <xf numFmtId="0" fontId="0" fillId="25" borderId="58" pivotButton="0" quotePrefix="0" xfId="0"/>
    <xf numFmtId="0" fontId="0" fillId="25" borderId="49" pivotButton="0" quotePrefix="0" xfId="0"/>
    <xf numFmtId="0" fontId="0" fillId="25" borderId="50" pivotButton="0" quotePrefix="0" xfId="0"/>
    <xf numFmtId="0" fontId="0" fillId="25" borderId="52" pivotButton="0" quotePrefix="0" xfId="0"/>
    <xf numFmtId="0" fontId="11" fillId="8" borderId="1" applyAlignment="1" pivotButton="0" quotePrefix="0" xfId="2">
      <alignment horizontal="left" vertical="center"/>
    </xf>
    <xf numFmtId="0" fontId="9" fillId="0" borderId="1" applyAlignment="1" pivotButton="0" quotePrefix="0" xfId="0">
      <alignment vertical="center" wrapText="1"/>
    </xf>
    <xf numFmtId="0" fontId="0" fillId="0" borderId="1" applyAlignment="1" pivotButton="0" quotePrefix="0" xfId="0">
      <alignment vertical="center" wrapText="1"/>
    </xf>
    <xf numFmtId="9" fontId="0" fillId="0" borderId="1" applyAlignment="1" pivotButton="0" quotePrefix="0" xfId="0">
      <alignment horizontal="center" vertical="center" wrapText="1"/>
    </xf>
    <xf numFmtId="9" fontId="9" fillId="0" borderId="1" applyAlignment="1" pivotButton="0" quotePrefix="0" xfId="0">
      <alignment horizontal="center" vertical="center" wrapText="1"/>
    </xf>
    <xf numFmtId="0" fontId="0" fillId="25" borderId="14" applyAlignment="1" pivotButton="0" quotePrefix="0" xfId="0">
      <alignment horizontal="left" vertical="center"/>
    </xf>
    <xf numFmtId="0" fontId="0" fillId="25" borderId="3" applyAlignment="1" pivotButton="0" quotePrefix="0" xfId="0">
      <alignment horizontal="left" vertical="center"/>
    </xf>
    <xf numFmtId="0" fontId="0" fillId="25" borderId="11" applyAlignment="1" pivotButton="0" quotePrefix="0" xfId="0">
      <alignment wrapText="1"/>
    </xf>
    <xf numFmtId="0" fontId="0" fillId="25" borderId="3" applyAlignment="1" pivotButton="0" quotePrefix="0" xfId="0">
      <alignment horizontal="center"/>
    </xf>
    <xf numFmtId="0" fontId="0" fillId="25" borderId="10" applyAlignment="1" pivotButton="0" quotePrefix="0" xfId="0">
      <alignment horizontal="center"/>
    </xf>
    <xf numFmtId="0" fontId="0" fillId="25" borderId="3" pivotButton="0" quotePrefix="0" xfId="0"/>
    <xf numFmtId="0" fontId="0" fillId="25" borderId="15" pivotButton="0" quotePrefix="0" xfId="0"/>
    <xf numFmtId="0" fontId="0" fillId="25" borderId="53" pivotButton="0" quotePrefix="0" xfId="0"/>
    <xf numFmtId="0" fontId="0" fillId="0" borderId="1" applyAlignment="1" pivotButton="0" quotePrefix="0" xfId="0">
      <alignment wrapText="1"/>
    </xf>
    <xf numFmtId="9" fontId="0" fillId="0" borderId="1" applyAlignment="1" pivotButton="0" quotePrefix="0" xfId="1">
      <alignment horizontal="center"/>
    </xf>
    <xf numFmtId="0" fontId="0" fillId="0" borderId="34" applyAlignment="1" pivotButton="0" quotePrefix="0" xfId="0">
      <alignment horizontal="center"/>
    </xf>
    <xf numFmtId="0" fontId="9" fillId="21" borderId="55" applyAlignment="1" pivotButton="0" quotePrefix="0" xfId="0">
      <alignment horizontal="center" vertical="center"/>
    </xf>
    <xf numFmtId="0" fontId="9" fillId="0" borderId="46" applyAlignment="1" pivotButton="0" quotePrefix="0" xfId="0">
      <alignment horizontal="left"/>
    </xf>
    <xf numFmtId="0" fontId="9" fillId="21" borderId="47" applyAlignment="1" pivotButton="0" quotePrefix="0" xfId="0">
      <alignment horizontal="center" vertical="center"/>
    </xf>
    <xf numFmtId="0" fontId="0" fillId="0" borderId="49" applyAlignment="1" pivotButton="0" quotePrefix="0" xfId="0">
      <alignment wrapText="1"/>
    </xf>
    <xf numFmtId="168" fontId="0" fillId="0" borderId="0" applyAlignment="1" pivotButton="0" quotePrefix="0" xfId="0">
      <alignment vertical="center"/>
    </xf>
    <xf numFmtId="16" fontId="12" fillId="5" borderId="1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center" vertical="center"/>
    </xf>
    <xf numFmtId="0" fontId="12" fillId="0" borderId="60" applyAlignment="1" pivotButton="0" quotePrefix="0" xfId="0">
      <alignment vertical="center"/>
    </xf>
    <xf numFmtId="16" fontId="12" fillId="5" borderId="43" applyAlignment="1" pivotButton="0" quotePrefix="0" xfId="0">
      <alignment horizontal="center" vertical="center" wrapText="1"/>
    </xf>
    <xf numFmtId="16" fontId="12" fillId="5" borderId="0" applyAlignment="1" pivotButton="0" quotePrefix="0" xfId="0">
      <alignment horizontal="center" vertical="center" wrapText="1"/>
    </xf>
    <xf numFmtId="0" fontId="12" fillId="0" borderId="0" applyAlignment="1" pivotButton="0" quotePrefix="0" xfId="0">
      <alignment vertical="center"/>
    </xf>
    <xf numFmtId="0" fontId="9" fillId="8" borderId="1" applyAlignment="1" pivotButton="0" quotePrefix="0" xfId="0">
      <alignment horizontal="center"/>
    </xf>
    <xf numFmtId="1" fontId="4" fillId="0" borderId="1" applyAlignment="1" pivotButton="0" quotePrefix="0" xfId="1">
      <alignment horizontal="center" vertical="center"/>
    </xf>
    <xf numFmtId="0" fontId="12" fillId="5" borderId="1" applyAlignment="1" pivotButton="0" quotePrefix="0" xfId="0">
      <alignment horizontal="center" vertical="center" wrapText="1"/>
    </xf>
    <xf numFmtId="0" fontId="32" fillId="0" borderId="1" pivotButton="0" quotePrefix="0" xfId="0"/>
    <xf numFmtId="17" fontId="32" fillId="0" borderId="44" pivotButton="0" quotePrefix="0" xfId="0"/>
    <xf numFmtId="0" fontId="32" fillId="28" borderId="1" pivotButton="0" quotePrefix="0" xfId="0"/>
    <xf numFmtId="0" fontId="32" fillId="0" borderId="0" pivotButton="0" quotePrefix="0" xfId="0"/>
    <xf numFmtId="0" fontId="33" fillId="16" borderId="0" pivotButton="0" quotePrefix="0" xfId="0"/>
    <xf numFmtId="0" fontId="34" fillId="0" borderId="0" pivotButton="0" quotePrefix="0" xfId="0"/>
    <xf numFmtId="0" fontId="35" fillId="27" borderId="1" applyAlignment="1" pivotButton="0" quotePrefix="0" xfId="0">
      <alignment wrapText="1"/>
    </xf>
    <xf numFmtId="0" fontId="35" fillId="27" borderId="44" applyAlignment="1" pivotButton="0" quotePrefix="0" xfId="0">
      <alignment wrapText="1"/>
    </xf>
    <xf numFmtId="0" fontId="34" fillId="0" borderId="7" pivotButton="0" quotePrefix="0" xfId="0"/>
    <xf numFmtId="0" fontId="35" fillId="27" borderId="3" applyAlignment="1" pivotButton="0" quotePrefix="0" xfId="0">
      <alignment wrapText="1"/>
    </xf>
    <xf numFmtId="0" fontId="35" fillId="10" borderId="3" pivotButton="0" quotePrefix="0" xfId="0"/>
    <xf numFmtId="0" fontId="35" fillId="10" borderId="10" pivotButton="0" quotePrefix="0" xfId="0"/>
    <xf numFmtId="0" fontId="35" fillId="10" borderId="14" pivotButton="0" quotePrefix="0" xfId="0"/>
    <xf numFmtId="0" fontId="35" fillId="10" borderId="65" pivotButton="0" quotePrefix="0" xfId="0"/>
    <xf numFmtId="0" fontId="35" fillId="10" borderId="18" pivotButton="0" quotePrefix="0" xfId="0"/>
    <xf numFmtId="0" fontId="35" fillId="10" borderId="43" pivotButton="0" quotePrefix="0" xfId="0"/>
    <xf numFmtId="0" fontId="35" fillId="10" borderId="43" applyAlignment="1" pivotButton="0" quotePrefix="0" xfId="0">
      <alignment wrapText="1"/>
    </xf>
    <xf numFmtId="0" fontId="35" fillId="10" borderId="0" applyAlignment="1" pivotButton="0" quotePrefix="0" xfId="0">
      <alignment wrapText="1"/>
    </xf>
    <xf numFmtId="0" fontId="35" fillId="10" borderId="8" applyAlignment="1" pivotButton="0" quotePrefix="0" xfId="0">
      <alignment wrapText="1"/>
    </xf>
    <xf numFmtId="0" fontId="35" fillId="10" borderId="65" applyAlignment="1" pivotButton="0" quotePrefix="0" xfId="0">
      <alignment wrapText="1"/>
    </xf>
    <xf numFmtId="0" fontId="0" fillId="8" borderId="1" applyAlignment="1" pivotButton="0" quotePrefix="0" xfId="0">
      <alignment horizontal="center" vertical="center"/>
    </xf>
    <xf numFmtId="9" fontId="0" fillId="0" borderId="1" applyAlignment="1" pivotButton="0" quotePrefix="0" xfId="1">
      <alignment horizontal="center" vertical="center"/>
    </xf>
    <xf numFmtId="9" fontId="0" fillId="0" borderId="1" applyAlignment="1" pivotButton="0" quotePrefix="0" xfId="0">
      <alignment horizontal="center" vertical="center"/>
    </xf>
    <xf numFmtId="9" fontId="0" fillId="23" borderId="1" applyAlignment="1" pivotButton="0" quotePrefix="0" xfId="0">
      <alignment horizontal="center" vertical="center"/>
    </xf>
    <xf numFmtId="9" fontId="0" fillId="7" borderId="1" applyAlignment="1" pivotButton="0" quotePrefix="0" xfId="1">
      <alignment horizontal="center" vertical="center"/>
    </xf>
    <xf numFmtId="9" fontId="0" fillId="0" borderId="49" applyAlignment="1" pivotButton="0" quotePrefix="0" xfId="1">
      <alignment horizontal="center" vertical="center"/>
    </xf>
    <xf numFmtId="167" fontId="0" fillId="0" borderId="1" applyAlignment="1" pivotButton="0" quotePrefix="0" xfId="0">
      <alignment horizontal="center"/>
    </xf>
    <xf numFmtId="17" fontId="35" fillId="27" borderId="44" applyAlignment="1" pivotButton="0" quotePrefix="0" xfId="0">
      <alignment wrapText="1"/>
    </xf>
    <xf numFmtId="0" fontId="4" fillId="20" borderId="1" applyAlignment="1" pivotButton="0" quotePrefix="0" xfId="1">
      <alignment horizontal="center" vertical="center"/>
    </xf>
    <xf numFmtId="0" fontId="16" fillId="17" borderId="1" applyAlignment="1" pivotButton="0" quotePrefix="0" xfId="0">
      <alignment horizontal="center"/>
    </xf>
    <xf numFmtId="2" fontId="2" fillId="4" borderId="3" applyAlignment="1" pivotButton="0" quotePrefix="0" xfId="1">
      <alignment horizontal="center" vertical="center"/>
    </xf>
    <xf numFmtId="0" fontId="4" fillId="23" borderId="1" applyAlignment="1" pivotButton="0" quotePrefix="0" xfId="1">
      <alignment horizontal="center" vertical="center"/>
    </xf>
    <xf numFmtId="0" fontId="4" fillId="26" borderId="1" applyAlignment="1" pivotButton="0" quotePrefix="0" xfId="1">
      <alignment horizontal="center" vertical="center"/>
    </xf>
    <xf numFmtId="0" fontId="2" fillId="4" borderId="1" applyAlignment="1" pivotButton="0" quotePrefix="0" xfId="0">
      <alignment horizontal="center"/>
    </xf>
    <xf numFmtId="0" fontId="11" fillId="0" borderId="0" applyAlignment="1" pivotButton="0" quotePrefix="0" xfId="2">
      <alignment horizontal="center" vertical="center"/>
    </xf>
    <xf numFmtId="167" fontId="2" fillId="4" borderId="3" applyAlignment="1" pivotButton="0" quotePrefix="0" xfId="1">
      <alignment horizontal="center" vertical="center"/>
    </xf>
    <xf numFmtId="0" fontId="42" fillId="0" borderId="37" applyAlignment="1" pivotButton="0" quotePrefix="0" xfId="0">
      <alignment wrapText="1"/>
    </xf>
    <xf numFmtId="0" fontId="32" fillId="0" borderId="44" applyAlignment="1" pivotButton="0" quotePrefix="0" xfId="0">
      <alignment horizontal="center"/>
    </xf>
    <xf numFmtId="0" fontId="32" fillId="0" borderId="0" applyAlignment="1" pivotButton="0" quotePrefix="0" xfId="0">
      <alignment horizontal="center"/>
    </xf>
    <xf numFmtId="0" fontId="35" fillId="27" borderId="44" applyAlignment="1" pivotButton="0" quotePrefix="0" xfId="0">
      <alignment horizontal="center" wrapText="1"/>
    </xf>
    <xf numFmtId="0" fontId="35" fillId="10" borderId="10" applyAlignment="1" pivotButton="0" quotePrefix="0" xfId="0">
      <alignment horizontal="center"/>
    </xf>
    <xf numFmtId="0" fontId="35" fillId="10" borderId="10" applyAlignment="1" pivotButton="0" quotePrefix="0" xfId="0">
      <alignment horizontal="center" wrapText="1"/>
    </xf>
    <xf numFmtId="0" fontId="35" fillId="10" borderId="7" applyAlignment="1" pivotButton="0" quotePrefix="0" xfId="0">
      <alignment horizontal="center"/>
    </xf>
    <xf numFmtId="0" fontId="35" fillId="10" borderId="3" applyAlignment="1" pivotButton="0" quotePrefix="0" xfId="0">
      <alignment horizontal="center"/>
    </xf>
    <xf numFmtId="0" fontId="23" fillId="0" borderId="0" applyAlignment="1" pivotButton="0" quotePrefix="0" xfId="0">
      <alignment horizontal="center"/>
    </xf>
    <xf numFmtId="0" fontId="11" fillId="8" borderId="5" applyAlignment="1" pivotButton="0" quotePrefix="0" xfId="2">
      <alignment horizontal="center" vertical="center" wrapText="1"/>
    </xf>
    <xf numFmtId="169" fontId="4" fillId="0" borderId="3" applyAlignment="1" pivotButton="0" quotePrefix="0" xfId="1">
      <alignment horizontal="center" vertical="center"/>
    </xf>
    <xf numFmtId="0" fontId="12" fillId="5" borderId="4" applyAlignment="1" pivotButton="0" quotePrefix="0" xfId="0">
      <alignment horizontal="left" vertical="center" wrapText="1"/>
    </xf>
    <xf numFmtId="0" fontId="12" fillId="5" borderId="4" applyAlignment="1" pivotButton="0" quotePrefix="0" xfId="0">
      <alignment horizontal="left" vertical="center"/>
    </xf>
    <xf numFmtId="0" fontId="12" fillId="5" borderId="1" applyAlignment="1" pivotButton="0" quotePrefix="0" xfId="0">
      <alignment horizontal="center" vertical="center"/>
    </xf>
    <xf numFmtId="9" fontId="0" fillId="0" borderId="0" applyAlignment="1" pivotButton="0" quotePrefix="0" xfId="0">
      <alignment vertical="center"/>
    </xf>
    <xf numFmtId="0" fontId="16" fillId="32" borderId="2" applyAlignment="1" pivotButton="0" quotePrefix="0" xfId="0">
      <alignment horizontal="center" vertical="top" indent="1" readingOrder="1"/>
    </xf>
    <xf numFmtId="0" fontId="12" fillId="32" borderId="3" applyAlignment="1" pivotButton="0" quotePrefix="0" xfId="0">
      <alignment horizontal="center" vertical="top" indent="1"/>
    </xf>
    <xf numFmtId="0" fontId="24" fillId="17" borderId="1" applyAlignment="1" pivotButton="0" quotePrefix="0" xfId="0">
      <alignment vertical="center" wrapText="1" readingOrder="1"/>
    </xf>
    <xf numFmtId="0" fontId="25" fillId="18" borderId="10" applyAlignment="1" pivotButton="0" quotePrefix="0" xfId="0">
      <alignment wrapText="1"/>
    </xf>
    <xf numFmtId="0" fontId="26" fillId="19" borderId="10" pivotButton="0" quotePrefix="0" xfId="0"/>
    <xf numFmtId="0" fontId="26" fillId="19" borderId="10" applyAlignment="1" pivotButton="0" quotePrefix="0" xfId="0">
      <alignment horizontal="center"/>
    </xf>
    <xf numFmtId="0" fontId="23" fillId="17" borderId="0" pivotButton="0" quotePrefix="0" xfId="0"/>
    <xf numFmtId="0" fontId="23" fillId="0" borderId="0" applyAlignment="1" pivotButton="0" quotePrefix="0" xfId="0">
      <alignment horizontal="center" wrapText="1"/>
    </xf>
    <xf numFmtId="0" fontId="24" fillId="17" borderId="4" applyAlignment="1" pivotButton="0" quotePrefix="0" xfId="0">
      <alignment wrapText="1"/>
    </xf>
    <xf numFmtId="0" fontId="24" fillId="17" borderId="3" pivotButton="0" quotePrefix="0" xfId="0"/>
    <xf numFmtId="0" fontId="24" fillId="17" borderId="10" applyAlignment="1" pivotButton="0" quotePrefix="0" xfId="0">
      <alignment horizontal="center"/>
    </xf>
    <xf numFmtId="0" fontId="24" fillId="17" borderId="10" pivotButton="0" quotePrefix="0" xfId="0"/>
    <xf numFmtId="0" fontId="24" fillId="17" borderId="11" pivotButton="0" quotePrefix="0" xfId="0"/>
    <xf numFmtId="9" fontId="24" fillId="17" borderId="3" pivotButton="0" quotePrefix="0" xfId="0"/>
    <xf numFmtId="9" fontId="24" fillId="17" borderId="10" applyAlignment="1" pivotButton="0" quotePrefix="0" xfId="0">
      <alignment horizontal="center"/>
    </xf>
    <xf numFmtId="0" fontId="24" fillId="28" borderId="1" applyAlignment="1" pivotButton="0" quotePrefix="0" xfId="0">
      <alignment horizontal="center"/>
    </xf>
    <xf numFmtId="0" fontId="24" fillId="28" borderId="1" pivotButton="0" quotePrefix="0" xfId="0"/>
    <xf numFmtId="0" fontId="24" fillId="28" borderId="4" pivotButton="0" quotePrefix="0" xfId="0"/>
    <xf numFmtId="0" fontId="24" fillId="0" borderId="0" pivotButton="0" quotePrefix="0" xfId="0"/>
    <xf numFmtId="0" fontId="23" fillId="0" borderId="11" pivotButton="0" quotePrefix="0" xfId="0"/>
    <xf numFmtId="0" fontId="23" fillId="0" borderId="7" applyAlignment="1" pivotButton="0" quotePrefix="0" xfId="0">
      <alignment horizontal="center"/>
    </xf>
    <xf numFmtId="9" fontId="0" fillId="7" borderId="49" applyAlignment="1" pivotButton="0" quotePrefix="0" xfId="1">
      <alignment horizontal="center" vertical="center"/>
    </xf>
    <xf numFmtId="17" fontId="11" fillId="8" borderId="1" applyAlignment="1" pivotButton="0" quotePrefix="0" xfId="2">
      <alignment horizontal="center" vertical="center"/>
    </xf>
    <xf numFmtId="0" fontId="12" fillId="0" borderId="2" applyAlignment="1" pivotButton="0" quotePrefix="0" xfId="0">
      <alignment vertical="center"/>
    </xf>
    <xf numFmtId="9" fontId="4" fillId="7" borderId="1" applyAlignment="1" pivotButton="0" quotePrefix="0" xfId="1">
      <alignment horizontal="center" vertical="center"/>
    </xf>
    <xf numFmtId="9" fontId="12" fillId="5" borderId="1" applyAlignment="1" pivotButton="0" quotePrefix="0" xfId="0">
      <alignment horizontal="center" vertical="center" wrapText="1"/>
    </xf>
    <xf numFmtId="165" fontId="4" fillId="0" borderId="1" applyAlignment="1" pivotButton="0" quotePrefix="0" xfId="1">
      <alignment horizontal="center" vertical="center"/>
    </xf>
    <xf numFmtId="10" fontId="0" fillId="0" borderId="0" applyAlignment="1" pivotButton="0" quotePrefix="0" xfId="0">
      <alignment vertical="center" wrapText="1"/>
    </xf>
    <xf numFmtId="10" fontId="9" fillId="0" borderId="0" applyAlignment="1" pivotButton="0" quotePrefix="0" xfId="0">
      <alignment vertical="center" wrapText="1"/>
    </xf>
    <xf numFmtId="0" fontId="11" fillId="33" borderId="69" pivotButton="0" quotePrefix="0" xfId="0"/>
    <xf numFmtId="0" fontId="11" fillId="33" borderId="70" pivotButton="0" quotePrefix="0" xfId="0"/>
    <xf numFmtId="0" fontId="13" fillId="6" borderId="0" pivotButton="0" quotePrefix="0" xfId="0"/>
    <xf numFmtId="9" fontId="0" fillId="0" borderId="0" pivotButton="0" quotePrefix="0" xfId="1"/>
    <xf numFmtId="2" fontId="0" fillId="0" borderId="0" pivotButton="0" quotePrefix="0" xfId="0"/>
    <xf numFmtId="10" fontId="0" fillId="0" borderId="0" pivotButton="0" quotePrefix="0" xfId="1"/>
    <xf numFmtId="0" fontId="11" fillId="2" borderId="1" applyAlignment="1" pivotButton="0" quotePrefix="0" xfId="0">
      <alignment horizontal="left" vertical="center" wrapText="1"/>
    </xf>
    <xf numFmtId="0" fontId="5" fillId="0" borderId="0" applyAlignment="1" pivotButton="0" quotePrefix="0" xfId="0">
      <alignment horizontal="left"/>
    </xf>
    <xf numFmtId="0" fontId="0" fillId="0" borderId="0" applyAlignment="1" pivotButton="0" quotePrefix="0" xfId="0">
      <alignment horizontal="left"/>
    </xf>
    <xf numFmtId="0" fontId="12" fillId="5" borderId="1" applyAlignment="1" pivotButton="0" quotePrefix="0" xfId="0">
      <alignment horizontal="left" wrapText="1"/>
    </xf>
    <xf numFmtId="9" fontId="12" fillId="5" borderId="1" applyAlignment="1" pivotButton="0" quotePrefix="0" xfId="0">
      <alignment horizontal="left"/>
    </xf>
    <xf numFmtId="0" fontId="12" fillId="5" borderId="44" applyAlignment="1" pivotButton="0" quotePrefix="0" xfId="0">
      <alignment horizontal="left" wrapText="1"/>
    </xf>
    <xf numFmtId="9" fontId="12" fillId="5" borderId="44" applyAlignment="1" pivotButton="0" quotePrefix="0" xfId="0">
      <alignment horizontal="left"/>
    </xf>
    <xf numFmtId="0" fontId="12" fillId="5" borderId="1" applyAlignment="1" pivotButton="0" quotePrefix="0" xfId="0">
      <alignment horizontal="left"/>
    </xf>
    <xf numFmtId="0" fontId="11" fillId="8" borderId="3" applyAlignment="1" pivotButton="0" quotePrefix="0" xfId="0">
      <alignment horizontal="left" vertical="center"/>
    </xf>
    <xf numFmtId="0" fontId="0" fillId="0" borderId="11" applyAlignment="1" pivotButton="0" quotePrefix="0" xfId="0">
      <alignment horizontal="left"/>
    </xf>
    <xf numFmtId="0" fontId="15" fillId="5" borderId="60" applyAlignment="1" pivotButton="0" quotePrefix="0" xfId="0">
      <alignment horizontal="center" vertical="center"/>
    </xf>
    <xf numFmtId="0" fontId="16" fillId="17" borderId="1" applyAlignment="1" pivotButton="0" quotePrefix="0" xfId="0">
      <alignment horizontal="center" vertical="center"/>
    </xf>
    <xf numFmtId="0" fontId="12" fillId="5" borderId="4" applyAlignment="1" pivotButton="0" quotePrefix="0" xfId="0">
      <alignment horizontal="center" vertical="center"/>
    </xf>
    <xf numFmtId="0" fontId="0" fillId="0" borderId="11" applyAlignment="1" pivotButton="0" quotePrefix="0" xfId="0">
      <alignment horizontal="center" vertical="center"/>
    </xf>
    <xf numFmtId="0" fontId="0" fillId="0" borderId="7" applyAlignment="1" pivotButton="0" quotePrefix="0" xfId="0">
      <alignment horizontal="center" vertical="center"/>
    </xf>
    <xf numFmtId="9" fontId="0" fillId="0" borderId="1" applyAlignment="1" pivotButton="0" quotePrefix="0" xfId="1">
      <alignment horizontal="center" vertical="center"/>
    </xf>
    <xf numFmtId="9" fontId="44" fillId="7" borderId="1" applyAlignment="1" pivotButton="0" quotePrefix="0" xfId="1">
      <alignment horizontal="center" vertical="center"/>
    </xf>
    <xf numFmtId="9" fontId="0" fillId="0" borderId="49" applyAlignment="1" pivotButton="0" quotePrefix="0" xfId="0">
      <alignment horizontal="center" vertical="center"/>
    </xf>
    <xf numFmtId="1" fontId="4" fillId="34" borderId="1" applyAlignment="1" pivotButton="0" quotePrefix="0" xfId="1">
      <alignment horizontal="center" vertical="center"/>
    </xf>
    <xf numFmtId="0" fontId="4" fillId="35" borderId="1" applyAlignment="1" pivotButton="0" quotePrefix="0" xfId="1">
      <alignment horizontal="center" vertical="center"/>
    </xf>
    <xf numFmtId="0" fontId="16" fillId="35" borderId="2" applyAlignment="1" pivotButton="0" quotePrefix="0" xfId="0">
      <alignment horizontal="center" vertical="top" indent="1" readingOrder="1"/>
    </xf>
    <xf numFmtId="0" fontId="12" fillId="35" borderId="3" applyAlignment="1" pivotButton="0" quotePrefix="0" xfId="0">
      <alignment horizontal="center" vertical="top" indent="1"/>
    </xf>
    <xf numFmtId="166" fontId="4" fillId="0" borderId="3" applyAlignment="1" pivotButton="0" quotePrefix="0" xfId="1">
      <alignment horizontal="center" vertical="center"/>
    </xf>
    <xf numFmtId="0" fontId="12" fillId="0" borderId="13" applyAlignment="1" pivotButton="0" quotePrefix="0" xfId="0">
      <alignment vertical="center"/>
    </xf>
    <xf numFmtId="16" fontId="12" fillId="5" borderId="12" applyAlignment="1" pivotButton="0" quotePrefix="0" xfId="0">
      <alignment horizontal="center" vertical="center" wrapText="1"/>
    </xf>
    <xf numFmtId="0" fontId="12" fillId="0" borderId="2" applyAlignment="1" pivotButton="0" quotePrefix="0" xfId="0">
      <alignment horizontal="center" vertical="center"/>
    </xf>
    <xf numFmtId="0" fontId="0" fillId="0" borderId="0" applyAlignment="1" pivotButton="0" quotePrefix="1" xfId="0">
      <alignment horizontal="center" vertical="center" wrapText="1"/>
    </xf>
    <xf numFmtId="9" fontId="12" fillId="5" borderId="1" applyAlignment="1" pivotButton="0" quotePrefix="0" xfId="0">
      <alignment horizontal="left" vertical="center" wrapText="1"/>
    </xf>
    <xf numFmtId="9" fontId="0" fillId="36" borderId="1" applyAlignment="1" pivotButton="0" quotePrefix="0" xfId="0">
      <alignment horizontal="center" vertical="center"/>
    </xf>
    <xf numFmtId="9" fontId="0" fillId="36" borderId="1" applyAlignment="1" pivotButton="0" quotePrefix="0" xfId="1">
      <alignment horizontal="center" vertical="center"/>
    </xf>
    <xf numFmtId="16" fontId="12" fillId="5" borderId="41" applyAlignment="1" pivotButton="0" quotePrefix="0" xfId="0">
      <alignment horizontal="center" vertical="center" wrapText="1"/>
    </xf>
    <xf numFmtId="0" fontId="12" fillId="5" borderId="41" applyAlignment="1" pivotButton="0" quotePrefix="0" xfId="0">
      <alignment horizontal="center" vertical="center" wrapText="1"/>
    </xf>
    <xf numFmtId="16" fontId="12" fillId="5" borderId="18" applyAlignment="1" pivotButton="0" quotePrefix="0" xfId="0">
      <alignment horizontal="left" vertical="center" wrapText="1"/>
    </xf>
    <xf numFmtId="0" fontId="12" fillId="0" borderId="8" applyAlignment="1" pivotButton="0" quotePrefix="0" xfId="0">
      <alignment horizontal="left" vertical="center"/>
    </xf>
    <xf numFmtId="0" fontId="12" fillId="0" borderId="60" applyAlignment="1" pivotButton="0" quotePrefix="0" xfId="0">
      <alignment horizontal="left" vertical="center"/>
    </xf>
    <xf numFmtId="0" fontId="15" fillId="5" borderId="72" applyAlignment="1" pivotButton="0" quotePrefix="0" xfId="0">
      <alignment horizontal="center" vertical="center"/>
    </xf>
    <xf numFmtId="0" fontId="12" fillId="5" borderId="41" applyAlignment="1" pivotButton="0" quotePrefix="0" xfId="0">
      <alignment horizontal="left" wrapText="1"/>
    </xf>
    <xf numFmtId="0" fontId="48" fillId="0" borderId="41" applyAlignment="1" pivotButton="0" quotePrefix="0" xfId="0">
      <alignment wrapText="1"/>
    </xf>
    <xf numFmtId="0" fontId="12" fillId="5" borderId="41" applyAlignment="1" pivotButton="0" quotePrefix="0" xfId="0">
      <alignment horizontal="left" vertical="center" wrapText="1"/>
    </xf>
    <xf numFmtId="0" fontId="48" fillId="0" borderId="41" pivotButton="0" quotePrefix="0" xfId="0"/>
    <xf numFmtId="16" fontId="12" fillId="5" borderId="2" applyAlignment="1" pivotButton="0" quotePrefix="0" xfId="0">
      <alignment vertical="center" wrapText="1"/>
    </xf>
    <xf numFmtId="0" fontId="4" fillId="0" borderId="3" applyAlignment="1" pivotButton="0" quotePrefix="0" xfId="1">
      <alignment horizontal="center" vertical="center"/>
    </xf>
    <xf numFmtId="0" fontId="12" fillId="5" borderId="1" applyAlignment="1" pivotButton="0" quotePrefix="0" xfId="0">
      <alignment horizontal="center" vertical="top" wrapText="1"/>
    </xf>
    <xf numFmtId="16" fontId="12" fillId="5" borderId="12" applyAlignment="1" pivotButton="0" quotePrefix="0" xfId="0">
      <alignment vertical="center" wrapText="1"/>
    </xf>
    <xf numFmtId="16" fontId="12" fillId="5" borderId="18" applyAlignment="1" pivotButton="0" quotePrefix="0" xfId="0">
      <alignment vertical="center" wrapText="1"/>
    </xf>
    <xf numFmtId="167" fontId="4" fillId="7" borderId="1" applyAlignment="1" pivotButton="0" quotePrefix="0" xfId="1">
      <alignment horizontal="center" vertical="center"/>
    </xf>
    <xf numFmtId="0" fontId="12" fillId="0" borderId="15" applyAlignment="1" pivotButton="0" quotePrefix="0" xfId="0">
      <alignment vertical="center"/>
    </xf>
    <xf numFmtId="16" fontId="12" fillId="5" borderId="14" applyAlignment="1" pivotButton="0" quotePrefix="0" xfId="0">
      <alignment horizontal="center" vertical="center" wrapText="1"/>
    </xf>
    <xf numFmtId="0" fontId="12" fillId="0" borderId="3" applyAlignment="1" pivotButton="0" quotePrefix="0" xfId="0">
      <alignment vertical="center"/>
    </xf>
    <xf numFmtId="0" fontId="12" fillId="0" borderId="3" applyAlignment="1" pivotButton="0" quotePrefix="0" xfId="0">
      <alignment horizontal="center" vertical="center"/>
    </xf>
    <xf numFmtId="16" fontId="12" fillId="5" borderId="71" applyAlignment="1" pivotButton="0" quotePrefix="0" xfId="0">
      <alignment horizontal="center" vertical="center" wrapText="1"/>
    </xf>
    <xf numFmtId="0" fontId="15" fillId="5" borderId="41" applyAlignment="1" pivotButton="0" quotePrefix="0" xfId="0">
      <alignment horizontal="center" vertical="center"/>
    </xf>
    <xf numFmtId="0" fontId="12" fillId="5" borderId="1" applyAlignment="1" pivotButton="0" quotePrefix="0" xfId="0">
      <alignment horizontal="left" vertical="center" wrapText="1"/>
    </xf>
    <xf numFmtId="9" fontId="0" fillId="23" borderId="1" applyAlignment="1" pivotButton="0" quotePrefix="0" xfId="0">
      <alignment horizontal="center"/>
    </xf>
    <xf numFmtId="16" fontId="12" fillId="5" borderId="41" applyAlignment="1" pivotButton="0" quotePrefix="0" xfId="0">
      <alignment vertical="center" wrapText="1"/>
    </xf>
    <xf numFmtId="9" fontId="2" fillId="37" borderId="3" applyAlignment="1" pivotButton="0" quotePrefix="0" xfId="1">
      <alignment horizontal="center" vertical="center"/>
    </xf>
    <xf numFmtId="0" fontId="16" fillId="17" borderId="1" applyAlignment="1" pivotButton="0" quotePrefix="0" xfId="0">
      <alignment horizontal="left" vertical="center" wrapText="1"/>
    </xf>
    <xf numFmtId="10" fontId="0" fillId="0" borderId="0" pivotButton="0" quotePrefix="0" xfId="0"/>
    <xf numFmtId="9" fontId="0" fillId="36" borderId="41" applyAlignment="1" pivotButton="0" quotePrefix="0" xfId="1">
      <alignment horizontal="center" vertical="center"/>
    </xf>
    <xf numFmtId="2" fontId="4" fillId="0" borderId="1" applyAlignment="1" pivotButton="0" quotePrefix="0" xfId="11">
      <alignment horizontal="center" vertical="center"/>
    </xf>
    <xf numFmtId="2" fontId="4" fillId="0" borderId="1" applyAlignment="1" pivotButton="0" quotePrefix="0" xfId="1">
      <alignment horizontal="center" vertical="center"/>
    </xf>
    <xf numFmtId="9" fontId="0" fillId="0" borderId="0" pivotButton="0" quotePrefix="0" xfId="0"/>
    <xf numFmtId="0" fontId="12" fillId="5" borderId="1" applyAlignment="1" pivotButton="0" quotePrefix="0" xfId="0">
      <alignment vertical="center" wrapText="1"/>
    </xf>
    <xf numFmtId="0" fontId="53" fillId="0" borderId="1" applyAlignment="1" pivotButton="0" quotePrefix="0" xfId="0">
      <alignment vertical="center" wrapText="1"/>
    </xf>
    <xf numFmtId="0" fontId="12" fillId="5" borderId="8" applyAlignment="1" pivotButton="0" quotePrefix="0" xfId="0">
      <alignment horizontal="center" vertical="center" wrapText="1"/>
    </xf>
    <xf numFmtId="0" fontId="12" fillId="5" borderId="8" applyAlignment="1" pivotButton="0" quotePrefix="0" xfId="0">
      <alignment horizontal="center" vertical="top" wrapText="1"/>
    </xf>
    <xf numFmtId="0" fontId="12" fillId="5" borderId="2" applyAlignment="1" pivotButton="0" quotePrefix="0" xfId="0">
      <alignment horizontal="center" vertical="top" wrapText="1"/>
    </xf>
    <xf numFmtId="0" fontId="6" fillId="6" borderId="0" applyAlignment="1" pivotButton="0" quotePrefix="0" xfId="0">
      <alignment horizontal="left"/>
    </xf>
    <xf numFmtId="16" fontId="12" fillId="5" borderId="12" applyAlignment="1" pivotButton="0" quotePrefix="0" xfId="0">
      <alignment horizontal="left" vertical="center" wrapText="1"/>
    </xf>
    <xf numFmtId="0" fontId="12" fillId="5" borderId="41" applyAlignment="1" pivotButton="0" quotePrefix="0" xfId="0">
      <alignment horizontal="center" vertical="top" wrapText="1"/>
    </xf>
    <xf numFmtId="0" fontId="9" fillId="0" borderId="0" applyAlignment="1" pivotButton="0" quotePrefix="0" xfId="0">
      <alignment horizontal="left"/>
    </xf>
    <xf numFmtId="0" fontId="5" fillId="0" borderId="7" applyAlignment="1" pivotButton="0" quotePrefix="0" xfId="0">
      <alignment horizontal="left"/>
    </xf>
    <xf numFmtId="0" fontId="12" fillId="5" borderId="4" applyAlignment="1" pivotButton="0" quotePrefix="0" xfId="0">
      <alignment horizontal="left"/>
    </xf>
    <xf numFmtId="0" fontId="11" fillId="8" borderId="14" applyAlignment="1" pivotButton="0" quotePrefix="0" xfId="0">
      <alignment horizontal="left" vertical="center"/>
    </xf>
    <xf numFmtId="16" fontId="12" fillId="5" borderId="41" applyAlignment="1" pivotButton="0" quotePrefix="0" xfId="0">
      <alignment horizontal="left" vertical="center" wrapText="1"/>
    </xf>
    <xf numFmtId="9" fontId="0" fillId="36" borderId="1" applyAlignment="1" pivotButton="0" quotePrefix="0" xfId="1">
      <alignment horizontal="center"/>
    </xf>
    <xf numFmtId="9" fontId="0" fillId="23" borderId="49" applyAlignment="1" pivotButton="0" quotePrefix="0" xfId="1">
      <alignment horizontal="center"/>
    </xf>
    <xf numFmtId="1" fontId="4" fillId="0" borderId="8" applyAlignment="1" pivotButton="0" quotePrefix="0" xfId="1">
      <alignment horizontal="center" vertical="center"/>
    </xf>
    <xf numFmtId="0" fontId="64" fillId="12" borderId="1" applyAlignment="1" pivotButton="0" quotePrefix="0" xfId="1">
      <alignment horizontal="center" vertical="center"/>
    </xf>
    <xf numFmtId="0" fontId="64" fillId="12" borderId="3" applyAlignment="1" pivotButton="0" quotePrefix="0" xfId="1">
      <alignment horizontal="center" vertical="center"/>
    </xf>
    <xf numFmtId="0" fontId="6" fillId="6" borderId="0" applyAlignment="1" pivotButton="0" quotePrefix="0" xfId="0">
      <alignment horizontal="left" vertical="center"/>
    </xf>
    <xf numFmtId="0" fontId="16" fillId="5" borderId="2" applyAlignment="1" pivotButton="0" quotePrefix="0" xfId="0">
      <alignment horizontal="left" vertical="center" readingOrder="1"/>
    </xf>
    <xf numFmtId="0" fontId="16" fillId="5" borderId="2" applyAlignment="1" pivotButton="0" quotePrefix="0" xfId="0">
      <alignment horizontal="left" vertical="center" wrapText="1" readingOrder="1"/>
    </xf>
    <xf numFmtId="0" fontId="12" fillId="5" borderId="2" applyAlignment="1" pivotButton="0" quotePrefix="0" xfId="0">
      <alignment horizontal="center" vertical="center"/>
    </xf>
    <xf numFmtId="9" fontId="18" fillId="5" borderId="2" applyAlignment="1" pivotButton="0" quotePrefix="0" xfId="0">
      <alignment horizontal="center" vertical="center"/>
    </xf>
    <xf numFmtId="0" fontId="12" fillId="5" borderId="2" applyAlignment="1" pivotButton="0" quotePrefix="0" xfId="0">
      <alignment horizontal="center" vertical="center" wrapText="1"/>
    </xf>
    <xf numFmtId="0" fontId="12" fillId="5" borderId="2" applyAlignment="1" pivotButton="0" quotePrefix="0" xfId="0">
      <alignment horizontal="left" vertical="center" wrapText="1"/>
    </xf>
    <xf numFmtId="0" fontId="12" fillId="5" borderId="2" applyAlignment="1" pivotButton="0" quotePrefix="0" xfId="0">
      <alignment horizontal="left" vertical="center" readingOrder="1"/>
    </xf>
    <xf numFmtId="167" fontId="12" fillId="5" borderId="2" applyAlignment="1" pivotButton="0" quotePrefix="0" xfId="0">
      <alignment horizontal="center" vertical="center"/>
    </xf>
    <xf numFmtId="0" fontId="16" fillId="5" borderId="27" applyAlignment="1" pivotButton="0" quotePrefix="0" xfId="0">
      <alignment horizontal="left" vertical="center" wrapText="1" readingOrder="1"/>
    </xf>
    <xf numFmtId="0" fontId="12" fillId="5" borderId="2" applyAlignment="1" pivotButton="0" quotePrefix="0" xfId="0">
      <alignment horizontal="left" vertical="center" wrapText="1" readingOrder="1"/>
    </xf>
    <xf numFmtId="0" fontId="18" fillId="5" borderId="2" applyAlignment="1" pivotButton="0" quotePrefix="0" xfId="0">
      <alignment horizontal="center" vertical="center"/>
    </xf>
    <xf numFmtId="0" fontId="16" fillId="5" borderId="2" applyAlignment="1" pivotButton="0" quotePrefix="0" xfId="0">
      <alignment horizontal="center" vertical="center" wrapText="1" readingOrder="1"/>
    </xf>
    <xf numFmtId="0" fontId="14" fillId="9" borderId="0" applyAlignment="1" pivotButton="0" quotePrefix="0" xfId="0">
      <alignment horizontal="center" vertical="center"/>
    </xf>
    <xf numFmtId="0" fontId="11" fillId="8" borderId="1" applyAlignment="1" pivotButton="0" quotePrefix="0" xfId="2">
      <alignment horizontal="center" vertical="center"/>
    </xf>
    <xf numFmtId="0" fontId="13" fillId="7" borderId="19" applyAlignment="1" pivotButton="0" quotePrefix="0" xfId="3">
      <alignment horizontal="center" vertical="center"/>
    </xf>
    <xf numFmtId="0" fontId="13" fillId="7" borderId="19" applyAlignment="1" pivotButton="0" quotePrefix="0" xfId="0">
      <alignment horizontal="center" vertical="center"/>
    </xf>
    <xf numFmtId="16" fontId="12" fillId="5" borderId="12" applyAlignment="1" pivotButton="0" quotePrefix="0" xfId="0">
      <alignment horizontal="left" vertical="center" wrapText="1"/>
    </xf>
    <xf numFmtId="0" fontId="12" fillId="5" borderId="2" applyAlignment="1" pivotButton="0" quotePrefix="1" xfId="0">
      <alignment horizontal="left" vertical="center" wrapText="1"/>
    </xf>
    <xf numFmtId="0" fontId="12" fillId="5" borderId="2" applyAlignment="1" pivotButton="0" quotePrefix="1" xfId="0">
      <alignment horizontal="center" vertical="center" wrapText="1"/>
    </xf>
    <xf numFmtId="16" fontId="12" fillId="5" borderId="2" applyAlignment="1" pivotButton="0" quotePrefix="0" xfId="0">
      <alignment horizontal="center" vertical="center" wrapText="1"/>
    </xf>
    <xf numFmtId="0" fontId="12" fillId="0" borderId="2" applyAlignment="1" pivotButton="0" quotePrefix="0" xfId="0">
      <alignment horizontal="center" vertical="center"/>
    </xf>
    <xf numFmtId="0" fontId="12" fillId="0" borderId="2" applyAlignment="1" pivotButton="0" quotePrefix="0" xfId="0">
      <alignment vertical="center" wrapText="1"/>
    </xf>
    <xf numFmtId="0" fontId="12" fillId="0" borderId="13" applyAlignment="1" pivotButton="0" quotePrefix="0" xfId="0">
      <alignment vertical="center" wrapText="1"/>
    </xf>
    <xf numFmtId="0" fontId="15" fillId="5" borderId="13" applyAlignment="1" pivotButton="0" quotePrefix="0" xfId="0">
      <alignment horizontal="center" vertical="center"/>
    </xf>
    <xf numFmtId="16" fontId="12" fillId="5" borderId="12" applyAlignment="1" pivotButton="0" quotePrefix="0" xfId="0">
      <alignment horizontal="center" vertical="center" wrapText="1"/>
    </xf>
    <xf numFmtId="0" fontId="12" fillId="0" borderId="2" applyAlignment="1" pivotButton="0" quotePrefix="0" xfId="0">
      <alignment vertical="center"/>
    </xf>
    <xf numFmtId="0" fontId="12" fillId="0" borderId="13" applyAlignment="1" pivotButton="0" quotePrefix="0" xfId="0">
      <alignment vertical="center"/>
    </xf>
    <xf numFmtId="0" fontId="0" fillId="0" borderId="2" applyAlignment="1" pivotButton="0" quotePrefix="0" xfId="0">
      <alignment horizontal="center" vertical="center" wrapText="1"/>
    </xf>
    <xf numFmtId="16" fontId="46" fillId="5" borderId="2" applyAlignment="1" pivotButton="0" quotePrefix="0" xfId="0">
      <alignment horizontal="center" vertical="center" wrapText="1"/>
    </xf>
    <xf numFmtId="0" fontId="0" fillId="0" borderId="2" applyAlignment="1" pivotButton="0" quotePrefix="0" xfId="0">
      <alignment vertical="center" wrapText="1"/>
    </xf>
    <xf numFmtId="0" fontId="12" fillId="5" borderId="2" applyAlignment="1" pivotButton="0" quotePrefix="0" xfId="0">
      <alignment vertical="center" wrapText="1"/>
    </xf>
    <xf numFmtId="16" fontId="12" fillId="5" borderId="1" applyAlignment="1" pivotButton="0" quotePrefix="0" xfId="0">
      <alignment horizontal="center" vertical="center" wrapText="1"/>
    </xf>
    <xf numFmtId="0" fontId="15" fillId="5" borderId="1" applyAlignment="1" pivotButton="0" quotePrefix="0" xfId="0">
      <alignment horizontal="center" vertical="center"/>
    </xf>
    <xf numFmtId="0" fontId="12" fillId="0" borderId="2" applyAlignment="1" pivotButton="0" quotePrefix="1" xfId="0">
      <alignment vertical="center"/>
    </xf>
    <xf numFmtId="16" fontId="12" fillId="5" borderId="1" applyAlignment="1" pivotButton="0" quotePrefix="0" xfId="0">
      <alignment horizontal="left" vertical="center" wrapText="1"/>
    </xf>
    <xf numFmtId="0" fontId="12" fillId="5" borderId="1" applyAlignment="1" pivotButton="0" quotePrefix="1" xfId="0">
      <alignment vertical="center" wrapText="1"/>
    </xf>
    <xf numFmtId="0" fontId="16" fillId="5" borderId="1" applyAlignment="1" pivotButton="0" quotePrefix="1" xfId="0">
      <alignment horizontal="center" vertical="center" wrapText="1"/>
    </xf>
    <xf numFmtId="0" fontId="12" fillId="5" borderId="1" applyAlignment="1" pivotButton="0" quotePrefix="1" xfId="0">
      <alignment horizontal="center" vertical="center" wrapText="1"/>
    </xf>
    <xf numFmtId="0" fontId="12" fillId="5" borderId="1" applyAlignment="1" pivotButton="0" quotePrefix="0" xfId="0">
      <alignment vertical="center" wrapText="1"/>
    </xf>
    <xf numFmtId="0" fontId="12" fillId="5" borderId="1" applyAlignment="1" pivotButton="0" quotePrefix="0" xfId="0">
      <alignment horizontal="left" vertical="center" wrapText="1"/>
    </xf>
    <xf numFmtId="0" fontId="12" fillId="5" borderId="1" applyAlignment="1" pivotButton="0" quotePrefix="0" xfId="0">
      <alignment horizontal="center" vertical="center" wrapText="1"/>
    </xf>
    <xf numFmtId="0" fontId="0" fillId="0" borderId="1" applyAlignment="1" pivotButton="0" quotePrefix="0" xfId="0">
      <alignment vertical="center" wrapText="1"/>
    </xf>
    <xf numFmtId="0" fontId="56" fillId="5" borderId="1" applyAlignment="1" pivotButton="0" quotePrefix="0" xfId="0">
      <alignment horizontal="left" vertical="top" wrapText="1"/>
    </xf>
    <xf numFmtId="0" fontId="50" fillId="5" borderId="1" applyAlignment="1" pivotButton="0" quotePrefix="0" xfId="0">
      <alignment horizontal="left" vertical="top" wrapText="1"/>
    </xf>
    <xf numFmtId="0" fontId="12" fillId="5" borderId="1" applyAlignment="1" pivotButton="0" quotePrefix="0" xfId="0">
      <alignment horizontal="left" vertical="top" wrapText="1"/>
    </xf>
    <xf numFmtId="0" fontId="12" fillId="5" borderId="1" applyAlignment="1" pivotButton="0" quotePrefix="0" xfId="0">
      <alignment horizontal="center" vertical="top" wrapText="1"/>
    </xf>
    <xf numFmtId="0" fontId="12" fillId="5" borderId="2" applyAlignment="1" pivotButton="0" quotePrefix="0" xfId="0">
      <alignment horizontal="left" vertical="top" wrapText="1"/>
    </xf>
    <xf numFmtId="0" fontId="0" fillId="0" borderId="22" applyAlignment="1" pivotButton="0" quotePrefix="0" xfId="0">
      <alignment horizontal="center" vertical="center"/>
    </xf>
    <xf numFmtId="0" fontId="0" fillId="0" borderId="23" applyAlignment="1" pivotButton="0" quotePrefix="0" xfId="0">
      <alignment horizontal="center" vertical="center"/>
    </xf>
    <xf numFmtId="16" fontId="12" fillId="5" borderId="14" applyAlignment="1" pivotButton="0" quotePrefix="0" xfId="0">
      <alignment horizontal="left" vertical="center" wrapText="1"/>
    </xf>
    <xf numFmtId="0" fontId="12" fillId="5" borderId="3" applyAlignment="1" pivotButton="0" quotePrefix="0" xfId="0">
      <alignment horizontal="center" vertical="center" wrapText="1"/>
    </xf>
    <xf numFmtId="16" fontId="12" fillId="5" borderId="3" applyAlignment="1" pivotButton="0" quotePrefix="0" xfId="0">
      <alignment horizontal="center" vertical="center" wrapText="1"/>
    </xf>
    <xf numFmtId="0" fontId="15" fillId="5" borderId="15" applyAlignment="1" pivotButton="0" quotePrefix="0" xfId="0">
      <alignment horizontal="center" vertical="center"/>
    </xf>
    <xf numFmtId="0" fontId="12" fillId="5" borderId="8" applyAlignment="1" pivotButton="0" quotePrefix="0" xfId="0">
      <alignment horizontal="center" vertical="center" wrapText="1"/>
    </xf>
    <xf numFmtId="0" fontId="12" fillId="5" borderId="8" applyAlignment="1" pivotButton="0" quotePrefix="0" xfId="0">
      <alignment horizontal="center" vertical="top" wrapText="1"/>
    </xf>
    <xf numFmtId="16" fontId="12" fillId="5" borderId="8" applyAlignment="1" pivotButton="0" quotePrefix="0" xfId="0">
      <alignment horizontal="center" vertical="center" wrapText="1"/>
    </xf>
    <xf numFmtId="0" fontId="15" fillId="5" borderId="60" applyAlignment="1" pivotButton="0" quotePrefix="0" xfId="0">
      <alignment horizontal="center"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1" applyAlignment="1" pivotButton="0" quotePrefix="0" xfId="0">
      <alignment vertical="center"/>
    </xf>
    <xf numFmtId="0" fontId="0" fillId="0" borderId="41" applyAlignment="1" pivotButton="0" quotePrefix="0" xfId="0">
      <alignment vertical="center"/>
    </xf>
    <xf numFmtId="0" fontId="0" fillId="0" borderId="2" applyAlignment="1" pivotButton="0" quotePrefix="0" xfId="0">
      <alignment horizontal="left" vertical="center"/>
    </xf>
    <xf numFmtId="0" fontId="0" fillId="0" borderId="3" applyAlignment="1" pivotButton="0" quotePrefix="0" xfId="0">
      <alignment horizontal="left" vertical="center"/>
    </xf>
    <xf numFmtId="0" fontId="20" fillId="6" borderId="28" applyAlignment="1" pivotButton="0" quotePrefix="0" xfId="0">
      <alignment horizontal="center" vertical="center" textRotation="90" wrapText="1"/>
    </xf>
    <xf numFmtId="0" fontId="20" fillId="6" borderId="29" applyAlignment="1" pivotButton="0" quotePrefix="0" xfId="0">
      <alignment horizontal="center" vertical="center" textRotation="90"/>
    </xf>
    <xf numFmtId="0" fontId="20" fillId="6" borderId="35" applyAlignment="1" pivotButton="0" quotePrefix="0" xfId="0">
      <alignment horizontal="center" vertical="center" textRotation="90"/>
    </xf>
    <xf numFmtId="0" fontId="20" fillId="6" borderId="0" applyAlignment="1" pivotButton="0" quotePrefix="0" xfId="0">
      <alignment horizontal="center" vertical="center" textRotation="90"/>
    </xf>
    <xf numFmtId="0" fontId="20" fillId="6" borderId="36" applyAlignment="1" pivotButton="0" quotePrefix="0" xfId="0">
      <alignment horizontal="center" vertical="center" textRotation="90"/>
    </xf>
    <xf numFmtId="0" fontId="20" fillId="6" borderId="42" applyAlignment="1" pivotButton="0" quotePrefix="0" xfId="0">
      <alignment horizontal="center" vertical="center" textRotation="90"/>
    </xf>
    <xf numFmtId="0" fontId="20" fillId="6" borderId="29" applyAlignment="1" pivotButton="0" quotePrefix="0" xfId="0">
      <alignment horizontal="center" vertical="center" textRotation="90" wrapText="1"/>
    </xf>
    <xf numFmtId="0" fontId="20" fillId="6" borderId="35" applyAlignment="1" pivotButton="0" quotePrefix="0" xfId="0">
      <alignment horizontal="center" vertical="center" textRotation="90" wrapText="1"/>
    </xf>
    <xf numFmtId="0" fontId="20" fillId="6" borderId="0" applyAlignment="1" pivotButton="0" quotePrefix="0" xfId="0">
      <alignment horizontal="center" vertical="center" textRotation="90" wrapText="1"/>
    </xf>
    <xf numFmtId="0" fontId="20" fillId="6" borderId="37" applyAlignment="1" pivotButton="0" quotePrefix="0" xfId="0">
      <alignment horizontal="center" vertical="center" textRotation="90" wrapText="1"/>
    </xf>
    <xf numFmtId="0" fontId="20" fillId="6" borderId="36" applyAlignment="1" pivotButton="0" quotePrefix="0" xfId="0">
      <alignment horizontal="center" vertical="center" textRotation="90" wrapText="1"/>
    </xf>
    <xf numFmtId="0" fontId="20" fillId="6" borderId="25" applyAlignment="1" pivotButton="0" quotePrefix="0" xfId="0">
      <alignment horizontal="center" vertical="center" textRotation="90" wrapText="1"/>
    </xf>
    <xf numFmtId="0" fontId="0" fillId="11" borderId="3" applyAlignment="1" pivotButton="0" quotePrefix="0" xfId="0">
      <alignment vertical="center"/>
    </xf>
    <xf numFmtId="0" fontId="0" fillId="11" borderId="1" applyAlignment="1" pivotButton="0" quotePrefix="0" xfId="0">
      <alignment vertical="center"/>
    </xf>
    <xf numFmtId="0" fontId="16" fillId="5" borderId="3" applyAlignment="1" pivotButton="0" quotePrefix="0" xfId="0">
      <alignment vertical="center" readingOrder="1"/>
    </xf>
    <xf numFmtId="0" fontId="16" fillId="5" borderId="1" applyAlignment="1" pivotButton="0" quotePrefix="0" xfId="0">
      <alignment vertical="center" readingOrder="1"/>
    </xf>
    <xf numFmtId="0" fontId="16" fillId="5" borderId="1" applyAlignment="1" pivotButton="0" quotePrefix="0" xfId="0">
      <alignment horizontal="left" vertical="center" readingOrder="1"/>
    </xf>
    <xf numFmtId="0" fontId="9" fillId="14" borderId="30" applyAlignment="1" pivotButton="0" quotePrefix="0" xfId="0">
      <alignment horizontal="center" vertical="center" wrapText="1"/>
    </xf>
    <xf numFmtId="0" fontId="9" fillId="14" borderId="34" applyAlignment="1" pivotButton="0" quotePrefix="0" xfId="0">
      <alignment horizontal="center" vertical="center" wrapText="1"/>
    </xf>
    <xf numFmtId="0" fontId="9" fillId="14" borderId="29" applyAlignment="1" pivotButton="0" quotePrefix="0" xfId="0">
      <alignment horizontal="center" vertical="center" wrapText="1"/>
    </xf>
    <xf numFmtId="0" fontId="9" fillId="14" borderId="54" applyAlignment="1" pivotButton="0" quotePrefix="0" xfId="0">
      <alignment horizontal="center" vertical="center" wrapText="1"/>
    </xf>
    <xf numFmtId="0" fontId="9" fillId="14" borderId="1" applyAlignment="1" pivotButton="0" quotePrefix="0" xfId="0">
      <alignment horizontal="center" vertical="center" wrapText="1"/>
    </xf>
    <xf numFmtId="0" fontId="11" fillId="12" borderId="28" applyAlignment="1" pivotButton="0" quotePrefix="0" xfId="0">
      <alignment vertical="center"/>
    </xf>
    <xf numFmtId="0" fontId="11" fillId="6" borderId="26" applyAlignment="1" pivotButton="0" quotePrefix="0" xfId="0">
      <alignment horizontal="center" vertical="center" wrapText="1"/>
    </xf>
    <xf numFmtId="0" fontId="11" fillId="6" borderId="4" applyAlignment="1" pivotButton="0" quotePrefix="0" xfId="0">
      <alignment horizontal="center" vertical="center" wrapText="1"/>
    </xf>
    <xf numFmtId="0" fontId="9" fillId="14" borderId="1" applyAlignment="1" pivotButton="0" quotePrefix="0" xfId="0">
      <alignment vertical="center" wrapText="1"/>
    </xf>
    <xf numFmtId="0" fontId="9" fillId="14" borderId="30" applyAlignment="1" pivotButton="0" quotePrefix="0" xfId="0">
      <alignment vertical="center" wrapText="1"/>
    </xf>
    <xf numFmtId="0" fontId="9" fillId="14" borderId="34" applyAlignment="1" pivotButton="0" quotePrefix="0" xfId="0">
      <alignment vertical="center" wrapText="1"/>
    </xf>
    <xf numFmtId="0" fontId="9" fillId="14" borderId="33" applyAlignment="1" pivotButton="0" quotePrefix="0" xfId="0">
      <alignment vertical="center" wrapText="1"/>
    </xf>
    <xf numFmtId="0" fontId="9" fillId="14" borderId="55" applyAlignment="1" pivotButton="0" quotePrefix="0" xfId="0">
      <alignment vertical="center" wrapText="1"/>
    </xf>
    <xf numFmtId="0" fontId="9" fillId="14" borderId="32" applyAlignment="1" pivotButton="0" quotePrefix="0" xfId="0">
      <alignment horizontal="center" vertical="center" wrapText="1"/>
    </xf>
    <xf numFmtId="0" fontId="9" fillId="14" borderId="23" applyAlignment="1" pivotButton="0" quotePrefix="0" xfId="0">
      <alignment horizontal="center" vertical="center" wrapText="1"/>
    </xf>
    <xf numFmtId="0" fontId="9" fillId="14" borderId="31" applyAlignment="1" pivotButton="0" quotePrefix="0" xfId="0">
      <alignment horizontal="center" vertical="center" wrapText="1"/>
    </xf>
    <xf numFmtId="0" fontId="9" fillId="14" borderId="22" applyAlignment="1" pivotButton="0" quotePrefix="0" xfId="0">
      <alignment horizontal="center" vertical="center" wrapText="1"/>
    </xf>
    <xf numFmtId="0" fontId="9" fillId="14" borderId="3" applyAlignment="1" pivotButton="0" quotePrefix="0" xfId="0">
      <alignment vertical="center" wrapText="1"/>
    </xf>
    <xf numFmtId="0" fontId="16" fillId="5" borderId="1" applyAlignment="1" pivotButton="0" quotePrefix="0" xfId="0">
      <alignment horizontal="left" vertical="center" wrapText="1" readingOrder="1"/>
    </xf>
    <xf numFmtId="0" fontId="0" fillId="0" borderId="1" applyAlignment="1" pivotButton="0" quotePrefix="0" xfId="0">
      <alignment horizontal="left" vertical="center"/>
    </xf>
    <xf numFmtId="0" fontId="16" fillId="5" borderId="1" applyAlignment="1" pivotButton="0" quotePrefix="0" xfId="0">
      <alignment horizontal="center" vertical="center" readingOrder="1"/>
    </xf>
    <xf numFmtId="0" fontId="6" fillId="6" borderId="0" applyAlignment="1" pivotButton="0" quotePrefix="0" xfId="0">
      <alignment horizontal="left"/>
    </xf>
    <xf numFmtId="0" fontId="12" fillId="5" borderId="2"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center" vertical="center"/>
    </xf>
    <xf numFmtId="0" fontId="16" fillId="5" borderId="2" applyAlignment="1" pivotButton="0" quotePrefix="0" xfId="0">
      <alignment vertical="center" readingOrder="1"/>
    </xf>
    <xf numFmtId="0" fontId="16" fillId="5" borderId="8" applyAlignment="1" pivotButton="0" quotePrefix="0" xfId="0">
      <alignment vertical="center" readingOrder="1"/>
    </xf>
    <xf numFmtId="0" fontId="12" fillId="5" borderId="3" applyAlignment="1" pivotButton="0" quotePrefix="0" xfId="0">
      <alignment vertical="center"/>
    </xf>
    <xf numFmtId="0" fontId="12" fillId="5" borderId="8" applyAlignment="1" pivotButton="0" quotePrefix="0" xfId="0">
      <alignment horizontal="left" vertical="center" wrapText="1"/>
    </xf>
    <xf numFmtId="0" fontId="12" fillId="5" borderId="8" applyAlignment="1" pivotButton="0" quotePrefix="0" xfId="0">
      <alignment horizontal="left" vertical="center"/>
    </xf>
    <xf numFmtId="9" fontId="12" fillId="5" borderId="2" applyAlignment="1" pivotButton="0" quotePrefix="0" xfId="0">
      <alignment horizontal="center" vertical="center"/>
    </xf>
    <xf numFmtId="0" fontId="12" fillId="5" borderId="1" applyAlignment="1" pivotButton="0" quotePrefix="0" xfId="0">
      <alignment vertical="center"/>
    </xf>
    <xf numFmtId="0" fontId="12" fillId="5" borderId="8" applyAlignment="1" pivotButton="0" quotePrefix="0" xfId="0">
      <alignment horizontal="center" vertical="center"/>
    </xf>
    <xf numFmtId="0" fontId="12" fillId="5" borderId="1" applyAlignment="1" pivotButton="0" quotePrefix="0" xfId="0">
      <alignment horizontal="left" vertical="center"/>
    </xf>
    <xf numFmtId="0" fontId="12" fillId="0" borderId="3" applyAlignment="1" pivotButton="0" quotePrefix="0" xfId="0">
      <alignment horizontal="center" vertical="center"/>
    </xf>
    <xf numFmtId="0" fontId="12" fillId="0" borderId="3" applyAlignment="1" pivotButton="0" quotePrefix="0" xfId="0">
      <alignment vertical="center"/>
    </xf>
    <xf numFmtId="16" fontId="12" fillId="5" borderId="14" applyAlignment="1" pivotButton="0" quotePrefix="0" xfId="0">
      <alignment horizontal="center" vertical="center" wrapText="1"/>
    </xf>
    <xf numFmtId="0" fontId="12" fillId="5" borderId="3" applyAlignment="1" pivotButton="0" quotePrefix="0" xfId="0">
      <alignment horizontal="left" vertical="center" wrapText="1"/>
    </xf>
    <xf numFmtId="0" fontId="11" fillId="8" borderId="5" applyAlignment="1" pivotButton="0" quotePrefix="0" xfId="2">
      <alignment horizontal="center" vertical="center" wrapText="1"/>
    </xf>
    <xf numFmtId="0" fontId="11" fillId="8" borderId="6" applyAlignment="1" pivotButton="0" quotePrefix="0" xfId="2">
      <alignment horizontal="center" vertical="center" wrapText="1"/>
    </xf>
    <xf numFmtId="0" fontId="13" fillId="7" borderId="20" applyAlignment="1" pivotButton="0" quotePrefix="0" xfId="3">
      <alignment horizontal="center" vertical="center"/>
    </xf>
    <xf numFmtId="0" fontId="13" fillId="7" borderId="21" applyAlignment="1" pivotButton="0" quotePrefix="0" xfId="3">
      <alignment horizontal="center" vertical="center"/>
    </xf>
    <xf numFmtId="0" fontId="24" fillId="17" borderId="8" applyAlignment="1" pivotButton="0" quotePrefix="0" xfId="0">
      <alignment vertical="center" wrapText="1" readingOrder="1"/>
    </xf>
    <xf numFmtId="0" fontId="24" fillId="17" borderId="3" applyAlignment="1" pivotButton="0" quotePrefix="0" xfId="0">
      <alignment vertical="center" wrapText="1" readingOrder="1"/>
    </xf>
    <xf numFmtId="0" fontId="24" fillId="17" borderId="8" applyAlignment="1" pivotButton="0" quotePrefix="0" xfId="0">
      <alignment horizontal="left" wrapText="1"/>
    </xf>
    <xf numFmtId="0" fontId="24" fillId="17" borderId="45" applyAlignment="1" pivotButton="0" quotePrefix="0" xfId="0">
      <alignment horizontal="left" wrapText="1"/>
    </xf>
    <xf numFmtId="0" fontId="24" fillId="17" borderId="8" applyAlignment="1" pivotButton="0" quotePrefix="0" xfId="0">
      <alignment horizontal="center" vertical="center"/>
    </xf>
    <xf numFmtId="0" fontId="24" fillId="17" borderId="45" applyAlignment="1" pivotButton="0" quotePrefix="0" xfId="0">
      <alignment horizontal="center" vertical="center"/>
    </xf>
    <xf numFmtId="0" fontId="24" fillId="17" borderId="8" applyAlignment="1" pivotButton="0" quotePrefix="0" xfId="0">
      <alignment horizontal="center" vertical="center" wrapText="1"/>
    </xf>
    <xf numFmtId="0" fontId="24" fillId="17" borderId="45" applyAlignment="1" pivotButton="0" quotePrefix="0" xfId="0">
      <alignment horizontal="center" vertical="center" wrapText="1"/>
    </xf>
    <xf numFmtId="0" fontId="24" fillId="17" borderId="9" applyAlignment="1" pivotButton="0" quotePrefix="0" xfId="0">
      <alignment horizontal="center"/>
    </xf>
    <xf numFmtId="0" fontId="24" fillId="17" borderId="45" applyAlignment="1" pivotButton="0" quotePrefix="0" xfId="0">
      <alignment horizontal="center"/>
    </xf>
    <xf numFmtId="0" fontId="0" fillId="0" borderId="27" applyAlignment="1" pivotButton="0" quotePrefix="0" xfId="0">
      <alignment horizontal="left"/>
    </xf>
    <xf numFmtId="0" fontId="0" fillId="0" borderId="10" applyAlignment="1" pivotButton="0" quotePrefix="0" xfId="0">
      <alignment horizontal="left"/>
    </xf>
    <xf numFmtId="0" fontId="12" fillId="5" borderId="56" applyAlignment="1" pivotButton="0" quotePrefix="0" xfId="0">
      <alignment horizontal="center" vertical="center"/>
    </xf>
    <xf numFmtId="0" fontId="12" fillId="5" borderId="56" applyAlignment="1" pivotButton="0" quotePrefix="0" xfId="0">
      <alignment horizontal="center" vertical="center" wrapText="1"/>
    </xf>
    <xf numFmtId="0" fontId="41" fillId="5" borderId="56" applyAlignment="1" pivotButton="0" quotePrefix="0" xfId="0">
      <alignment horizontal="center" vertical="center"/>
    </xf>
    <xf numFmtId="0" fontId="41" fillId="5" borderId="3" applyAlignment="1" pivotButton="0" quotePrefix="0" xfId="0">
      <alignment horizontal="center" vertical="center"/>
    </xf>
    <xf numFmtId="0" fontId="28" fillId="17" borderId="8" applyAlignment="1" pivotButton="0" quotePrefix="0" xfId="0">
      <alignment horizontal="center" vertical="center"/>
    </xf>
    <xf numFmtId="0" fontId="28" fillId="17" borderId="45" applyAlignment="1" pivotButton="0" quotePrefix="0" xfId="0">
      <alignment horizontal="center" vertical="center"/>
    </xf>
    <xf numFmtId="0" fontId="13" fillId="7" borderId="19" applyAlignment="1" pivotButton="0" quotePrefix="0" xfId="0">
      <alignment horizontal="center"/>
    </xf>
    <xf numFmtId="0" fontId="13" fillId="7" borderId="20" applyAlignment="1" pivotButton="0" quotePrefix="0" xfId="0">
      <alignment horizontal="center"/>
    </xf>
    <xf numFmtId="0" fontId="13" fillId="7" borderId="21" applyAlignment="1" pivotButton="0" quotePrefix="0" xfId="0">
      <alignment horizontal="center"/>
    </xf>
    <xf numFmtId="0" fontId="12" fillId="0" borderId="15" applyAlignment="1" pivotButton="0" quotePrefix="0" xfId="0">
      <alignment vertical="center"/>
    </xf>
    <xf numFmtId="0" fontId="12" fillId="0" borderId="3" applyAlignment="1" pivotButton="0" quotePrefix="0" xfId="0">
      <alignment vertical="center" wrapText="1"/>
    </xf>
    <xf numFmtId="0" fontId="12" fillId="0" borderId="17" applyAlignment="1" pivotButton="0" quotePrefix="0" xfId="0">
      <alignment vertical="center"/>
    </xf>
    <xf numFmtId="0" fontId="0" fillId="0" borderId="22" applyAlignment="1" pivotButton="0" quotePrefix="0" xfId="0">
      <alignment horizontal="center"/>
    </xf>
    <xf numFmtId="0" fontId="0" fillId="0" borderId="23" applyAlignment="1" pivotButton="0" quotePrefix="0" xfId="0">
      <alignment horizontal="center"/>
    </xf>
    <xf numFmtId="0" fontId="12" fillId="0" borderId="16" applyAlignment="1" pivotButton="0" quotePrefix="0" xfId="0">
      <alignment vertical="center"/>
    </xf>
    <xf numFmtId="0" fontId="12" fillId="0" borderId="16" applyAlignment="1" pivotButton="0" quotePrefix="0" xfId="0">
      <alignment horizontal="center" vertical="center"/>
    </xf>
    <xf numFmtId="16" fontId="12" fillId="5" borderId="16" applyAlignment="1" pivotButton="0" quotePrefix="0" xfId="0">
      <alignment horizontal="center" vertical="center" wrapText="1"/>
    </xf>
    <xf numFmtId="16" fontId="12" fillId="5" borderId="24" applyAlignment="1" pivotButton="0" quotePrefix="0" xfId="0">
      <alignment horizontal="center" vertical="center" wrapText="1"/>
    </xf>
    <xf numFmtId="0" fontId="14" fillId="9" borderId="0" applyAlignment="1" pivotButton="0" quotePrefix="0" xfId="0">
      <alignment horizontal="center"/>
    </xf>
    <xf numFmtId="16" fontId="12" fillId="5" borderId="18" applyAlignment="1" pivotButton="0" quotePrefix="0" xfId="0">
      <alignment horizontal="center" vertical="center" wrapText="1"/>
    </xf>
    <xf numFmtId="0" fontId="12" fillId="5" borderId="16" applyAlignment="1" pivotButton="0" quotePrefix="0" xfId="0">
      <alignment horizontal="left" vertical="center" wrapText="1"/>
    </xf>
    <xf numFmtId="0" fontId="12" fillId="5" borderId="16" applyAlignment="1" pivotButton="0" quotePrefix="0" xfId="0">
      <alignment horizontal="center" vertical="center" wrapText="1"/>
    </xf>
    <xf numFmtId="0" fontId="12" fillId="0" borderId="2" applyAlignment="1" pivotButton="0" quotePrefix="0" xfId="0">
      <alignment horizontal="left" vertical="center" wrapText="1"/>
    </xf>
    <xf numFmtId="0" fontId="12" fillId="0" borderId="3" applyAlignment="1" pivotButton="0" quotePrefix="0" xfId="0">
      <alignment horizontal="left" vertical="center"/>
    </xf>
    <xf numFmtId="9" fontId="12"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12" fillId="0" borderId="3" applyAlignment="1" pivotButton="0" quotePrefix="0" xfId="0">
      <alignment horizontal="center" vertical="center" wrapText="1"/>
    </xf>
    <xf numFmtId="0" fontId="16" fillId="5" borderId="3" applyAlignment="1" pivotButton="0" quotePrefix="0" xfId="0">
      <alignment horizontal="left" vertical="center" readingOrder="1"/>
    </xf>
    <xf numFmtId="0" fontId="16" fillId="5" borderId="3" applyAlignment="1" pivotButton="0" quotePrefix="0" xfId="0">
      <alignment horizontal="left" vertical="center" wrapText="1" readingOrder="1"/>
    </xf>
    <xf numFmtId="9" fontId="12" fillId="5" borderId="2" applyAlignment="1" pivotButton="0" quotePrefix="0" xfId="0">
      <alignment horizontal="center" vertical="center" wrapText="1"/>
    </xf>
    <xf numFmtId="9" fontId="12" fillId="5" borderId="3" applyAlignment="1" pivotButton="0" quotePrefix="0" xfId="0">
      <alignment horizontal="center" vertical="center" wrapText="1"/>
    </xf>
    <xf numFmtId="0" fontId="11" fillId="8" borderId="5" applyAlignment="1" pivotButton="0" quotePrefix="0" xfId="2">
      <alignment horizontal="left" vertical="center" wrapText="1"/>
    </xf>
    <xf numFmtId="0" fontId="11" fillId="8" borderId="6" applyAlignment="1" pivotButton="0" quotePrefix="0" xfId="2">
      <alignment horizontal="left" vertical="center" wrapText="1"/>
    </xf>
    <xf numFmtId="0" fontId="0" fillId="0" borderId="8" applyAlignment="1" pivotButton="0" quotePrefix="0" xfId="0">
      <alignment horizontal="center" vertical="center"/>
    </xf>
    <xf numFmtId="0" fontId="0" fillId="0" borderId="3" applyAlignment="1" pivotButton="0" quotePrefix="0" xfId="0">
      <alignment horizontal="center" vertical="center"/>
    </xf>
    <xf numFmtId="0" fontId="0" fillId="0" borderId="3" applyAlignment="1" pivotButton="0" quotePrefix="0" xfId="0">
      <alignment horizontal="center" vertical="center" wrapText="1"/>
    </xf>
    <xf numFmtId="0" fontId="12" fillId="5" borderId="61" applyAlignment="1" pivotButton="0" quotePrefix="0" xfId="0">
      <alignment horizontal="left" vertical="center"/>
    </xf>
    <xf numFmtId="0" fontId="12" fillId="5" borderId="62" applyAlignment="1" pivotButton="0" quotePrefix="0" xfId="0">
      <alignment horizontal="left" vertical="center"/>
    </xf>
    <xf numFmtId="0" fontId="3" fillId="5" borderId="2" applyAlignment="1" pivotButton="0" quotePrefix="0" xfId="0">
      <alignment horizontal="center" vertical="center" wrapText="1"/>
    </xf>
    <xf numFmtId="0" fontId="3" fillId="5" borderId="3" applyAlignment="1" pivotButton="0" quotePrefix="0" xfId="0">
      <alignment horizontal="center" vertical="center"/>
    </xf>
    <xf numFmtId="0" fontId="0" fillId="0" borderId="8" applyAlignment="1" pivotButton="0" quotePrefix="0" xfId="0">
      <alignment horizontal="center" vertical="center" wrapText="1"/>
    </xf>
    <xf numFmtId="9" fontId="12" fillId="5" borderId="3" applyAlignment="1" pivotButton="0" quotePrefix="0" xfId="0">
      <alignment horizontal="center" vertical="center"/>
    </xf>
    <xf numFmtId="0" fontId="12" fillId="5" borderId="56" applyAlignment="1" pivotButton="0" quotePrefix="0" xfId="0">
      <alignment horizontal="left" vertical="center" wrapText="1"/>
    </xf>
    <xf numFmtId="0" fontId="12" fillId="5" borderId="26" applyAlignment="1" pivotButton="0" quotePrefix="0" xfId="0">
      <alignment horizontal="center" vertical="center"/>
    </xf>
    <xf numFmtId="0" fontId="12" fillId="5" borderId="11" applyAlignment="1" pivotButton="0" quotePrefix="0" xfId="0">
      <alignment horizontal="center" vertical="center"/>
    </xf>
    <xf numFmtId="0" fontId="18" fillId="5" borderId="3" applyAlignment="1" pivotButton="0" quotePrefix="0" xfId="0">
      <alignment horizontal="center" vertical="center"/>
    </xf>
    <xf numFmtId="0" fontId="12" fillId="0" borderId="8" applyAlignment="1" pivotButton="0" quotePrefix="0" xfId="0">
      <alignment vertical="center"/>
    </xf>
    <xf numFmtId="0" fontId="12" fillId="5" borderId="41" applyAlignment="1" pivotButton="0" quotePrefix="0" xfId="0">
      <alignment horizontal="center" vertical="center" wrapText="1"/>
    </xf>
    <xf numFmtId="16" fontId="12" fillId="5" borderId="71" applyAlignment="1" pivotButton="0" quotePrefix="0" xfId="0">
      <alignment horizontal="center" vertical="center" wrapText="1"/>
    </xf>
    <xf numFmtId="0" fontId="15" fillId="5" borderId="41" applyAlignment="1" pivotButton="0" quotePrefix="0" xfId="0">
      <alignment horizontal="center" vertical="center"/>
    </xf>
    <xf numFmtId="16" fontId="12" fillId="5" borderId="18" applyAlignment="1" pivotButton="0" quotePrefix="0" xfId="0">
      <alignment horizontal="left" vertical="center" wrapText="1"/>
    </xf>
    <xf numFmtId="16" fontId="12" fillId="5" borderId="56" applyAlignment="1" pivotButton="0" quotePrefix="0" xfId="0">
      <alignment horizontal="center" vertical="center" wrapText="1"/>
    </xf>
    <xf numFmtId="16" fontId="12" fillId="5" borderId="45" applyAlignment="1" pivotButton="0" quotePrefix="0" xfId="0">
      <alignment horizontal="center" vertical="center" wrapText="1"/>
    </xf>
    <xf numFmtId="0" fontId="12" fillId="0" borderId="8" applyAlignment="1" pivotButton="0" quotePrefix="0" xfId="0">
      <alignment horizontal="center" vertical="center"/>
    </xf>
    <xf numFmtId="0" fontId="14" fillId="9" borderId="0" applyAlignment="1" pivotButton="0" quotePrefix="0" xfId="0">
      <alignment horizontal="left"/>
    </xf>
    <xf numFmtId="16" fontId="12" fillId="5" borderId="73" applyAlignment="1" pivotButton="0" quotePrefix="0" xfId="0">
      <alignment horizontal="left" vertical="center" wrapText="1"/>
    </xf>
    <xf numFmtId="16" fontId="12" fillId="5" borderId="41" applyAlignment="1" pivotButton="0" quotePrefix="0" xfId="0">
      <alignment horizontal="left" vertical="center" wrapText="1"/>
    </xf>
    <xf numFmtId="0" fontId="12" fillId="0" borderId="60" applyAlignment="1" pivotButton="0" quotePrefix="0" xfId="0">
      <alignment vertical="center"/>
    </xf>
    <xf numFmtId="0" fontId="12" fillId="5" borderId="2" applyAlignment="1" pivotButton="0" quotePrefix="0" xfId="0">
      <alignment vertical="center"/>
    </xf>
    <xf numFmtId="0" fontId="16" fillId="5" borderId="2" applyAlignment="1" pivotButton="0" quotePrefix="0" xfId="0">
      <alignment vertical="center" wrapText="1" readingOrder="1"/>
    </xf>
    <xf numFmtId="0" fontId="16" fillId="5" borderId="3" applyAlignment="1" pivotButton="0" quotePrefix="0" xfId="0">
      <alignment vertical="center" wrapText="1" readingOrder="1"/>
    </xf>
    <xf numFmtId="0" fontId="12" fillId="5" borderId="3" applyAlignment="1" pivotButton="0" quotePrefix="0" xfId="0">
      <alignment vertical="center" wrapText="1"/>
    </xf>
    <xf numFmtId="0" fontId="12" fillId="0" borderId="3" applyAlignment="1" pivotButton="0" quotePrefix="0" xfId="0">
      <alignment horizontal="left" vertical="center" wrapText="1"/>
    </xf>
    <xf numFmtId="0" fontId="0" fillId="0" borderId="1" applyAlignment="1" pivotButton="0" quotePrefix="0" xfId="0">
      <alignment horizontal="left" vertical="center" wrapText="1"/>
    </xf>
    <xf numFmtId="1" fontId="12" fillId="5" borderId="2" applyAlignment="1" pivotButton="0" quotePrefix="0" xfId="0">
      <alignment horizontal="center" vertical="center"/>
    </xf>
    <xf numFmtId="1" fontId="12" fillId="5" borderId="3" applyAlignment="1" pivotButton="0" quotePrefix="0" xfId="0">
      <alignment horizontal="center" vertical="center"/>
    </xf>
    <xf numFmtId="0" fontId="0" fillId="0" borderId="2" applyAlignment="1" pivotButton="0" quotePrefix="0" xfId="0">
      <alignment horizontal="left" vertical="center" wrapText="1"/>
    </xf>
    <xf numFmtId="0" fontId="0" fillId="0" borderId="8" applyAlignment="1" pivotButton="0" quotePrefix="0" xfId="0">
      <alignment horizontal="left" vertical="center" wrapText="1"/>
    </xf>
    <xf numFmtId="0" fontId="0" fillId="0" borderId="1" applyAlignment="1" pivotButton="0" quotePrefix="0" xfId="0">
      <alignment horizontal="center" vertical="center"/>
    </xf>
    <xf numFmtId="0" fontId="9" fillId="0" borderId="22" applyAlignment="1" pivotButton="0" quotePrefix="0" xfId="0">
      <alignment horizontal="center"/>
    </xf>
    <xf numFmtId="0" fontId="9" fillId="0" borderId="54" applyAlignment="1" pivotButton="0" quotePrefix="0" xfId="0">
      <alignment horizontal="center"/>
    </xf>
    <xf numFmtId="0" fontId="9" fillId="0" borderId="23" applyAlignment="1" pivotButton="0" quotePrefix="0" xfId="0">
      <alignment horizontal="center"/>
    </xf>
    <xf numFmtId="0" fontId="0" fillId="0" borderId="46" applyAlignment="1" pivotButton="0" quotePrefix="0" xfId="0">
      <alignment horizontal="left" vertical="center"/>
    </xf>
    <xf numFmtId="0" fontId="0" fillId="25" borderId="46" applyAlignment="1" pivotButton="0" quotePrefix="0" xfId="0">
      <alignment horizontal="left" vertical="center"/>
    </xf>
    <xf numFmtId="0" fontId="0" fillId="25" borderId="48" applyAlignment="1" pivotButton="0" quotePrefix="0" xfId="0">
      <alignment horizontal="left" vertical="center"/>
    </xf>
    <xf numFmtId="0" fontId="0" fillId="0" borderId="48" applyAlignment="1" pivotButton="0" quotePrefix="0" xfId="0">
      <alignment horizontal="left" vertical="center"/>
    </xf>
    <xf numFmtId="0" fontId="9" fillId="0" borderId="59" applyAlignment="1" pivotButton="0" quotePrefix="0" xfId="0">
      <alignment horizontal="center"/>
    </xf>
    <xf numFmtId="0" fontId="9" fillId="0" borderId="34" applyAlignment="1" pivotButton="0" quotePrefix="0" xfId="0">
      <alignment horizontal="center"/>
    </xf>
    <xf numFmtId="0" fontId="18" fillId="5" borderId="2" applyAlignment="1" pivotButton="0" quotePrefix="0" xfId="0">
      <alignment horizontal="left" vertical="center" readingOrder="1"/>
    </xf>
    <xf numFmtId="0" fontId="18" fillId="5" borderId="3" applyAlignment="1" pivotButton="0" quotePrefix="0" xfId="0">
      <alignment horizontal="left" vertical="center" readingOrder="1"/>
    </xf>
    <xf numFmtId="0" fontId="18" fillId="5" borderId="2" applyAlignment="1" pivotButton="0" quotePrefix="0" xfId="0">
      <alignment horizontal="left" vertical="center" wrapText="1"/>
    </xf>
    <xf numFmtId="0" fontId="18" fillId="5" borderId="3" applyAlignment="1" pivotButton="0" quotePrefix="0" xfId="0">
      <alignment horizontal="left" vertical="center"/>
    </xf>
    <xf numFmtId="0" fontId="18" fillId="5" borderId="2" applyAlignment="1" pivotButton="0" quotePrefix="0" xfId="0">
      <alignment horizontal="center" vertical="center" wrapText="1"/>
    </xf>
    <xf numFmtId="0" fontId="18" fillId="5" borderId="2" applyAlignment="1" pivotButton="0" quotePrefix="0" xfId="0">
      <alignment vertical="center" wrapText="1" readingOrder="1"/>
    </xf>
    <xf numFmtId="0" fontId="18" fillId="5" borderId="3" applyAlignment="1" pivotButton="0" quotePrefix="0" xfId="0">
      <alignment vertical="center" wrapText="1"/>
    </xf>
    <xf numFmtId="0" fontId="18" fillId="5" borderId="3" applyAlignment="1" pivotButton="0" quotePrefix="0" xfId="0">
      <alignment vertical="center"/>
    </xf>
    <xf numFmtId="0" fontId="18" fillId="5" borderId="3" applyAlignment="1" pivotButton="0" quotePrefix="0" xfId="0">
      <alignment horizontal="left" vertical="center" wrapText="1"/>
    </xf>
    <xf numFmtId="0" fontId="18" fillId="5" borderId="2" applyAlignment="1" pivotButton="0" quotePrefix="0" xfId="0">
      <alignment horizontal="left" vertical="center" wrapText="1" readingOrder="1"/>
    </xf>
    <xf numFmtId="0" fontId="10" fillId="5" borderId="2" applyAlignment="1" pivotButton="0" quotePrefix="0" xfId="0">
      <alignment horizontal="center" vertical="center"/>
    </xf>
    <xf numFmtId="0" fontId="10" fillId="5" borderId="3" applyAlignment="1" pivotButton="0" quotePrefix="0" xfId="0">
      <alignment horizontal="center" vertical="center"/>
    </xf>
    <xf numFmtId="0" fontId="18" fillId="5" borderId="2" applyAlignment="1" pivotButton="0" quotePrefix="0" xfId="0">
      <alignment vertical="center"/>
    </xf>
    <xf numFmtId="0" fontId="18" fillId="5" borderId="2" applyAlignment="1" pivotButton="0" quotePrefix="0" xfId="0">
      <alignment vertical="center" wrapText="1"/>
    </xf>
    <xf numFmtId="0" fontId="22" fillId="5" borderId="2" applyAlignment="1" pivotButton="0" quotePrefix="0" xfId="0">
      <alignment vertical="center" wrapText="1" readingOrder="1"/>
    </xf>
    <xf numFmtId="0" fontId="22" fillId="5" borderId="3" applyAlignment="1" pivotButton="0" quotePrefix="0" xfId="0">
      <alignment vertical="center"/>
    </xf>
    <xf numFmtId="16" fontId="52" fillId="5" borderId="2" applyAlignment="1" pivotButton="0" quotePrefix="0" xfId="0">
      <alignment horizontal="center" vertical="center" wrapText="1"/>
    </xf>
    <xf numFmtId="16" fontId="30" fillId="5" borderId="2" applyAlignment="1" pivotButton="0" quotePrefix="0" xfId="0">
      <alignment horizontal="center" vertical="center" wrapText="1"/>
    </xf>
    <xf numFmtId="0" fontId="18" fillId="5" borderId="2" applyAlignment="1" pivotButton="0" quotePrefix="0" xfId="0">
      <alignment horizontal="center" vertical="center" readingOrder="1"/>
    </xf>
    <xf numFmtId="0" fontId="18" fillId="5" borderId="3" applyAlignment="1" pivotButton="0" quotePrefix="0" xfId="0">
      <alignment horizontal="center" vertical="center" readingOrder="1"/>
    </xf>
    <xf numFmtId="0" fontId="47" fillId="5" borderId="1" applyAlignment="1" pivotButton="0" quotePrefix="0" xfId="0">
      <alignment horizontal="left" vertical="center" wrapText="1"/>
    </xf>
    <xf numFmtId="0" fontId="3" fillId="5" borderId="2" applyAlignment="1" pivotButton="0" quotePrefix="1" xfId="0">
      <alignment horizontal="left" vertical="center" wrapText="1"/>
    </xf>
    <xf numFmtId="0" fontId="3" fillId="5" borderId="3" applyAlignment="1" pivotButton="0" quotePrefix="0" xfId="0">
      <alignment horizontal="left" vertical="center" wrapText="1"/>
    </xf>
    <xf numFmtId="0" fontId="16" fillId="0" borderId="2" applyAlignment="1" pivotButton="0" quotePrefix="0" xfId="0">
      <alignment horizontal="left" vertical="center" readingOrder="1"/>
    </xf>
    <xf numFmtId="167" fontId="12" fillId="5" borderId="2" applyAlignment="1" pivotButton="0" quotePrefix="0" xfId="0">
      <alignment horizontal="center" vertical="center" wrapText="1"/>
    </xf>
    <xf numFmtId="167" fontId="12" fillId="5" borderId="3" applyAlignment="1" pivotButton="0" quotePrefix="0" xfId="0">
      <alignment horizontal="center" vertical="center"/>
    </xf>
    <xf numFmtId="10" fontId="12" fillId="5" borderId="2" applyAlignment="1" pivotButton="0" quotePrefix="0" xfId="0">
      <alignment horizontal="center" vertical="center"/>
    </xf>
    <xf numFmtId="10" fontId="12" fillId="5" borderId="2" applyAlignment="1" pivotButton="0" quotePrefix="0" xfId="0">
      <alignment horizontal="center" vertical="center" wrapText="1"/>
    </xf>
    <xf numFmtId="0" fontId="12" fillId="0" borderId="15" applyAlignment="1" pivotButton="0" quotePrefix="0" xfId="0">
      <alignment vertical="center" wrapText="1"/>
    </xf>
    <xf numFmtId="0" fontId="3" fillId="5" borderId="2" applyAlignment="1" pivotButton="0" quotePrefix="0" xfId="0">
      <alignment horizontal="left" vertical="center" wrapText="1"/>
    </xf>
    <xf numFmtId="0" fontId="12" fillId="5" borderId="30" applyAlignment="1" pivotButton="0" quotePrefix="0" xfId="0">
      <alignment horizontal="center" vertical="center" wrapText="1"/>
    </xf>
    <xf numFmtId="0" fontId="24" fillId="28" borderId="12" applyAlignment="1" pivotButton="0" quotePrefix="0" xfId="0">
      <alignment wrapText="1"/>
    </xf>
    <xf numFmtId="0" fontId="24" fillId="28" borderId="18" applyAlignment="1" pivotButton="0" quotePrefix="0" xfId="0">
      <alignment wrapText="1"/>
    </xf>
    <xf numFmtId="0" fontId="24" fillId="28" borderId="2" applyAlignment="1" pivotButton="0" quotePrefix="0" xfId="0">
      <alignment wrapText="1"/>
    </xf>
    <xf numFmtId="0" fontId="24" fillId="28" borderId="8" applyAlignment="1" pivotButton="0" quotePrefix="0" xfId="0">
      <alignment wrapText="1"/>
    </xf>
    <xf numFmtId="0" fontId="24" fillId="28" borderId="2" applyAlignment="1" pivotButton="0" quotePrefix="0" xfId="0">
      <alignment horizontal="center" wrapText="1"/>
    </xf>
    <xf numFmtId="0" fontId="24" fillId="28" borderId="8" applyAlignment="1" pivotButton="0" quotePrefix="0" xfId="0">
      <alignment horizontal="center" wrapText="1"/>
    </xf>
    <xf numFmtId="0" fontId="24" fillId="17" borderId="12" applyAlignment="1" pivotButton="0" quotePrefix="0" xfId="0">
      <alignment wrapText="1"/>
    </xf>
    <xf numFmtId="0" fontId="24" fillId="17" borderId="66" applyAlignment="1" pivotButton="0" quotePrefix="0" xfId="0">
      <alignment wrapText="1"/>
    </xf>
    <xf numFmtId="0" fontId="24" fillId="17" borderId="18" applyAlignment="1" pivotButton="0" quotePrefix="0" xfId="0">
      <alignment wrapText="1"/>
    </xf>
    <xf numFmtId="0" fontId="24" fillId="17" borderId="8" applyAlignment="1" pivotButton="0" quotePrefix="0" xfId="0">
      <alignment wrapText="1"/>
    </xf>
    <xf numFmtId="0" fontId="24" fillId="17" borderId="45" applyAlignment="1" pivotButton="0" quotePrefix="0" xfId="0">
      <alignment wrapText="1"/>
    </xf>
    <xf numFmtId="0" fontId="24" fillId="17" borderId="8" applyAlignment="1" pivotButton="0" quotePrefix="1" xfId="0">
      <alignment horizontal="center" wrapText="1"/>
    </xf>
    <xf numFmtId="0" fontId="24" fillId="17" borderId="45" applyAlignment="1" pivotButton="0" quotePrefix="0" xfId="0">
      <alignment horizontal="center" wrapText="1"/>
    </xf>
    <xf numFmtId="0" fontId="24" fillId="17" borderId="8" applyAlignment="1" pivotButton="0" quotePrefix="0" xfId="0">
      <alignment horizontal="center" wrapText="1"/>
    </xf>
    <xf numFmtId="0" fontId="35" fillId="10" borderId="5" applyAlignment="1" pivotButton="0" quotePrefix="0" xfId="0">
      <alignment wrapText="1"/>
    </xf>
    <xf numFmtId="0" fontId="35" fillId="10" borderId="6" applyAlignment="1" pivotButton="0" quotePrefix="0" xfId="0">
      <alignment wrapText="1"/>
    </xf>
    <xf numFmtId="0" fontId="24" fillId="17" borderId="8" applyAlignment="1" pivotButton="0" quotePrefix="0" xfId="0">
      <alignment readingOrder="1"/>
    </xf>
    <xf numFmtId="0" fontId="24" fillId="17" borderId="45" applyAlignment="1" pivotButton="0" quotePrefix="0" xfId="0">
      <alignment readingOrder="1"/>
    </xf>
    <xf numFmtId="0" fontId="24" fillId="17" borderId="8" applyAlignment="1" pivotButton="0" quotePrefix="0" xfId="0">
      <alignment horizontal="center"/>
    </xf>
    <xf numFmtId="0" fontId="24" fillId="0" borderId="8" applyAlignment="1" pivotButton="0" quotePrefix="0" xfId="0">
      <alignment horizontal="center" wrapText="1"/>
    </xf>
    <xf numFmtId="0" fontId="24" fillId="0" borderId="45" applyAlignment="1" pivotButton="0" quotePrefix="0" xfId="0">
      <alignment horizontal="center" wrapText="1"/>
    </xf>
    <xf numFmtId="9" fontId="24" fillId="0" borderId="8" applyAlignment="1" pivotButton="0" quotePrefix="0" xfId="0">
      <alignment horizontal="center" wrapText="1"/>
    </xf>
    <xf numFmtId="9" fontId="24" fillId="17" borderId="8" applyAlignment="1" pivotButton="0" quotePrefix="0" xfId="0">
      <alignment horizontal="center"/>
    </xf>
    <xf numFmtId="0" fontId="24" fillId="17" borderId="8" applyAlignment="1" pivotButton="0" quotePrefix="0" xfId="0">
      <alignment wrapText="1" readingOrder="1"/>
    </xf>
    <xf numFmtId="0" fontId="24" fillId="17" borderId="45" applyAlignment="1" pivotButton="0" quotePrefix="0" xfId="0">
      <alignment wrapText="1" readingOrder="1"/>
    </xf>
    <xf numFmtId="0" fontId="16" fillId="14" borderId="2" applyAlignment="1" pivotButton="0" quotePrefix="0" xfId="0">
      <alignment vertical="center" readingOrder="1"/>
    </xf>
    <xf numFmtId="0" fontId="16" fillId="14" borderId="3" applyAlignment="1" pivotButton="0" quotePrefix="0" xfId="0">
      <alignment vertical="center" readingOrder="1"/>
    </xf>
    <xf numFmtId="0" fontId="16" fillId="14" borderId="26" applyAlignment="1" pivotButton="0" quotePrefix="0" xfId="0">
      <alignment vertical="center" readingOrder="1"/>
    </xf>
    <xf numFmtId="0" fontId="0" fillId="14" borderId="11" applyAlignment="1" pivotButton="0" quotePrefix="0" xfId="0">
      <alignment vertical="center"/>
    </xf>
    <xf numFmtId="0" fontId="12" fillId="14" borderId="11" applyAlignment="1" pivotButton="0" quotePrefix="0" xfId="0">
      <alignment vertical="center"/>
    </xf>
    <xf numFmtId="0" fontId="16" fillId="35" borderId="2" applyAlignment="1" pivotButton="0" quotePrefix="0" xfId="0">
      <alignment horizontal="center" vertical="center" readingOrder="1"/>
    </xf>
    <xf numFmtId="0" fontId="16" fillId="35" borderId="3" applyAlignment="1" pivotButton="0" quotePrefix="0" xfId="0">
      <alignment horizontal="center" vertical="center" readingOrder="1"/>
    </xf>
    <xf numFmtId="0" fontId="16" fillId="32" borderId="2" applyAlignment="1" pivotButton="0" quotePrefix="0" xfId="0">
      <alignment horizontal="center" vertical="center" readingOrder="1"/>
    </xf>
    <xf numFmtId="0" fontId="16" fillId="32" borderId="3" applyAlignment="1" pivotButton="0" quotePrefix="0" xfId="0">
      <alignment horizontal="center" vertical="center" readingOrder="1"/>
    </xf>
    <xf numFmtId="0" fontId="16" fillId="35" borderId="2" applyAlignment="1" pivotButton="0" quotePrefix="0" xfId="0">
      <alignment horizontal="center" vertical="top" indent="1" readingOrder="1"/>
    </xf>
    <xf numFmtId="0" fontId="12" fillId="35" borderId="3" applyAlignment="1" pivotButton="0" quotePrefix="0" xfId="0">
      <alignment horizontal="center" vertical="top" indent="1"/>
    </xf>
    <xf numFmtId="1" fontId="12" fillId="5" borderId="2" applyAlignment="1" pivotButton="0" quotePrefix="0" xfId="0">
      <alignment horizontal="center" vertical="center" wrapText="1"/>
    </xf>
    <xf numFmtId="165" fontId="12" fillId="5" borderId="2" applyAlignment="1" pivotButton="0" quotePrefix="0" xfId="0">
      <alignment horizontal="center" vertical="center"/>
    </xf>
    <xf numFmtId="165" fontId="12" fillId="5" borderId="3" applyAlignment="1" pivotButton="0" quotePrefix="0" xfId="0">
      <alignment horizontal="center" vertical="center"/>
    </xf>
    <xf numFmtId="0" fontId="4" fillId="3" borderId="2" applyAlignment="1" pivotButton="0" quotePrefix="0" xfId="0">
      <alignment horizontal="center" vertical="center"/>
    </xf>
    <xf numFmtId="0" fontId="3" fillId="0" borderId="3" applyAlignment="1" pivotButton="0" quotePrefix="0" xfId="0">
      <alignment horizontal="center" vertical="center"/>
    </xf>
    <xf numFmtId="0" fontId="3" fillId="3" borderId="2" applyAlignment="1" pivotButton="0" quotePrefix="0" xfId="0">
      <alignment horizontal="center" wrapText="1"/>
    </xf>
    <xf numFmtId="0" fontId="3" fillId="3" borderId="3" applyAlignment="1" pivotButton="0" quotePrefix="0" xfId="0">
      <alignment horizontal="center" wrapText="1"/>
    </xf>
    <xf numFmtId="0" fontId="3" fillId="3" borderId="2" applyAlignment="1" pivotButton="0" quotePrefix="0" xfId="0">
      <alignment horizontal="center" vertical="center"/>
    </xf>
    <xf numFmtId="0" fontId="3" fillId="3" borderId="2" applyAlignment="1" pivotButton="0" quotePrefix="0" xfId="0">
      <alignment horizontal="left"/>
    </xf>
    <xf numFmtId="0" fontId="3" fillId="0" borderId="3" applyAlignment="1" pivotButton="0" quotePrefix="0" xfId="0">
      <alignment horizontal="left"/>
    </xf>
    <xf numFmtId="0" fontId="3" fillId="3" borderId="2" applyAlignment="1" pivotButton="0" quotePrefix="0" xfId="0">
      <alignment wrapText="1"/>
    </xf>
    <xf numFmtId="9" fontId="3" fillId="3" borderId="2" applyAlignment="1" pivotButton="0" quotePrefix="0" xfId="0">
      <alignment horizontal="left" wrapText="1"/>
    </xf>
    <xf numFmtId="0" fontId="0" fillId="0" borderId="0" applyAlignment="1" pivotButton="0" quotePrefix="0" xfId="0">
      <alignment horizontal="center"/>
    </xf>
    <xf numFmtId="0" fontId="0" fillId="0" borderId="27" pivotButton="0" quotePrefix="0" xfId="0"/>
    <xf numFmtId="0" fontId="0" fillId="0" borderId="10" pivotButton="0" quotePrefix="0" xfId="0"/>
    <xf numFmtId="0" fontId="33" fillId="16" borderId="0" pivotButton="0" quotePrefix="0" xfId="0"/>
    <xf numFmtId="0" fontId="24" fillId="17" borderId="8" pivotButton="0" quotePrefix="0" xfId="0"/>
    <xf numFmtId="0" fontId="24" fillId="17" borderId="45" pivotButton="0" quotePrefix="0" xfId="0"/>
    <xf numFmtId="0" fontId="36" fillId="29" borderId="0" pivotButton="0" quotePrefix="0" xfId="0"/>
    <xf numFmtId="0" fontId="35" fillId="10" borderId="4" pivotButton="0" quotePrefix="0" xfId="0"/>
    <xf numFmtId="0" fontId="35" fillId="10" borderId="63" pivotButton="0" quotePrefix="0" xfId="0"/>
    <xf numFmtId="0" fontId="35" fillId="10" borderId="44" pivotButton="0" quotePrefix="0" xfId="0"/>
    <xf numFmtId="0" fontId="37" fillId="30" borderId="19" pivotButton="0" quotePrefix="0" xfId="0"/>
    <xf numFmtId="0" fontId="37" fillId="30" borderId="20" pivotButton="0" quotePrefix="0" xfId="0"/>
    <xf numFmtId="0" fontId="37" fillId="30" borderId="64" pivotButton="0" quotePrefix="0" xfId="0"/>
    <xf numFmtId="0" fontId="38" fillId="17" borderId="60" pivotButton="0" quotePrefix="0" xfId="0"/>
    <xf numFmtId="0" fontId="24" fillId="0" borderId="2" pivotButton="0" quotePrefix="0" xfId="0"/>
    <xf numFmtId="0" fontId="25" fillId="31" borderId="2" pivotButton="0" quotePrefix="0" xfId="0"/>
    <xf numFmtId="0" fontId="24" fillId="28" borderId="2" pivotButton="0" quotePrefix="0" xfId="0"/>
    <xf numFmtId="0" fontId="24" fillId="28" borderId="13" pivotButton="0" quotePrefix="0" xfId="0"/>
    <xf numFmtId="0" fontId="38" fillId="17" borderId="67" pivotButton="0" quotePrefix="0" xfId="0"/>
    <xf numFmtId="0" fontId="24" fillId="0" borderId="45" pivotButton="0" quotePrefix="0" xfId="0"/>
    <xf numFmtId="0" fontId="25" fillId="31" borderId="8" pivotButton="0" quotePrefix="0" xfId="0"/>
    <xf numFmtId="0" fontId="24" fillId="28" borderId="8" pivotButton="0" quotePrefix="0" xfId="0"/>
    <xf numFmtId="0" fontId="24" fillId="28" borderId="60" pivotButton="0" quotePrefix="0" xfId="0"/>
    <xf numFmtId="0" fontId="23" fillId="0" borderId="22" pivotButton="0" quotePrefix="0" xfId="0"/>
    <xf numFmtId="0" fontId="23" fillId="0" borderId="68" pivotButton="0" quotePrefix="0" xfId="0"/>
    <xf numFmtId="0" fontId="23" fillId="0" borderId="0" pivotButton="0" quotePrefix="0" xfId="0"/>
    <xf numFmtId="0" fontId="3" fillId="0" borderId="3" pivotButton="0" quotePrefix="0" xfId="0"/>
    <xf numFmtId="164" fontId="9" fillId="0" borderId="1" applyAlignment="1" pivotButton="0" quotePrefix="0" xfId="0">
      <alignment horizontal="left"/>
    </xf>
    <xf numFmtId="0" fontId="0" fillId="0" borderId="29" pivotButton="0" quotePrefix="0" xfId="0"/>
    <xf numFmtId="0" fontId="0" fillId="0" borderId="74" pivotButton="0" quotePrefix="0" xfId="0"/>
    <xf numFmtId="0" fontId="0" fillId="0" borderId="11" pivotButton="0" quotePrefix="0" xfId="0"/>
    <xf numFmtId="0" fontId="0" fillId="0" borderId="7" pivotButton="0" quotePrefix="0" xfId="0"/>
    <xf numFmtId="0" fontId="0" fillId="0" borderId="3" pivotButton="0" quotePrefix="0" xfId="0"/>
    <xf numFmtId="0" fontId="0" fillId="0" borderId="15" pivotButton="0" quotePrefix="0" xfId="0"/>
    <xf numFmtId="0" fontId="0" fillId="0" borderId="35" pivotButton="0" quotePrefix="0" xfId="0"/>
    <xf numFmtId="0" fontId="0" fillId="0" borderId="73" pivotButton="0" quotePrefix="0" xfId="0"/>
    <xf numFmtId="0" fontId="20" fillId="6" borderId="19" applyAlignment="1" pivotButton="0" quotePrefix="0" xfId="0">
      <alignment horizontal="center" vertical="center" textRotation="90" wrapText="1"/>
    </xf>
    <xf numFmtId="0" fontId="0" fillId="0" borderId="36" pivotButton="0" quotePrefix="0" xfId="0"/>
    <xf numFmtId="0" fontId="0" fillId="0" borderId="42" pivotButton="0" quotePrefix="0" xfId="0"/>
    <xf numFmtId="0" fontId="20" fillId="6" borderId="75" applyAlignment="1" pivotButton="0" quotePrefix="0" xfId="0">
      <alignment horizontal="center" vertical="center" textRotation="90" wrapText="1"/>
    </xf>
    <xf numFmtId="0" fontId="0" fillId="0" borderId="76" pivotButton="0" quotePrefix="0" xfId="0"/>
    <xf numFmtId="0" fontId="0" fillId="0" borderId="37" pivotButton="0" quotePrefix="0" xfId="0"/>
    <xf numFmtId="0" fontId="0" fillId="0" borderId="25" pivotButton="0" quotePrefix="0" xfId="0"/>
    <xf numFmtId="165" fontId="0" fillId="0" borderId="0" pivotButton="0" quotePrefix="0" xfId="0"/>
    <xf numFmtId="164" fontId="9" fillId="0" borderId="0" applyAlignment="1" pivotButton="0" quotePrefix="0" xfId="0">
      <alignment horizontal="left"/>
    </xf>
    <xf numFmtId="164" fontId="11" fillId="2" borderId="1" applyAlignment="1" pivotButton="0" quotePrefix="0" xfId="0">
      <alignment horizontal="center" vertical="center" wrapText="1"/>
    </xf>
    <xf numFmtId="0" fontId="0" fillId="0" borderId="8" pivotButton="0" quotePrefix="0" xfId="0"/>
    <xf numFmtId="167" fontId="4" fillId="0" borderId="1" applyAlignment="1" pivotButton="0" quotePrefix="0" xfId="1">
      <alignment horizontal="center" vertical="center"/>
    </xf>
    <xf numFmtId="0" fontId="0" fillId="0" borderId="45" pivotButton="0" quotePrefix="0" xfId="0"/>
    <xf numFmtId="0" fontId="0" fillId="0" borderId="44" applyAlignment="1" pivotButton="0" quotePrefix="0" xfId="0">
      <alignment horizontal="left"/>
    </xf>
    <xf numFmtId="0" fontId="41" fillId="5" borderId="79" applyAlignment="1" pivotButton="0" quotePrefix="0" xfId="0">
      <alignment horizontal="center" vertical="center"/>
    </xf>
    <xf numFmtId="0" fontId="12" fillId="5" borderId="79" applyAlignment="1" pivotButton="0" quotePrefix="0" xfId="0">
      <alignment horizontal="center" vertical="center"/>
    </xf>
    <xf numFmtId="0" fontId="12" fillId="5" borderId="79" applyAlignment="1" pivotButton="0" quotePrefix="0" xfId="0">
      <alignment horizontal="center" vertical="center" wrapText="1"/>
    </xf>
    <xf numFmtId="0" fontId="0" fillId="0" borderId="44" pivotButton="0" quotePrefix="0" xfId="0"/>
    <xf numFmtId="0" fontId="0" fillId="0" borderId="63" pivotButton="0" quotePrefix="0" xfId="0"/>
    <xf numFmtId="0" fontId="0" fillId="0" borderId="6" pivotButton="0" quotePrefix="0" xfId="0"/>
    <xf numFmtId="0" fontId="13" fillId="7" borderId="75" applyAlignment="1" pivotButton="0" quotePrefix="0" xfId="3">
      <alignment horizontal="center" vertical="center"/>
    </xf>
    <xf numFmtId="0" fontId="0" fillId="0" borderId="20" pivotButton="0" quotePrefix="0" xfId="0"/>
    <xf numFmtId="0" fontId="0" fillId="0" borderId="21" pivotButton="0" quotePrefix="0" xfId="0"/>
    <xf numFmtId="0" fontId="13" fillId="7" borderId="75" applyAlignment="1" pivotButton="0" quotePrefix="0" xfId="0">
      <alignment horizontal="center"/>
    </xf>
    <xf numFmtId="16" fontId="12" fillId="5" borderId="46" applyAlignment="1" pivotButton="0" quotePrefix="0" xfId="0">
      <alignment horizontal="center" vertical="center" wrapText="1"/>
    </xf>
    <xf numFmtId="0" fontId="15" fillId="5" borderId="47" applyAlignment="1" pivotButton="0" quotePrefix="0" xfId="0">
      <alignment horizontal="center" vertical="center"/>
    </xf>
    <xf numFmtId="0" fontId="12" fillId="0" borderId="1" applyAlignment="1" pivotButton="0" quotePrefix="0" xfId="0">
      <alignment vertical="center"/>
    </xf>
    <xf numFmtId="0" fontId="12" fillId="0" borderId="1" applyAlignment="1" pivotButton="0" quotePrefix="0" xfId="0">
      <alignment vertical="center" wrapText="1"/>
    </xf>
    <xf numFmtId="0" fontId="12" fillId="0" borderId="1" applyAlignment="1" pivotButton="0" quotePrefix="0" xfId="0">
      <alignment horizontal="center" vertical="center"/>
    </xf>
    <xf numFmtId="0" fontId="12" fillId="0" borderId="47" applyAlignment="1" pivotButton="0" quotePrefix="0" xfId="0">
      <alignment vertical="center"/>
    </xf>
    <xf numFmtId="0" fontId="0" fillId="0" borderId="14" pivotButton="0" quotePrefix="0" xfId="0"/>
    <xf numFmtId="0" fontId="12" fillId="5" borderId="49" applyAlignment="1" pivotButton="0" quotePrefix="0" xfId="0">
      <alignment horizontal="left" vertical="center" wrapText="1"/>
    </xf>
    <xf numFmtId="0" fontId="12" fillId="5" borderId="49" applyAlignment="1" pivotButton="0" quotePrefix="0" xfId="0">
      <alignment horizontal="center" vertical="center" wrapText="1"/>
    </xf>
    <xf numFmtId="16" fontId="12" fillId="5" borderId="49" applyAlignment="1" pivotButton="0" quotePrefix="0" xfId="0">
      <alignment horizontal="center" vertical="center" wrapText="1"/>
    </xf>
    <xf numFmtId="16" fontId="12" fillId="5" borderId="48" applyAlignment="1" pivotButton="0" quotePrefix="0" xfId="0">
      <alignment horizontal="center" vertical="center" wrapText="1"/>
    </xf>
    <xf numFmtId="0" fontId="12" fillId="0" borderId="49" applyAlignment="1" pivotButton="0" quotePrefix="0" xfId="0">
      <alignment vertical="center"/>
    </xf>
    <xf numFmtId="0" fontId="12" fillId="0" borderId="49" applyAlignment="1" pivotButton="0" quotePrefix="0" xfId="0">
      <alignment horizontal="center" vertical="center"/>
    </xf>
    <xf numFmtId="0" fontId="12" fillId="0" borderId="50" applyAlignment="1" pivotButton="0" quotePrefix="0" xfId="0">
      <alignment vertical="center"/>
    </xf>
    <xf numFmtId="0" fontId="0" fillId="0" borderId="16" pivotButton="0" quotePrefix="0" xfId="0"/>
    <xf numFmtId="0" fontId="0" fillId="0" borderId="24" pivotButton="0" quotePrefix="0" xfId="0"/>
    <xf numFmtId="0" fontId="0" fillId="0" borderId="17" pivotButton="0" quotePrefix="0" xfId="0"/>
    <xf numFmtId="0" fontId="0" fillId="0" borderId="23" pivotButton="0" quotePrefix="0" xfId="0"/>
    <xf numFmtId="9" fontId="12" fillId="0" borderId="1" applyAlignment="1" pivotButton="0" quotePrefix="0" xfId="0">
      <alignment horizontal="center" vertical="center" wrapText="1"/>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165" fontId="2" fillId="4" borderId="3" applyAlignment="1" pivotButton="0" quotePrefix="0" xfId="1">
      <alignment horizontal="center" vertical="center"/>
    </xf>
    <xf numFmtId="167" fontId="2" fillId="4" borderId="3" applyAlignment="1" pivotButton="0" quotePrefix="0" xfId="1">
      <alignment horizontal="center" vertical="center"/>
    </xf>
    <xf numFmtId="0" fontId="12" fillId="5" borderId="82" applyAlignment="1" pivotButton="0" quotePrefix="0" xfId="0">
      <alignment horizontal="left" vertical="center"/>
    </xf>
    <xf numFmtId="0" fontId="3" fillId="5" borderId="1" applyAlignment="1" pivotButton="0" quotePrefix="0" xfId="0">
      <alignment horizontal="center" vertical="center" wrapText="1"/>
    </xf>
    <xf numFmtId="0" fontId="0" fillId="0" borderId="62" pivotButton="0" quotePrefix="0" xfId="0"/>
    <xf numFmtId="0" fontId="18" fillId="5" borderId="1" applyAlignment="1" pivotButton="0" quotePrefix="0" xfId="0">
      <alignment horizontal="center" vertical="center"/>
    </xf>
    <xf numFmtId="169" fontId="4" fillId="0" borderId="3" applyAlignment="1" pivotButton="0" quotePrefix="0" xfId="1">
      <alignment horizontal="center" vertical="center"/>
    </xf>
    <xf numFmtId="166" fontId="4" fillId="0" borderId="3" applyAlignment="1" pivotButton="0" quotePrefix="0" xfId="1">
      <alignment horizontal="center" vertical="center"/>
    </xf>
    <xf numFmtId="0" fontId="12" fillId="5" borderId="79" applyAlignment="1" pivotButton="0" quotePrefix="0" xfId="0">
      <alignment horizontal="left" vertical="center" wrapText="1"/>
    </xf>
    <xf numFmtId="16" fontId="12" fillId="5" borderId="46" applyAlignment="1" pivotButton="0" quotePrefix="0" xfId="0">
      <alignment horizontal="left" vertical="center" wrapText="1"/>
    </xf>
    <xf numFmtId="16" fontId="12" fillId="5" borderId="81" applyAlignment="1" pivotButton="0" quotePrefix="0" xfId="0">
      <alignment horizontal="center" vertical="center" wrapText="1"/>
    </xf>
    <xf numFmtId="0" fontId="0" fillId="0" borderId="80" pivotButton="0" quotePrefix="0" xfId="0"/>
    <xf numFmtId="0" fontId="0" fillId="0" borderId="18" pivotButton="0" quotePrefix="0" xfId="0"/>
    <xf numFmtId="0" fontId="0" fillId="0" borderId="60" pivotButton="0" quotePrefix="0" xfId="0"/>
    <xf numFmtId="166" fontId="4" fillId="0" borderId="1" applyAlignment="1" pivotButton="0" quotePrefix="0" xfId="1">
      <alignment horizontal="center" vertical="center"/>
    </xf>
    <xf numFmtId="0" fontId="16" fillId="5" borderId="1" applyAlignment="1" pivotButton="0" quotePrefix="0" xfId="0">
      <alignment vertical="center" wrapText="1" readingOrder="1"/>
    </xf>
    <xf numFmtId="0" fontId="16" fillId="5" borderId="1" applyAlignment="1" pivotButton="0" quotePrefix="0" xfId="0">
      <alignment horizontal="center" vertical="center" wrapText="1" readingOrder="1"/>
    </xf>
    <xf numFmtId="0" fontId="18" fillId="5" borderId="1" applyAlignment="1" pivotButton="0" quotePrefix="0" xfId="0">
      <alignment horizontal="left" vertical="center" readingOrder="1"/>
    </xf>
    <xf numFmtId="0" fontId="18" fillId="5" borderId="1" applyAlignment="1" pivotButton="0" quotePrefix="0" xfId="0">
      <alignment horizontal="left" vertical="center" wrapText="1"/>
    </xf>
    <xf numFmtId="0" fontId="18" fillId="5" borderId="1" applyAlignment="1" pivotButton="0" quotePrefix="0" xfId="0">
      <alignment horizontal="center" vertical="center" wrapText="1"/>
    </xf>
    <xf numFmtId="0" fontId="18" fillId="5" borderId="1" applyAlignment="1" pivotButton="0" quotePrefix="0" xfId="0">
      <alignment horizontal="left" vertical="center" wrapText="1" readingOrder="1"/>
    </xf>
    <xf numFmtId="0" fontId="18" fillId="5" borderId="1" applyAlignment="1" pivotButton="0" quotePrefix="0" xfId="0">
      <alignment vertical="center" wrapText="1" readingOrder="1"/>
    </xf>
    <xf numFmtId="0" fontId="18" fillId="5" borderId="1" applyAlignment="1" pivotButton="0" quotePrefix="0" xfId="0">
      <alignment vertical="center"/>
    </xf>
    <xf numFmtId="0" fontId="18" fillId="5" borderId="1" applyAlignment="1" pivotButton="0" quotePrefix="0" xfId="0">
      <alignment vertical="center" wrapText="1"/>
    </xf>
    <xf numFmtId="0" fontId="10" fillId="5" borderId="1" applyAlignment="1" pivotButton="0" quotePrefix="0" xfId="0">
      <alignment horizontal="center" vertical="center"/>
    </xf>
    <xf numFmtId="1" fontId="12" fillId="5" borderId="1" applyAlignment="1" pivotButton="0" quotePrefix="0" xfId="0">
      <alignment horizontal="center" vertical="center"/>
    </xf>
    <xf numFmtId="0" fontId="22" fillId="5" borderId="1" applyAlignment="1" pivotButton="0" quotePrefix="0" xfId="0">
      <alignment vertical="center" wrapText="1" readingOrder="1"/>
    </xf>
    <xf numFmtId="16" fontId="52" fillId="5" borderId="1" applyAlignment="1" pivotButton="0" quotePrefix="0" xfId="0">
      <alignment horizontal="center" vertical="center" wrapText="1"/>
    </xf>
    <xf numFmtId="16" fontId="30" fillId="5" borderId="1" applyAlignment="1" pivotButton="0" quotePrefix="0" xfId="0">
      <alignment horizontal="center" vertical="center" wrapText="1"/>
    </xf>
    <xf numFmtId="0" fontId="18" fillId="5" borderId="1" applyAlignment="1" pivotButton="0" quotePrefix="0" xfId="0">
      <alignment horizontal="center" vertical="center" readingOrder="1"/>
    </xf>
    <xf numFmtId="0" fontId="0" fillId="0" borderId="54" pivotButton="0" quotePrefix="0" xfId="0"/>
    <xf numFmtId="167" fontId="0" fillId="0" borderId="1" applyAlignment="1" pivotButton="0" quotePrefix="0" xfId="0">
      <alignment horizontal="center"/>
    </xf>
    <xf numFmtId="164" fontId="9" fillId="0" borderId="1" applyAlignment="1" pivotButton="0" quotePrefix="0" xfId="0">
      <alignment horizontal="left" vertical="center"/>
    </xf>
    <xf numFmtId="164" fontId="9" fillId="0" borderId="0" applyAlignment="1" pivotButton="0" quotePrefix="0" xfId="0">
      <alignment horizontal="left" vertical="center"/>
    </xf>
    <xf numFmtId="167" fontId="12" fillId="5" borderId="2" applyAlignment="1" pivotButton="0" quotePrefix="0" xfId="0">
      <alignment horizontal="center" vertical="center"/>
    </xf>
    <xf numFmtId="168" fontId="0" fillId="0" borderId="0" applyAlignment="1" pivotButton="0" quotePrefix="0" xfId="0">
      <alignment vertical="center"/>
    </xf>
    <xf numFmtId="0" fontId="0" fillId="0" borderId="43" pivotButton="0" quotePrefix="0" xfId="0"/>
    <xf numFmtId="0" fontId="0" fillId="0" borderId="34" applyAlignment="1" pivotButton="0" quotePrefix="0" xfId="0">
      <alignment horizontal="center" vertical="center"/>
    </xf>
    <xf numFmtId="167" fontId="4" fillId="7" borderId="1" applyAlignment="1" pivotButton="0" quotePrefix="0" xfId="1">
      <alignment horizontal="center" vertical="center"/>
    </xf>
    <xf numFmtId="167" fontId="12" fillId="5" borderId="1" applyAlignment="1" pivotButton="0" quotePrefix="0" xfId="0">
      <alignment horizontal="center" vertical="center" wrapText="1"/>
    </xf>
    <xf numFmtId="165" fontId="4" fillId="0" borderId="1" applyAlignment="1" pivotButton="0" quotePrefix="0" xfId="1">
      <alignment horizontal="center" vertical="center"/>
    </xf>
    <xf numFmtId="10" fontId="12" fillId="5" borderId="1" applyAlignment="1" pivotButton="0" quotePrefix="0" xfId="0">
      <alignment horizontal="center" vertical="center"/>
    </xf>
    <xf numFmtId="0" fontId="16" fillId="0" borderId="1" applyAlignment="1" pivotButton="0" quotePrefix="0" xfId="0">
      <alignment horizontal="left" vertical="center" readingOrder="1"/>
    </xf>
    <xf numFmtId="10" fontId="12" fillId="5" borderId="1" applyAlignment="1" pivotButton="0" quotePrefix="0" xfId="0">
      <alignment horizontal="center" vertical="center" wrapText="1"/>
    </xf>
    <xf numFmtId="0" fontId="12" fillId="0" borderId="1" applyAlignment="1" pivotButton="0" quotePrefix="1" xfId="0">
      <alignment vertical="center"/>
    </xf>
    <xf numFmtId="0" fontId="12" fillId="0" borderId="47" applyAlignment="1" pivotButton="0" quotePrefix="0" xfId="0">
      <alignment vertical="center" wrapText="1"/>
    </xf>
    <xf numFmtId="0" fontId="3" fillId="5" borderId="1" applyAlignment="1" pivotButton="0" quotePrefix="0" xfId="0">
      <alignment horizontal="left" vertical="center" wrapText="1"/>
    </xf>
    <xf numFmtId="0" fontId="12" fillId="5" borderId="84" applyAlignment="1" pivotButton="0" quotePrefix="0" xfId="0">
      <alignment horizontal="center" vertical="center" wrapText="1"/>
    </xf>
    <xf numFmtId="0" fontId="12" fillId="5" borderId="49" applyAlignment="1" pivotButton="0" quotePrefix="1" xfId="0">
      <alignment horizontal="center" vertical="center" wrapText="1"/>
    </xf>
    <xf numFmtId="0" fontId="3" fillId="5" borderId="1" applyAlignment="1" pivotButton="0" quotePrefix="1" xfId="0">
      <alignment horizontal="left" vertical="center" wrapText="1"/>
    </xf>
    <xf numFmtId="9" fontId="24" fillId="17" borderId="45" applyAlignment="1" pivotButton="0" quotePrefix="0" xfId="0">
      <alignment horizontal="center"/>
    </xf>
    <xf numFmtId="9" fontId="24" fillId="0" borderId="45" applyAlignment="1" pivotButton="0" quotePrefix="0" xfId="0">
      <alignment horizontal="center" wrapText="1"/>
    </xf>
    <xf numFmtId="0" fontId="35" fillId="10" borderId="1" pivotButton="0" quotePrefix="0" xfId="0"/>
    <xf numFmtId="0" fontId="37" fillId="30" borderId="87" pivotButton="0" quotePrefix="0" xfId="0"/>
    <xf numFmtId="0" fontId="0" fillId="0" borderId="64" pivotButton="0" quotePrefix="0" xfId="0"/>
    <xf numFmtId="0" fontId="24" fillId="17" borderId="45" applyAlignment="1" pivotButton="0" quotePrefix="1" xfId="0">
      <alignment horizontal="center" wrapText="1"/>
    </xf>
    <xf numFmtId="0" fontId="24" fillId="17" borderId="89" applyAlignment="1" pivotButton="0" quotePrefix="0" xfId="0">
      <alignment wrapText="1"/>
    </xf>
    <xf numFmtId="0" fontId="24" fillId="0" borderId="90" pivotButton="0" quotePrefix="0" xfId="0"/>
    <xf numFmtId="0" fontId="0" fillId="0" borderId="66" pivotButton="0" quotePrefix="0" xfId="0"/>
    <xf numFmtId="0" fontId="0" fillId="0" borderId="67" pivotButton="0" quotePrefix="0" xfId="0"/>
    <xf numFmtId="0" fontId="23" fillId="0" borderId="85" pivotButton="0" quotePrefix="0" xfId="0"/>
    <xf numFmtId="0" fontId="0" fillId="0" borderId="68" pivotButton="0" quotePrefix="0" xfId="0"/>
    <xf numFmtId="0" fontId="16" fillId="14" borderId="1" applyAlignment="1" pivotButton="0" quotePrefix="0" xfId="0">
      <alignment vertical="center" readingOrder="1"/>
    </xf>
    <xf numFmtId="0" fontId="16" fillId="14" borderId="4" applyAlignment="1" pivotButton="0" quotePrefix="0" xfId="0">
      <alignment vertical="center" readingOrder="1"/>
    </xf>
    <xf numFmtId="0" fontId="16" fillId="35" borderId="1" applyAlignment="1" pivotButton="0" quotePrefix="0" xfId="0">
      <alignment horizontal="center" vertical="center" readingOrder="1"/>
    </xf>
    <xf numFmtId="0" fontId="16" fillId="32" borderId="1" applyAlignment="1" pivotButton="0" quotePrefix="0" xfId="0">
      <alignment horizontal="center" vertical="center" readingOrder="1"/>
    </xf>
    <xf numFmtId="0" fontId="16" fillId="35" borderId="1" applyAlignment="1" pivotButton="0" quotePrefix="0" xfId="0">
      <alignment horizontal="center" vertical="top" indent="1" readingOrder="1"/>
    </xf>
    <xf numFmtId="1" fontId="12" fillId="5" borderId="1" applyAlignment="1" pivotButton="0" quotePrefix="0" xfId="0">
      <alignment horizontal="center" vertical="center" wrapText="1"/>
    </xf>
    <xf numFmtId="165" fontId="12" fillId="5" borderId="1" applyAlignment="1" pivotButton="0" quotePrefix="0" xfId="0">
      <alignment horizontal="center" vertical="center"/>
    </xf>
    <xf numFmtId="0" fontId="3" fillId="3" borderId="1" applyAlignment="1" pivotButton="0" quotePrefix="0" xfId="0">
      <alignment horizontal="center" wrapText="1"/>
    </xf>
    <xf numFmtId="0" fontId="3" fillId="3" borderId="1" applyAlignment="1" pivotButton="0" quotePrefix="0" xfId="0">
      <alignment horizontal="center" vertical="center"/>
    </xf>
    <xf numFmtId="0" fontId="3" fillId="3" borderId="1" applyAlignment="1" pivotButton="0" quotePrefix="0" xfId="0">
      <alignment horizontal="left"/>
    </xf>
    <xf numFmtId="0" fontId="4" fillId="3" borderId="1" applyAlignment="1" pivotButton="0" quotePrefix="0" xfId="0">
      <alignment horizontal="center" vertical="center"/>
    </xf>
    <xf numFmtId="0" fontId="3" fillId="3" borderId="1" applyAlignment="1" pivotButton="0" quotePrefix="0" xfId="0">
      <alignment wrapText="1"/>
    </xf>
    <xf numFmtId="9" fontId="3" fillId="3" borderId="1" applyAlignment="1" pivotButton="0" quotePrefix="0" xfId="0">
      <alignment horizontal="left" wrapText="1"/>
    </xf>
  </cellXfs>
  <cellStyles count="12">
    <cellStyle name="Normal" xfId="0" builtinId="0"/>
    <cellStyle name="Percent" xfId="1" builtinId="5"/>
    <cellStyle name="Normal_lab ldo cm jan 05" xfId="2"/>
    <cellStyle name="Normal 2" xfId="3"/>
    <cellStyle name="20% - Accent3 2" xfId="4"/>
    <cellStyle name="Comma 2" xfId="5"/>
    <cellStyle name="Currency 2" xfId="6"/>
    <cellStyle name="Normal 3" xfId="7"/>
    <cellStyle name="Normal 3 2" xfId="8"/>
    <cellStyle name="Normal 49" xfId="9"/>
    <cellStyle name="Currency 3" xfId="10"/>
    <cellStyle name="Currency" xfId="11" builtinId="4"/>
  </cellStyles>
  <dxfs count="695">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val="1"/>
      </font>
      <fill>
        <patternFill>
          <bgColor theme="9"/>
        </patternFill>
      </fill>
    </dxf>
    <dxf>
      <font>
        <b val="1"/>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val="1"/>
      </font>
      <fill>
        <patternFill>
          <bgColor theme="9"/>
        </patternFill>
      </fill>
    </dxf>
    <dxf>
      <font>
        <b val="1"/>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val="1"/>
      </font>
      <fill>
        <patternFill>
          <bgColor theme="9"/>
        </patternFill>
      </fill>
    </dxf>
    <dxf>
      <font>
        <b val="1"/>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val="1"/>
      </font>
      <fill>
        <patternFill>
          <bgColor theme="9"/>
        </patternFill>
      </fill>
    </dxf>
    <dxf>
      <font>
        <b val="1"/>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val="1"/>
      </font>
      <fill>
        <patternFill>
          <bgColor theme="9"/>
        </patternFill>
      </fill>
    </dxf>
    <dxf>
      <font>
        <b val="1"/>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val="1"/>
        <color theme="0"/>
      </font>
      <fill>
        <patternFill>
          <bgColor rgb="FFFF0000"/>
        </patternFill>
      </fill>
    </dxf>
    <dxf>
      <font>
        <b val="1"/>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val="1"/>
        <color theme="0"/>
      </font>
      <fill>
        <patternFill>
          <bgColor rgb="FFFF0000"/>
        </patternFill>
      </fill>
    </dxf>
    <dxf>
      <font>
        <b val="1"/>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val="1"/>
        <color theme="0"/>
      </font>
      <fill>
        <patternFill>
          <bgColor rgb="FFFF0000"/>
        </patternFill>
      </fill>
    </dxf>
    <dxf>
      <font>
        <b val="1"/>
      </font>
      <fill>
        <patternFill>
          <bgColor theme="9"/>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val="1"/>
      </font>
      <fill>
        <patternFill>
          <bgColor theme="9"/>
        </patternFill>
      </fill>
    </dxf>
    <dxf>
      <font>
        <b val="1"/>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val="1"/>
      </font>
      <fill>
        <patternFill>
          <bgColor theme="9"/>
        </patternFill>
      </fill>
    </dxf>
    <dxf>
      <font>
        <b val="1"/>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val="1"/>
      </font>
      <fill>
        <patternFill>
          <bgColor theme="9"/>
        </patternFill>
      </fill>
    </dxf>
    <dxf>
      <font>
        <b val="1"/>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val="1"/>
      </font>
      <fill>
        <patternFill>
          <bgColor theme="9"/>
        </patternFill>
      </fill>
    </dxf>
    <dxf>
      <font>
        <b val="1"/>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name val="Aptos Narrow"/>
        <family val="2"/>
        <b val="1"/>
        <strike val="0"/>
        <outline val="0"/>
        <shadow val="0"/>
        <condense val="0"/>
        <color theme="0"/>
        <extend val="0"/>
        <sz val="11"/>
        <vertAlign val="baseline"/>
        <scheme val="minor"/>
      </font>
      <fill>
        <patternFill patternType="solid">
          <fgColor theme="4"/>
          <bgColor theme="4"/>
        </patternFill>
      </fill>
    </dxf>
    <dxf>
      <font>
        <name val="Aptos Narrow"/>
        <family val="2"/>
        <b val="1"/>
        <strike val="0"/>
        <outline val="0"/>
        <shadow val="0"/>
        <condense val="0"/>
        <color theme="0"/>
        <extend val="0"/>
        <sz val="11"/>
        <vertAlign val="baseline"/>
        <scheme val="minor"/>
      </font>
      <fill>
        <patternFill patternType="solid">
          <fgColor theme="4"/>
          <bgColor theme="4"/>
        </patternFill>
      </fill>
    </dxf>
    <dxf>
      <font>
        <name val="Aptos Narrow"/>
        <family val="2"/>
        <b val="1"/>
        <strike val="0"/>
        <outline val="0"/>
        <shadow val="0"/>
        <condense val="0"/>
        <color theme="0"/>
        <extend val="0"/>
        <sz val="11"/>
        <vertAlign val="baseline"/>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externalLink" Target="/xl/externalLinks/externalLink1.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Kumar, Sumit</author>
    <author>Paste, Sagar</author>
    <author>tc={6D18F918-B6B3-4526-A495-FB7D697D5C04}</author>
    <author>tc={76916F4A-4D0E-45BD-B6EF-1252588FC152}</author>
    <author>tc={8164785B-3A74-4AE8-9DE0-15728461F137}</author>
  </authors>
  <commentList>
    <comment ref="I7" authorId="0" shapeId="0">
      <text>
        <t xml:space="preserve">Kumar, Sumit:
13 approval planned and we received 13 approvals
</t>
      </text>
    </comment>
    <comment ref="J7" authorId="1" shapeId="0">
      <text>
        <t>Paste, Sagar:
6 of 6 planned approvals received</t>
      </text>
    </comment>
    <comment ref="K7" authorId="1" shapeId="0">
      <text>
        <t>8 out of 8 approvals received</t>
      </text>
    </comment>
    <comment ref="L7" authorId="0" shapeId="0">
      <text>
        <t>Kumar, Sumit:
License extention pending for Nigeria but not shipmnet block as submisison alredy done to Authority</t>
      </text>
    </comment>
    <comment ref="M7" authorId="1" shapeId="0">
      <text>
        <t>Paste, Sagar: Refer DMB
Pending
1 HN
Received
1 EU NOC, 1 AERB</t>
      </text>
    </comment>
    <comment ref="O7" authorId="1" shapeId="0">
      <text>
        <t>Paste, Sagar:
5 out of 5 approvals received</t>
      </text>
    </comment>
    <comment ref="P7" authorId="1" shapeId="0">
      <text>
        <t>Paste, Sagar:
6 out of 6 submissions approved on time</t>
      </text>
    </comment>
    <comment ref="Q7" authorId="1" shapeId="0">
      <text>
        <t>Paste, Sagar:
6 out of 6 submissions approved on time</t>
      </text>
    </comment>
    <comment ref="I11" authorId="2" shapeId="0">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text>
        <t>Paste, Sagar:
57 of 57 planned submissions were completed on time.</t>
      </text>
    </comment>
    <comment ref="K11" authorId="1" shapeId="0">
      <text>
        <t>Paste, Sagar:
60 out of 60 submissions completed</t>
      </text>
    </comment>
    <comment ref="L11" authorId="1" shapeId="0">
      <text>
        <t>Paste, Sagar:
Import license submission for Trixell detectors was delayed.</t>
      </text>
    </comment>
    <comment ref="M11" authorId="1" shapeId="0">
      <text>
        <t>Paste, Sagar:
Check COE tracker
6 submission by COE
1 EU NOC Avalue</t>
      </text>
    </comment>
    <comment ref="O11" authorId="1" shapeId="0">
      <text>
        <t xml:space="preserve">Paste, Sagar:
1 NOC submission by BU RA
7 KM submissions by COE
</t>
      </text>
    </comment>
    <comment ref="P11" authorId="1" shapeId="0">
      <text>
        <t>Paste, Sagar:
9 out of 9 submissions on time</t>
      </text>
    </comment>
    <comment ref="Q11" authorId="1" shapeId="0">
      <text>
        <t>Paste, Sagar:
8 out of 9 submissions submitted on time
7 submission by COE
1 EU NOC Avalue</t>
      </text>
    </comment>
    <comment ref="J15" authorId="1" shapeId="0">
      <text>
        <t>Paste, Sagar:
1 out of 90 orders was delayed due to delayed RA clearance</t>
      </text>
    </comment>
    <comment ref="K15" authorId="1" shapeId="0">
      <text>
        <t>Paste, Sagar:
0 our of 90 orders</t>
      </text>
    </comment>
    <comment ref="L15" authorId="1" shapeId="0">
      <text>
        <t>Paste, Sagar:
0 out of 92 orders blocked</t>
      </text>
    </comment>
    <comment ref="N15" authorId="3" shapeId="0">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text>
        <t xml:space="preserve">Paste, Sagar:
</t>
      </text>
    </comment>
    <comment ref="P15" authorId="1" shapeId="0">
      <text>
        <t>Paste, Sagar:
96 out of 96 shipments did not face any regulatory blocks</t>
      </text>
    </comment>
    <comment ref="J17" authorId="1" shapeId="0">
      <text>
        <t>Paste, Sagar:
2 PCN responses were delayed from KM ANZ, EC, VN, MY</t>
      </text>
    </comment>
    <comment ref="K17" authorId="4" shapeId="0">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text>
        <t>Paste, Sagar:
Response not received for all the three changes from few markets.</t>
      </text>
    </comment>
    <comment ref="M17" authorId="1" shapeId="0">
      <text>
        <t>Paste, Sagar:
Responses expected for 3 PCNs</t>
      </text>
    </comment>
    <comment ref="O17" authorId="1" shapeId="0">
      <text>
        <t>Paste, Sagar:
1/1 PCN responses received in time</t>
      </text>
    </comment>
    <comment ref="P17" authorId="1" shapeId="0">
      <text>
        <t xml:space="preserve">Paste, Sagar:
Responses for 2 out of 2 PCNs were received on time
</t>
      </text>
    </comment>
    <comment ref="Q17" authorId="1" shapeId="0">
      <text>
        <t>Paste, Sagar:
4 out of 6 PCN responses were delayed</t>
      </text>
    </comment>
    <comment ref="L19" authorId="1" shapeId="0">
      <text>
        <t>Paste, Sagar:
8 documents out of 34 needed for Trixell import license submission are not available sor submission</t>
      </text>
    </comment>
    <comment ref="Q19" authorId="1" shapeId="0">
      <text>
        <t>Paste, Sagar:
2 documents from suppler related to compliance to latest standard was not available in time</t>
      </text>
    </comment>
    <comment ref="K21" authorId="1" shapeId="0">
      <text>
        <t>Paste, Sagar:
1 out 34 submission received major deficiency from Health Authority (US FDA and  we have to do resubmission )</t>
      </text>
    </comment>
    <comment ref="B48" authorId="1" shapeId="0">
      <text>
        <t>Paste, Sagar:
There is no impact on market access due to delayed renewal.</t>
      </text>
    </comment>
  </commentList>
</comments>
</file>

<file path=xl/comments/comment2.xml><?xml version="1.0" encoding="utf-8"?>
<comments xmlns="http://schemas.openxmlformats.org/spreadsheetml/2006/main">
  <authors>
    <author>tc={71AA1B29-FAC1-4E7E-A066-ED9939CA5F99}</author>
  </authors>
  <commentList>
    <comment ref="Q9" authorId="0" shapeId="0">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comment3.xml><?xml version="1.0" encoding="utf-8"?>
<comments xmlns="http://schemas.openxmlformats.org/spreadsheetml/2006/main">
  <authors>
    <author>Chivukula, Pavan Kumar</author>
    <author>tc={9B6107D2-719F-4197-9FEF-217C53DAC2C0}</author>
  </authors>
  <commentList>
    <comment ref="L9" authorId="0" shapeId="0">
      <text>
        <t xml:space="preserve">Chivukula, Pavan Kumar:
Adhoc CR were not included </t>
      </text>
    </comment>
    <comment ref="P11" authorId="1" shapeId="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text>
        <t>Chivukula, Pavan Kumar:
Plan- 70%</t>
      </text>
    </comment>
  </commentList>
</comments>
</file>

<file path=xl/comments/comment4.xml><?xml version="1.0" encoding="utf-8"?>
<comments xmlns="http://schemas.openxmlformats.org/spreadsheetml/2006/main">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text>
        <t>Mukherjee, Shomik:
Plan revision based on budget decision and alignment with NAR and EU.</t>
      </text>
    </comment>
    <comment ref="N10" authorId="5" shapeId="0">
      <text>
        <t xml:space="preserve">Sharma, Tarun:
AOP '26 OIT pricing target is 103K euro ; This translates to 80% CTP levels. </t>
      </text>
    </comment>
    <comment ref="N15" authorId="5" shapeId="0">
      <text>
        <t>Sharma, Tarun:
IB asset and Ecopassport are delayed</t>
      </text>
    </comment>
    <comment ref="O15" authorId="6" shapeId="0">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text>
        <t xml:space="preserve">Sharma, Tarun:
LATAM- 55%, APAC-18%, ISC-10% Others-18%
_________
GE -35%, Local Competition-20%
__________
Columbia : GE won with OEC One at 65K USD
Brazil- 70K USD for GE with OEC One  II / 62K USD GE Closed </t>
      </text>
    </comment>
    <comment ref="C55" authorId="5" shapeId="0">
      <text>
        <t>Sharma, Tarun:
80% of the users bought Solo due to competitive 
Price</t>
      </text>
    </comment>
    <comment ref="C85" authorId="5" shapeId="0">
      <text>
        <t>Sharma, Tarun:
Nisha to add note on why August date was given by configuration team and why not July '26?</t>
      </text>
    </comment>
    <comment ref="C101" authorId="5" shapeId="0">
      <text>
        <t>Sharma, Tarun:
@Shomik: Please put the action here</t>
      </text>
    </comment>
  </commentList>
</comments>
</file>

<file path=xl/comments/comment5.xml><?xml version="1.0" encoding="utf-8"?>
<comments xmlns="http://schemas.openxmlformats.org/spreadsheetml/2006/main">
  <authors>
    <author>tc={8C2E57A1-45D9-4329-83FF-5EE0DDEAF7B4}</author>
    <author>Sharma, Tarun</author>
  </authors>
  <commentList>
    <comment ref="N7" authorId="0" shapeId="0">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text>
        <t xml:space="preserve">Sharma, Tarun:
AOP '26 OIT pricing target is 103K euro ; This translates to 80% CTP levels. </t>
      </text>
    </comment>
    <comment ref="N11" authorId="1" shapeId="0">
      <text>
        <t>Sharma, Tarun:
From May to June 2026, 41 orders of Huddut were booked for Z70 FD17 with CTP of just 47%</t>
      </text>
    </comment>
    <comment ref="N15" authorId="1" shapeId="0">
      <text>
        <t>Sharma, Tarun:
IB asset and Ecopassport are delayed</t>
      </text>
    </comment>
    <comment ref="B52" authorId="1" shapeId="0">
      <text>
        <t xml:space="preserve">Sharma, Tarun:
Compact ask - 33%
Price - 20%
Brand Preference - 20%
_____________________________
</t>
      </text>
    </comment>
    <comment ref="C52" authorId="1" shapeId="0">
      <text>
        <t xml:space="preserve">Sharma, Tarun:
Top reasons
a.. Lack of FD 17- 3qty
b.Latest version of Win - 3 qty
c. No german keyboard /CMOS- 2 qty </t>
      </text>
    </comment>
    <comment ref="B55" authorId="1" shapeId="0">
      <text>
        <t xml:space="preserve">Sharma, Tarun:
LATAM- 55%, APAC-18%, ISC-10% Others-18%
_________
GE -35%, Local Competition-20%
__________
Columbia : GE won with OEC One at 65K USD
Brazil- 70K USD for GE with OEC One  II / 62K USD GE Closed </t>
      </text>
    </comment>
    <comment ref="C55" authorId="1" shapeId="0">
      <text>
        <t>Sharma, Tarun:
80% of the users bought Solo due to competitive 
Price</t>
      </text>
    </comment>
    <comment ref="C85" authorId="1" shapeId="0">
      <text>
        <t>Sharma, Tarun:
Nisha to add note on why August date was given by configuration team and why not July '26?</t>
      </text>
    </comment>
  </commentList>
</comments>
</file>

<file path=xl/comments/comment6.xml><?xml version="1.0" encoding="utf-8"?>
<comments xmlns="http://schemas.openxmlformats.org/spreadsheetml/2006/main">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comment7.xml><?xml version="1.0" encoding="utf-8"?>
<comments xmlns="http://schemas.openxmlformats.org/spreadsheetml/2006/main">
  <authors>
    <author>Valera, Fiel</author>
  </authors>
  <commentList>
    <comment ref="I9" authorId="0" shapeId="0">
      <text>
        <t>Valera, Fiel:
Growth - 2.1 act vs. 1.5 tgt
Europe - 1.1 act vs. 3.0 tgt
NAR - 2.1 act vs. 2.4 tgt
Europe target changed from 1.7 to 3.0</t>
      </text>
    </comment>
    <comment ref="I11" authorId="0" shapeId="0">
      <text>
        <t xml:space="preserve">Valera, Fiel:
Growth -35% act vs. 35% tgt
Europe - 26% act vs. 31% tgt
NAR - 34% act vs. 34% tgt. </t>
      </text>
    </comment>
  </commentList>
</comments>
</file>

<file path=xl/comments/comment8.xml><?xml version="1.0" encoding="utf-8"?>
<comments xmlns="http://schemas.openxmlformats.org/spreadsheetml/2006/main">
  <authors>
    <author>Chebli, Maryam</author>
  </authors>
  <commentList>
    <comment ref="K7" authorId="0" shapeId="0">
      <text>
        <t xml:space="preserve">Chebli, Maryam:
Q1 2026 Market Share
</t>
      </text>
    </comment>
    <comment ref="L11" authorId="0" shapeId="0">
      <text>
        <t xml:space="preserve">Chebli, Maryam:
April too early, still have plenty of time to report on POS- 
Rolling 12 moth QTRLTY POS = 40% still at target </t>
      </text>
    </comment>
    <comment ref="K21" authorId="0" shapeId="0">
      <text>
        <t xml:space="preserve">Chebli, Maryam:
Q1 2026 17.3
</t>
      </text>
    </comment>
    <comment ref="M23" authorId="0" shapeId="0">
      <text>
        <t xml:space="preserve">Chebli, Maryam:
all months updated for IB Competitive win rate
</t>
      </text>
    </comment>
  </commentList>
</comments>
</file>

<file path=xl/comments/comment9.xml><?xml version="1.0" encoding="utf-8"?>
<comments xmlns="http://schemas.openxmlformats.org/spreadsheetml/2006/main">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text>
        <t xml:space="preserve">Marini, Silvia:
EQ OIT at 18.8M (+5.2M vs LY, -2M vs AOP)
</t>
      </text>
    </comment>
    <comment ref="P9" authorId="1" shapeId="0">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text>
        <t>Marini, Silvia:
SV OIT at 15.4M (+2.3M vs LY, +0.7M vs AOP)</t>
      </text>
    </comment>
    <comment ref="P15" authorId="2" shapeId="0">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text>
        <t>Marini, Silvia:
YTD 54.3%</t>
      </text>
    </comment>
    <comment ref="P23" authorId="5" shapeId="0">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s>
</file>

<file path=xl/drawings/_rels/drawing3.xml.rels><Relationships xmlns="http://schemas.openxmlformats.org/package/2006/relationships"><Relationship Type="http://schemas.openxmlformats.org/officeDocument/2006/relationships/image" Target="/xl/media/image7.png" Id="rId1"/><Relationship Type="http://schemas.openxmlformats.org/officeDocument/2006/relationships/image" Target="/xl/media/image8.png" Id="rId2"/><Relationship Type="http://schemas.openxmlformats.org/officeDocument/2006/relationships/image" Target="/xl/media/image9.png" Id="rId3"/><Relationship Type="http://schemas.openxmlformats.org/officeDocument/2006/relationships/image" Target="/xl/media/image10.png" Id="rId4"/><Relationship Type="http://schemas.openxmlformats.org/officeDocument/2006/relationships/image" Target="/xl/media/image11.png" Id="rId5"/></Relationships>
</file>

<file path=xl/drawings/_rels/drawing4.xml.rels><Relationships xmlns="http://schemas.openxmlformats.org/package/2006/relationships"><Relationship Type="http://schemas.openxmlformats.org/officeDocument/2006/relationships/image" Target="/xl/media/image12.png" Id="rId1"/><Relationship Type="http://schemas.openxmlformats.org/officeDocument/2006/relationships/image" Target="/xl/media/image13.png" Id="rId2"/><Relationship Type="http://schemas.openxmlformats.org/officeDocument/2006/relationships/image" Target="/xl/media/image14.png" Id="rId3"/><Relationship Type="http://schemas.openxmlformats.org/officeDocument/2006/relationships/image" Target="/xl/media/image15.png" Id="rId4"/><Relationship Type="http://schemas.openxmlformats.org/officeDocument/2006/relationships/image" Target="/xl/media/image16.png" Id="rId5"/><Relationship Type="http://schemas.openxmlformats.org/officeDocument/2006/relationships/image" Target="/xl/media/image17.png" Id="rId6"/><Relationship Type="http://schemas.openxmlformats.org/officeDocument/2006/relationships/image" Target="/xl/media/image18.png" Id="rId7"/><Relationship Type="http://schemas.openxmlformats.org/officeDocument/2006/relationships/image" Target="/xl/media/image19.png" Id="rId8"/><Relationship Type="http://schemas.openxmlformats.org/officeDocument/2006/relationships/image" Target="/xl/media/image20.png" Id="rId9"/></Relationships>
</file>

<file path=xl/drawings/_rels/drawing5.xml.rels><Relationships xmlns="http://schemas.openxmlformats.org/package/2006/relationships"><Relationship Type="http://schemas.openxmlformats.org/officeDocument/2006/relationships/image" Target="/xl/media/image21.png" Id="rId1"/><Relationship Type="http://schemas.openxmlformats.org/officeDocument/2006/relationships/image" Target="/xl/media/image22.png" Id="rId2"/><Relationship Type="http://schemas.openxmlformats.org/officeDocument/2006/relationships/image" Target="/xl/media/image23.png" Id="rId3"/><Relationship Type="http://schemas.openxmlformats.org/officeDocument/2006/relationships/image" Target="/xl/media/image24.png" Id="rId4"/><Relationship Type="http://schemas.openxmlformats.org/officeDocument/2006/relationships/image" Target="/xl/media/image25.png" Id="rId5"/></Relationships>
</file>

<file path=xl/drawings/_rels/drawing6.xml.rels><Relationships xmlns="http://schemas.openxmlformats.org/package/2006/relationships"><Relationship Type="http://schemas.openxmlformats.org/officeDocument/2006/relationships/image" Target="/xl/media/image26.png" Id="rId1"/><Relationship Type="http://schemas.openxmlformats.org/officeDocument/2006/relationships/image" Target="/xl/media/image27.png" Id="rId2"/><Relationship Type="http://schemas.openxmlformats.org/officeDocument/2006/relationships/image" Target="/xl/media/image28.png" Id="rId3"/><Relationship Type="http://schemas.openxmlformats.org/officeDocument/2006/relationships/image" Target="/xl/media/image29.png" Id="rId4"/><Relationship Type="http://schemas.openxmlformats.org/officeDocument/2006/relationships/image" Target="/xl/media/image30.png" Id="rId5"/></Relationships>
</file>

<file path=xl/drawings/_rels/drawing7.xml.rels><Relationships xmlns="http://schemas.openxmlformats.org/package/2006/relationships"><Relationship Type="http://schemas.openxmlformats.org/officeDocument/2006/relationships/image" Target="/xl/media/image31.png" Id="rId1"/><Relationship Type="http://schemas.openxmlformats.org/officeDocument/2006/relationships/image" Target="/xl/media/image32.png" Id="rId2"/><Relationship Type="http://schemas.openxmlformats.org/officeDocument/2006/relationships/image" Target="/xl/media/image33.png" Id="rId3"/><Relationship Type="http://schemas.openxmlformats.org/officeDocument/2006/relationships/image" Target="/xl/media/image34.png" Id="rId4"/><Relationship Type="http://schemas.openxmlformats.org/officeDocument/2006/relationships/image" Target="/xl/media/image35.png" Id="rId5"/></Relationships>
</file>

<file path=xl/drawings/_rels/drawing8.xml.rels><Relationships xmlns="http://schemas.openxmlformats.org/package/2006/relationships"><Relationship Type="http://schemas.openxmlformats.org/officeDocument/2006/relationships/image" Target="/xl/media/image36.png" Id="rId1"/><Relationship Type="http://schemas.openxmlformats.org/officeDocument/2006/relationships/image" Target="/xl/media/image37.png" Id="rId2"/><Relationship Type="http://schemas.openxmlformats.org/officeDocument/2006/relationships/image" Target="/xl/media/image38.png" Id="rId3"/><Relationship Type="http://schemas.openxmlformats.org/officeDocument/2006/relationships/image" Target="/xl/media/image39.png" Id="rId4"/><Relationship Type="http://schemas.openxmlformats.org/officeDocument/2006/relationships/image" Target="/xl/media/image40.png" Id="rId5"/></Relationships>
</file>

<file path=xl/drawings/_rels/drawing9.xml.rels><Relationships xmlns="http://schemas.openxmlformats.org/package/2006/relationships"><Relationship Type="http://schemas.openxmlformats.org/officeDocument/2006/relationships/image" Target="/xl/media/image41.png" Id="rId1"/><Relationship Type="http://schemas.openxmlformats.org/officeDocument/2006/relationships/image" Target="/xl/media/image42.png" Id="rId2"/><Relationship Type="http://schemas.openxmlformats.org/officeDocument/2006/relationships/image" Target="/xl/media/image43.png" Id="rId3"/><Relationship Type="http://schemas.openxmlformats.org/officeDocument/2006/relationships/image" Target="/xl/media/image44.png" Id="rId4"/><Relationship Type="http://schemas.openxmlformats.org/officeDocument/2006/relationships/image" Target="/xl/media/image45.png" Id="rId5"/></Relationships>
</file>

<file path=xl/drawings/_rels/drawing10.xml.rels><Relationships xmlns="http://schemas.openxmlformats.org/package/2006/relationships"><Relationship Type="http://schemas.openxmlformats.org/officeDocument/2006/relationships/image" Target="/xl/media/image46.png" Id="rId1"/><Relationship Type="http://schemas.openxmlformats.org/officeDocument/2006/relationships/image" Target="/xl/media/image47.png" Id="rId2"/><Relationship Type="http://schemas.openxmlformats.org/officeDocument/2006/relationships/image" Target="/xl/media/image48.png" Id="rId3"/><Relationship Type="http://schemas.openxmlformats.org/officeDocument/2006/relationships/image" Target="/xl/media/image49.png" Id="rId4"/><Relationship Type="http://schemas.openxmlformats.org/officeDocument/2006/relationships/image" Target="/xl/media/image50.png" Id="rId5"/></Relationships>
</file>

<file path=xl/drawings/_rels/drawing11.xml.rels><Relationships xmlns="http://schemas.openxmlformats.org/package/2006/relationships"><Relationship Type="http://schemas.openxmlformats.org/officeDocument/2006/relationships/image" Target="/xl/media/image51.png" Id="rId1"/><Relationship Type="http://schemas.openxmlformats.org/officeDocument/2006/relationships/image" Target="/xl/media/image52.png" Id="rId2"/><Relationship Type="http://schemas.openxmlformats.org/officeDocument/2006/relationships/image" Target="/xl/media/image53.png" Id="rId3"/><Relationship Type="http://schemas.openxmlformats.org/officeDocument/2006/relationships/image" Target="/xl/media/image54.png" Id="rId4"/><Relationship Type="http://schemas.openxmlformats.org/officeDocument/2006/relationships/image" Target="/xl/media/image55.png" Id="rId5"/><Relationship Type="http://schemas.openxmlformats.org/officeDocument/2006/relationships/image" Target="/xl/media/image56.png" Id="rId6"/></Relationships>
</file>

<file path=xl/drawings/_rels/drawing12.xml.rels><Relationships xmlns="http://schemas.openxmlformats.org/package/2006/relationships"><Relationship Type="http://schemas.openxmlformats.org/officeDocument/2006/relationships/image" Target="/xl/media/image57.png" Id="rId1"/><Relationship Type="http://schemas.openxmlformats.org/officeDocument/2006/relationships/image" Target="/xl/media/image58.png" Id="rId2"/><Relationship Type="http://schemas.openxmlformats.org/officeDocument/2006/relationships/image" Target="/xl/media/image59.png" Id="rId3"/><Relationship Type="http://schemas.openxmlformats.org/officeDocument/2006/relationships/image" Target="/xl/media/image60.png" Id="rId4"/><Relationship Type="http://schemas.openxmlformats.org/officeDocument/2006/relationships/image" Target="/xl/media/image61.png" Id="rId5"/></Relationships>
</file>

<file path=xl/drawings/_rels/drawing13.xml.rels><Relationships xmlns="http://schemas.openxmlformats.org/package/2006/relationships"><Relationship Type="http://schemas.openxmlformats.org/officeDocument/2006/relationships/image" Target="/xl/media/image62.png" Id="rId1"/><Relationship Type="http://schemas.openxmlformats.org/officeDocument/2006/relationships/image" Target="/xl/media/image63.png" Id="rId2"/><Relationship Type="http://schemas.openxmlformats.org/officeDocument/2006/relationships/image" Target="/xl/media/image64.png" Id="rId3"/><Relationship Type="http://schemas.openxmlformats.org/officeDocument/2006/relationships/image" Target="/xl/media/image65.png" Id="rId4"/><Relationship Type="http://schemas.openxmlformats.org/officeDocument/2006/relationships/image" Target="/xl/media/image66.png" Id="rId5"/></Relationships>
</file>

<file path=xl/drawings/_rels/drawing14.xml.rels><Relationships xmlns="http://schemas.openxmlformats.org/package/2006/relationships"><Relationship Type="http://schemas.openxmlformats.org/officeDocument/2006/relationships/image" Target="/xl/media/image67.png" Id="rId1"/><Relationship Type="http://schemas.openxmlformats.org/officeDocument/2006/relationships/image" Target="/xl/media/image68.png" Id="rId2"/><Relationship Type="http://schemas.openxmlformats.org/officeDocument/2006/relationships/image" Target="/xl/media/image69.png" Id="rId3"/><Relationship Type="http://schemas.openxmlformats.org/officeDocument/2006/relationships/image" Target="/xl/media/image70.png" Id="rId4"/><Relationship Type="http://schemas.openxmlformats.org/officeDocument/2006/relationships/image" Target="/xl/media/image71.png" Id="rId5"/></Relationships>
</file>

<file path=xl/drawings/drawing1.xml><?xml version="1.0" encoding="utf-8"?>
<wsDr xmlns="http://schemas.openxmlformats.org/drawingml/2006/spreadsheetDrawing">
  <twoCellAnchor editAs="oneCell">
    <from>
      <col>0</col>
      <colOff>0</colOff>
      <row>0</row>
      <rowOff>0</rowOff>
    </from>
    <to>
      <col>2</col>
      <colOff>17780</colOff>
      <row>3</row>
      <rowOff>265793</rowOff>
    </to>
    <pic>
      <nvPicPr>
        <cNvPr id="4"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016000" cy="465818"/>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2</col>
      <colOff>38100</colOff>
      <row>106</row>
      <rowOff>10092</rowOff>
    </from>
    <to>
      <col>2</col>
      <colOff>38100</colOff>
      <row>106</row>
      <rowOff>149302</rowOff>
    </to>
    <pic>
      <nvPicPr>
        <cNvPr id="216"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060700" y="20266592"/>
          <a:ext cx="158749" cy="139210"/>
        </a:xfrm>
        <a:prstGeom xmlns:a="http://schemas.openxmlformats.org/drawingml/2006/main" prst="rect">
          <avLst/>
        </a:prstGeom>
        <a:ln xmlns:a="http://schemas.openxmlformats.org/drawingml/2006/main">
          <a:prstDash val="solid"/>
        </a:ln>
      </spPr>
    </pic>
    <clientData/>
  </twoCellAnchor>
  <twoCellAnchor editAs="oneCell">
    <from>
      <col>3</col>
      <colOff>13710</colOff>
      <row>106</row>
      <rowOff>13986</rowOff>
    </from>
    <to>
      <col>3</col>
      <colOff>154322</colOff>
      <row>106</row>
      <rowOff>169236</rowOff>
    </to>
    <pic>
      <nvPicPr>
        <cNvPr id="217"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452360" y="20270486"/>
          <a:ext cx="140612" cy="145725"/>
        </a:xfrm>
        <a:prstGeom xmlns:a="http://schemas.openxmlformats.org/drawingml/2006/main" prst="rect">
          <avLst/>
        </a:prstGeom>
        <a:ln xmlns:a="http://schemas.openxmlformats.org/drawingml/2006/main">
          <a:prstDash val="solid"/>
        </a:ln>
      </spPr>
    </pic>
    <clientData/>
  </twoCellAnchor>
  <twoCellAnchor editAs="oneCell">
    <from>
      <col>4</col>
      <colOff>44450</colOff>
      <row>106</row>
      <rowOff>19130</rowOff>
    </from>
    <to>
      <col>4</col>
      <colOff>225425</colOff>
      <row>107</row>
      <rowOff>10030</rowOff>
    </to>
    <pic>
      <nvPicPr>
        <cNvPr id="218"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861050" y="20275630"/>
          <a:ext cx="171450" cy="165918"/>
        </a:xfrm>
        <a:prstGeom xmlns:a="http://schemas.openxmlformats.org/drawingml/2006/main" prst="rect">
          <avLst/>
        </a:prstGeom>
        <a:ln xmlns:a="http://schemas.openxmlformats.org/drawingml/2006/main">
          <a:prstDash val="solid"/>
        </a:ln>
      </spPr>
    </pic>
    <clientData/>
  </twoCellAnchor>
  <twoCellAnchor editAs="oneCell">
    <from>
      <col>0</col>
      <colOff>0</colOff>
      <row>106</row>
      <rowOff>7863</rowOff>
    </from>
    <to>
      <col>0</col>
      <colOff>208786</colOff>
      <row>107</row>
      <rowOff>3030</rowOff>
    </to>
    <pic>
      <nvPicPr>
        <cNvPr id="220"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0264363"/>
          <a:ext cx="208786" cy="176535"/>
        </a:xfrm>
        <a:prstGeom xmlns:a="http://schemas.openxmlformats.org/drawingml/2006/main" prst="rect">
          <avLst/>
        </a:prstGeom>
        <a:ln xmlns:a="http://schemas.openxmlformats.org/drawingml/2006/main">
          <a:prstDash val="solid"/>
        </a:ln>
      </spPr>
    </pic>
    <clientData/>
  </twoCellAnchor>
  <oneCellAnchor>
    <from>
      <col>1</col>
      <colOff>20248</colOff>
      <row>106</row>
      <rowOff>8127</rowOff>
    </from>
    <ext cx="199069" cy="170387"/>
    <pic>
      <nvPicPr>
        <cNvPr id="219"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87098" y="20264627"/>
          <a:ext cx="199069" cy="170387"/>
        </a:xfrm>
        <a:prstGeom xmlns:a="http://schemas.openxmlformats.org/drawingml/2006/main" prst="rect">
          <avLst/>
        </a:prstGeom>
        <a:ln xmlns:a="http://schemas.openxmlformats.org/drawingml/2006/main">
          <a:prstDash val="solid"/>
        </a:ln>
      </spPr>
    </pic>
    <clientData/>
  </oneCellAnchor>
</wsDr>
</file>

<file path=xl/drawings/drawing3.xml><?xml version="1.0" encoding="utf-8"?>
<wsDr xmlns="http://schemas.openxmlformats.org/drawingml/2006/spreadsheetDrawing">
  <twoCellAnchor editAs="oneCell">
    <from>
      <col>2</col>
      <colOff>38100</colOff>
      <row>91</row>
      <rowOff>10092</rowOff>
    </from>
    <to>
      <col>2</col>
      <colOff>211454</colOff>
      <row>91</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060700" y="20266592"/>
          <a:ext cx="158749" cy="139210"/>
        </a:xfrm>
        <a:prstGeom xmlns:a="http://schemas.openxmlformats.org/drawingml/2006/main" prst="rect">
          <avLst/>
        </a:prstGeom>
        <a:ln xmlns:a="http://schemas.openxmlformats.org/drawingml/2006/main">
          <a:prstDash val="solid"/>
        </a:ln>
      </spPr>
    </pic>
    <clientData/>
  </twoCellAnchor>
  <twoCellAnchor editAs="oneCell">
    <from>
      <col>3</col>
      <colOff>13710</colOff>
      <row>91</row>
      <rowOff>13986</rowOff>
    </from>
    <to>
      <col>3</col>
      <colOff>154322</colOff>
      <row>91</row>
      <rowOff>169236</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446010" y="20270486"/>
          <a:ext cx="140612" cy="145725"/>
        </a:xfrm>
        <a:prstGeom xmlns:a="http://schemas.openxmlformats.org/drawingml/2006/main" prst="rect">
          <avLst/>
        </a:prstGeom>
        <a:ln xmlns:a="http://schemas.openxmlformats.org/drawingml/2006/main">
          <a:prstDash val="solid"/>
        </a:ln>
      </spPr>
    </pic>
    <clientData/>
  </twoCellAnchor>
  <twoCellAnchor editAs="oneCell">
    <from>
      <col>4</col>
      <colOff>44450</colOff>
      <row>91</row>
      <rowOff>19130</rowOff>
    </from>
    <to>
      <col>4</col>
      <colOff>225425</colOff>
      <row>92</row>
      <rowOff>897</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854700" y="20275630"/>
          <a:ext cx="171450" cy="165918"/>
        </a:xfrm>
        <a:prstGeom xmlns:a="http://schemas.openxmlformats.org/drawingml/2006/main" prst="rect">
          <avLst/>
        </a:prstGeom>
        <a:ln xmlns:a="http://schemas.openxmlformats.org/drawingml/2006/main">
          <a:prstDash val="solid"/>
        </a:ln>
      </spPr>
    </pic>
    <clientData/>
  </twoCellAnchor>
  <twoCellAnchor editAs="oneCell">
    <from>
      <col>0</col>
      <colOff>0</colOff>
      <row>91</row>
      <rowOff>7863</rowOff>
    </from>
    <to>
      <col>0</col>
      <colOff>208786</colOff>
      <row>92</row>
      <rowOff>247</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0264363"/>
          <a:ext cx="208786" cy="176535"/>
        </a:xfrm>
        <a:prstGeom xmlns:a="http://schemas.openxmlformats.org/drawingml/2006/main" prst="rect">
          <avLst/>
        </a:prstGeom>
        <a:ln xmlns:a="http://schemas.openxmlformats.org/drawingml/2006/main">
          <a:prstDash val="solid"/>
        </a:ln>
      </spPr>
    </pic>
    <clientData/>
  </twoCellAnchor>
  <oneCellAnchor>
    <from>
      <col>1</col>
      <colOff>20248</colOff>
      <row>91</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87098" y="20264627"/>
          <a:ext cx="199069" cy="170387"/>
        </a:xfrm>
        <a:prstGeom xmlns:a="http://schemas.openxmlformats.org/drawingml/2006/main" prst="rect">
          <avLst/>
        </a:prstGeom>
        <a:ln xmlns:a="http://schemas.openxmlformats.org/drawingml/2006/main">
          <a:prstDash val="solid"/>
        </a:ln>
      </spPr>
    </pic>
    <clientData/>
  </oneCellAnchor>
</wsDr>
</file>

<file path=xl/drawings/drawing4.xml><?xml version="1.0" encoding="utf-8"?>
<wsDr xmlns="http://schemas.openxmlformats.org/drawingml/2006/spreadsheetDrawing">
  <twoCellAnchor editAs="oneCell">
    <from>
      <col>2</col>
      <colOff>38100</colOff>
      <row>114</row>
      <rowOff>10092</rowOff>
    </from>
    <to>
      <col>2</col>
      <colOff>210819</colOff>
      <row>114</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060700" y="20266592"/>
          <a:ext cx="158749" cy="139210"/>
        </a:xfrm>
        <a:prstGeom xmlns:a="http://schemas.openxmlformats.org/drawingml/2006/main" prst="rect">
          <avLst/>
        </a:prstGeom>
        <a:ln xmlns:a="http://schemas.openxmlformats.org/drawingml/2006/main">
          <a:prstDash val="solid"/>
        </a:ln>
      </spPr>
    </pic>
    <clientData/>
  </twoCellAnchor>
  <twoCellAnchor editAs="oneCell">
    <from>
      <col>3</col>
      <colOff>13710</colOff>
      <row>114</row>
      <rowOff>13986</rowOff>
    </from>
    <to>
      <col>3</col>
      <colOff>154322</colOff>
      <row>114</row>
      <rowOff>169236</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452360" y="20270486"/>
          <a:ext cx="140612" cy="145725"/>
        </a:xfrm>
        <a:prstGeom xmlns:a="http://schemas.openxmlformats.org/drawingml/2006/main" prst="rect">
          <avLst/>
        </a:prstGeom>
        <a:ln xmlns:a="http://schemas.openxmlformats.org/drawingml/2006/main">
          <a:prstDash val="solid"/>
        </a:ln>
      </spPr>
    </pic>
    <clientData/>
  </twoCellAnchor>
  <twoCellAnchor editAs="oneCell">
    <from>
      <col>4</col>
      <colOff>44450</colOff>
      <row>114</row>
      <rowOff>19130</rowOff>
    </from>
    <to>
      <col>4</col>
      <colOff>208280</colOff>
      <row>115</row>
      <rowOff>899</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861050" y="20275630"/>
          <a:ext cx="171450" cy="165918"/>
        </a:xfrm>
        <a:prstGeom xmlns:a="http://schemas.openxmlformats.org/drawingml/2006/main" prst="rect">
          <avLst/>
        </a:prstGeom>
        <a:ln xmlns:a="http://schemas.openxmlformats.org/drawingml/2006/main">
          <a:prstDash val="solid"/>
        </a:ln>
      </spPr>
    </pic>
    <clientData/>
  </twoCellAnchor>
  <twoCellAnchor editAs="oneCell">
    <from>
      <col>0</col>
      <colOff>0</colOff>
      <row>114</row>
      <rowOff>7863</rowOff>
    </from>
    <to>
      <col>0</col>
      <colOff>208786</colOff>
      <row>115</row>
      <rowOff>249</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0264363"/>
          <a:ext cx="208786" cy="176535"/>
        </a:xfrm>
        <a:prstGeom xmlns:a="http://schemas.openxmlformats.org/drawingml/2006/main" prst="rect">
          <avLst/>
        </a:prstGeom>
        <a:ln xmlns:a="http://schemas.openxmlformats.org/drawingml/2006/main">
          <a:prstDash val="solid"/>
        </a:ln>
      </spPr>
    </pic>
    <clientData/>
  </twoCellAnchor>
  <twoCellAnchor editAs="oneCell">
    <from>
      <col>9</col>
      <colOff>495300</colOff>
      <row>65</row>
      <rowOff>114300</rowOff>
    </from>
    <to>
      <col>16</col>
      <colOff>583404</colOff>
      <row>72</row>
      <rowOff>6350</rowOff>
    </to>
    <pic>
      <nvPicPr>
        <cNvPr id="33" name="Picture 14"/>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9105900" y="14363700"/>
          <a:ext cx="5936454" cy="2508250"/>
        </a:xfrm>
        <a:prstGeom xmlns:a="http://schemas.openxmlformats.org/drawingml/2006/main" prst="rect">
          <avLst/>
        </a:prstGeom>
        <a:ln xmlns:a="http://schemas.openxmlformats.org/drawingml/2006/main">
          <a:prstDash val="solid"/>
        </a:ln>
      </spPr>
    </pic>
    <clientData/>
  </twoCellAnchor>
  <twoCellAnchor editAs="oneCell">
    <from>
      <col>20</col>
      <colOff>898072</colOff>
      <row>18</row>
      <rowOff>9070</rowOff>
    </from>
    <to>
      <col>39</col>
      <colOff>84364</colOff>
      <row>32</row>
      <rowOff>166459</rowOff>
    </to>
    <pic>
      <nvPicPr>
        <cNvPr id="15" name="Picture 26"/>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19285858" y="3936999"/>
          <a:ext cx="3313792" cy="3078389"/>
        </a:xfrm>
        <a:prstGeom xmlns:a="http://schemas.openxmlformats.org/drawingml/2006/main" prst="rect">
          <avLst/>
        </a:prstGeom>
        <a:ln xmlns:a="http://schemas.openxmlformats.org/drawingml/2006/main">
          <a:prstDash val="solid"/>
        </a:ln>
      </spPr>
    </pic>
    <clientData/>
  </twoCellAnchor>
  <twoCellAnchor editAs="oneCell">
    <from>
      <col>6</col>
      <colOff>190500</colOff>
      <row>65</row>
      <rowOff>85725</rowOff>
    </from>
    <to>
      <col>9</col>
      <colOff>146050</colOff>
      <row>71</row>
      <rowOff>698500</rowOff>
    </to>
    <pic>
      <nvPicPr>
        <cNvPr id="34" name="Picture 1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6400800" y="14335125"/>
          <a:ext cx="2628900" cy="2486025"/>
        </a:xfrm>
        <a:prstGeom xmlns:a="http://schemas.openxmlformats.org/drawingml/2006/main" prst="rect">
          <avLst/>
        </a:prstGeom>
        <a:ln xmlns:a="http://schemas.openxmlformats.org/drawingml/2006/main">
          <a:prstDash val="solid"/>
        </a:ln>
      </spPr>
    </pic>
    <clientData/>
  </twoCellAnchor>
  <twoCellAnchor editAs="oneCell">
    <from>
      <col>6</col>
      <colOff>572285</colOff>
      <row>59</row>
      <rowOff>94074</rowOff>
    </from>
    <to>
      <col>9</col>
      <colOff>2719</colOff>
      <row>65</row>
      <rowOff>7840</rowOff>
    </to>
    <pic>
      <nvPicPr>
        <cNvPr id="16" name="Picture 15"/>
        <cNvPicPr>
          <a:picLocks xmlns:a="http://schemas.openxmlformats.org/drawingml/2006/main" noChangeAspect="1" noChangeArrowheads="1"/>
        </cNvPicPr>
      </nvPicPr>
      <blipFill>
        <a:blip xmlns:a="http://schemas.openxmlformats.org/drawingml/2006/main" xmlns:r="http://schemas.openxmlformats.org/officeDocument/2006/relationships" r:embed="rId9"/>
        <a:srcRect xmlns:a="http://schemas.openxmlformats.org/drawingml/2006/main"/>
        <a:stretch xmlns:a="http://schemas.openxmlformats.org/drawingml/2006/main">
          <a:fillRect/>
        </a:stretch>
      </blipFill>
      <spPr bwMode="auto">
        <a:xfrm xmlns:a="http://schemas.openxmlformats.org/drawingml/2006/main">
          <a:off x="7094754" y="12464815"/>
          <a:ext cx="2089516" cy="1857963"/>
        </a:xfrm>
        <a:prstGeom xmlns:a="http://schemas.openxmlformats.org/drawingml/2006/main" prst="rect">
          <avLst/>
        </a:prstGeom>
        <a:noFill xmlns:a="http://schemas.openxmlformats.org/drawingml/2006/main"/>
        <a:ln xmlns:a="http://schemas.openxmlformats.org/drawingml/2006/main">
          <a:prstDash val="solid"/>
        </a:ln>
      </spPr>
    </pic>
    <clientData/>
  </twoCellAnchor>
  <oneCellAnchor>
    <from>
      <col>1</col>
      <colOff>20248</colOff>
      <row>114</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87098" y="20264627"/>
          <a:ext cx="199069" cy="170387"/>
        </a:xfrm>
        <a:prstGeom xmlns:a="http://schemas.openxmlformats.org/drawingml/2006/main" prst="rect">
          <avLst/>
        </a:prstGeom>
        <a:ln xmlns:a="http://schemas.openxmlformats.org/drawingml/2006/main">
          <a:prstDash val="solid"/>
        </a:ln>
      </spPr>
    </pic>
    <clientData/>
  </oneCellAnchor>
</wsDr>
</file>

<file path=xl/drawings/drawing5.xml><?xml version="1.0" encoding="utf-8"?>
<wsDr xmlns="http://schemas.openxmlformats.org/drawingml/2006/spreadsheetDrawing">
  <twoCellAnchor editAs="oneCell">
    <from>
      <col>2</col>
      <colOff>38100</colOff>
      <row>91</row>
      <rowOff>10092</rowOff>
    </from>
    <to>
      <col>3</col>
      <colOff>165099</colOff>
      <row>91</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060700" y="19656992"/>
          <a:ext cx="158749" cy="139210"/>
        </a:xfrm>
        <a:prstGeom xmlns:a="http://schemas.openxmlformats.org/drawingml/2006/main" prst="rect">
          <avLst/>
        </a:prstGeom>
        <a:ln xmlns:a="http://schemas.openxmlformats.org/drawingml/2006/main">
          <a:prstDash val="solid"/>
        </a:ln>
      </spPr>
    </pic>
    <clientData/>
  </twoCellAnchor>
  <twoCellAnchor editAs="oneCell">
    <from>
      <col>3</col>
      <colOff>13710</colOff>
      <row>91</row>
      <rowOff>13986</rowOff>
    </from>
    <to>
      <col>3</col>
      <colOff>154322</colOff>
      <row>91</row>
      <rowOff>159711</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452360" y="19660886"/>
          <a:ext cx="140612" cy="145725"/>
        </a:xfrm>
        <a:prstGeom xmlns:a="http://schemas.openxmlformats.org/drawingml/2006/main" prst="rect">
          <avLst/>
        </a:prstGeom>
        <a:ln xmlns:a="http://schemas.openxmlformats.org/drawingml/2006/main">
          <a:prstDash val="solid"/>
        </a:ln>
      </spPr>
    </pic>
    <clientData/>
  </twoCellAnchor>
  <twoCellAnchor editAs="oneCell">
    <from>
      <col>4</col>
      <colOff>44450</colOff>
      <row>91</row>
      <rowOff>19130</rowOff>
    </from>
    <to>
      <col>4</col>
      <colOff>215900</colOff>
      <row>92</row>
      <rowOff>896</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861050" y="19666030"/>
          <a:ext cx="171450" cy="165917"/>
        </a:xfrm>
        <a:prstGeom xmlns:a="http://schemas.openxmlformats.org/drawingml/2006/main" prst="rect">
          <avLst/>
        </a:prstGeom>
        <a:ln xmlns:a="http://schemas.openxmlformats.org/drawingml/2006/main">
          <a:prstDash val="solid"/>
        </a:ln>
      </spPr>
    </pic>
    <clientData/>
  </twoCellAnchor>
  <twoCellAnchor editAs="oneCell">
    <from>
      <col>0</col>
      <colOff>0</colOff>
      <row>91</row>
      <rowOff>7863</rowOff>
    </from>
    <to>
      <col>0</col>
      <colOff>208786</colOff>
      <row>92</row>
      <rowOff>246</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19654763"/>
          <a:ext cx="208786" cy="176534"/>
        </a:xfrm>
        <a:prstGeom xmlns:a="http://schemas.openxmlformats.org/drawingml/2006/main" prst="rect">
          <avLst/>
        </a:prstGeom>
        <a:ln xmlns:a="http://schemas.openxmlformats.org/drawingml/2006/main">
          <a:prstDash val="solid"/>
        </a:ln>
      </spPr>
    </pic>
    <clientData/>
  </twoCellAnchor>
  <oneCellAnchor>
    <from>
      <col>1</col>
      <colOff>20248</colOff>
      <row>91</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87098" y="19655027"/>
          <a:ext cx="199069" cy="170387"/>
        </a:xfrm>
        <a:prstGeom xmlns:a="http://schemas.openxmlformats.org/drawingml/2006/main" prst="rect">
          <avLst/>
        </a:prstGeom>
        <a:ln xmlns:a="http://schemas.openxmlformats.org/drawingml/2006/main">
          <a:prstDash val="solid"/>
        </a:ln>
      </spPr>
    </pic>
    <clientData/>
  </oneCellAnchor>
</wsDr>
</file>

<file path=xl/drawings/drawing6.xml><?xml version="1.0" encoding="utf-8"?>
<wsDr xmlns="http://schemas.openxmlformats.org/drawingml/2006/spreadsheetDrawing">
  <twoCellAnchor editAs="oneCell">
    <from>
      <col>2</col>
      <colOff>38100</colOff>
      <row>115</row>
      <rowOff>10092</rowOff>
    </from>
    <to>
      <col>2</col>
      <colOff>207009</colOff>
      <row>115</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060700" y="20317392"/>
          <a:ext cx="158749" cy="139210"/>
        </a:xfrm>
        <a:prstGeom xmlns:a="http://schemas.openxmlformats.org/drawingml/2006/main" prst="rect">
          <avLst/>
        </a:prstGeom>
        <a:ln xmlns:a="http://schemas.openxmlformats.org/drawingml/2006/main">
          <a:prstDash val="solid"/>
        </a:ln>
      </spPr>
    </pic>
    <clientData/>
  </twoCellAnchor>
  <twoCellAnchor editAs="oneCell">
    <from>
      <col>3</col>
      <colOff>13710</colOff>
      <row>115</row>
      <rowOff>13986</rowOff>
    </from>
    <to>
      <col>3</col>
      <colOff>150512</colOff>
      <row>115</row>
      <rowOff>173046</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134860" y="20321286"/>
          <a:ext cx="140612" cy="145725"/>
        </a:xfrm>
        <a:prstGeom xmlns:a="http://schemas.openxmlformats.org/drawingml/2006/main" prst="rect">
          <avLst/>
        </a:prstGeom>
        <a:ln xmlns:a="http://schemas.openxmlformats.org/drawingml/2006/main">
          <a:prstDash val="solid"/>
        </a:ln>
      </spPr>
    </pic>
    <clientData/>
  </twoCellAnchor>
  <twoCellAnchor editAs="oneCell">
    <from>
      <col>4</col>
      <colOff>44450</colOff>
      <row>115</row>
      <rowOff>19130</rowOff>
    </from>
    <to>
      <col>4</col>
      <colOff>210185</colOff>
      <row>116</row>
      <rowOff>895</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245100" y="20326430"/>
          <a:ext cx="171450" cy="165918"/>
        </a:xfrm>
        <a:prstGeom xmlns:a="http://schemas.openxmlformats.org/drawingml/2006/main" prst="rect">
          <avLst/>
        </a:prstGeom>
        <a:ln xmlns:a="http://schemas.openxmlformats.org/drawingml/2006/main">
          <a:prstDash val="solid"/>
        </a:ln>
      </spPr>
    </pic>
    <clientData/>
  </twoCellAnchor>
  <twoCellAnchor editAs="oneCell">
    <from>
      <col>0</col>
      <colOff>0</colOff>
      <row>115</row>
      <rowOff>7863</rowOff>
    </from>
    <to>
      <col>0</col>
      <colOff>212596</colOff>
      <row>116</row>
      <rowOff>245</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0315163"/>
          <a:ext cx="208786" cy="176535"/>
        </a:xfrm>
        <a:prstGeom xmlns:a="http://schemas.openxmlformats.org/drawingml/2006/main" prst="rect">
          <avLst/>
        </a:prstGeom>
        <a:ln xmlns:a="http://schemas.openxmlformats.org/drawingml/2006/main">
          <a:prstDash val="solid"/>
        </a:ln>
      </spPr>
    </pic>
    <clientData/>
  </twoCellAnchor>
  <oneCellAnchor>
    <from>
      <col>1</col>
      <colOff>20248</colOff>
      <row>115</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87098" y="20315427"/>
          <a:ext cx="199069" cy="170387"/>
        </a:xfrm>
        <a:prstGeom xmlns:a="http://schemas.openxmlformats.org/drawingml/2006/main" prst="rect">
          <avLst/>
        </a:prstGeom>
        <a:ln xmlns:a="http://schemas.openxmlformats.org/drawingml/2006/main">
          <a:prstDash val="solid"/>
        </a:ln>
      </spPr>
    </pic>
    <clientData/>
  </oneCellAnchor>
</wsDr>
</file>

<file path=xl/drawings/drawing7.xml><?xml version="1.0" encoding="utf-8"?>
<wsDr xmlns="http://schemas.openxmlformats.org/drawingml/2006/spreadsheetDrawing">
  <oneCellAnchor>
    <from>
      <col>2</col>
      <colOff>38100</colOff>
      <row>116</row>
      <rowOff>10092</rowOff>
    </from>
    <ext cx="165099" cy="139210"/>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3733800" y="38195817"/>
          <a:ext cx="165099" cy="139210"/>
        </a:xfrm>
        <a:prstGeom xmlns:a="http://schemas.openxmlformats.org/drawingml/2006/main" prst="rect">
          <avLst/>
        </a:prstGeom>
        <a:ln xmlns:a="http://schemas.openxmlformats.org/drawingml/2006/main">
          <a:prstDash val="solid"/>
        </a:ln>
      </spPr>
    </pic>
    <clientData/>
  </oneCellAnchor>
  <oneCellAnchor>
    <from>
      <col>3</col>
      <colOff>13710</colOff>
      <row>116</row>
      <rowOff>13986</rowOff>
    </from>
    <ext cx="140612" cy="145725"/>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6919335" y="38199711"/>
          <a:ext cx="140612" cy="145725"/>
        </a:xfrm>
        <a:prstGeom xmlns:a="http://schemas.openxmlformats.org/drawingml/2006/main" prst="rect">
          <avLst/>
        </a:prstGeom>
        <a:ln xmlns:a="http://schemas.openxmlformats.org/drawingml/2006/main">
          <a:prstDash val="solid"/>
        </a:ln>
      </spPr>
    </pic>
    <clientData/>
  </oneCellAnchor>
  <oneCellAnchor>
    <from>
      <col>4</col>
      <colOff>44450</colOff>
      <row>116</row>
      <rowOff>19130</rowOff>
    </from>
    <ext cx="171450" cy="172268"/>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flipV="1">
          <a:off x="8626475" y="38204855"/>
          <a:ext cx="171450" cy="172268"/>
        </a:xfrm>
        <a:prstGeom xmlns:a="http://schemas.openxmlformats.org/drawingml/2006/main" prst="rect">
          <avLst/>
        </a:prstGeom>
        <a:ln xmlns:a="http://schemas.openxmlformats.org/drawingml/2006/main">
          <a:prstDash val="solid"/>
        </a:ln>
      </spPr>
    </pic>
    <clientData/>
  </oneCellAnchor>
  <oneCellAnchor>
    <from>
      <col>1</col>
      <colOff>20248</colOff>
      <row>116</row>
      <rowOff>8127</rowOff>
    </from>
    <ext cx="199069" cy="170387"/>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582348" y="38193852"/>
          <a:ext cx="199069" cy="170387"/>
        </a:xfrm>
        <a:prstGeom xmlns:a="http://schemas.openxmlformats.org/drawingml/2006/main" prst="rect">
          <avLst/>
        </a:prstGeom>
        <a:ln xmlns:a="http://schemas.openxmlformats.org/drawingml/2006/main">
          <a:prstDash val="solid"/>
        </a:ln>
      </spPr>
    </pic>
    <clientData/>
  </oneCellAnchor>
  <oneCellAnchor>
    <from>
      <col>0</col>
      <colOff>0</colOff>
      <row>116</row>
      <rowOff>7863</rowOff>
    </from>
    <ext cx="208786" cy="182885"/>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38193588"/>
          <a:ext cx="208786" cy="182885"/>
        </a:xfrm>
        <a:prstGeom xmlns:a="http://schemas.openxmlformats.org/drawingml/2006/main" prst="rect">
          <avLst/>
        </a:prstGeom>
        <a:ln xmlns:a="http://schemas.openxmlformats.org/drawingml/2006/main">
          <a:prstDash val="solid"/>
        </a:ln>
      </spPr>
    </pic>
    <clientData/>
  </oneCellAnchor>
</wsDr>
</file>

<file path=xl/drawings/drawing8.xml><?xml version="1.0" encoding="utf-8"?>
<wsDr xmlns="http://schemas.openxmlformats.org/drawingml/2006/spreadsheetDrawing">
  <oneCellAnchor>
    <from>
      <col>2</col>
      <colOff>38100</colOff>
      <row>116</row>
      <rowOff>10092</rowOff>
    </from>
    <ext cx="165099" cy="139210"/>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3914775" y="32658617"/>
          <a:ext cx="165099" cy="139210"/>
        </a:xfrm>
        <a:prstGeom xmlns:a="http://schemas.openxmlformats.org/drawingml/2006/main" prst="rect">
          <avLst/>
        </a:prstGeom>
        <a:ln xmlns:a="http://schemas.openxmlformats.org/drawingml/2006/main">
          <a:prstDash val="solid"/>
        </a:ln>
      </spPr>
    </pic>
    <clientData/>
  </oneCellAnchor>
  <oneCellAnchor>
    <from>
      <col>3</col>
      <colOff>13710</colOff>
      <row>116</row>
      <rowOff>13986</rowOff>
    </from>
    <ext cx="140612" cy="145725"/>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7249535" y="32662511"/>
          <a:ext cx="140612" cy="145725"/>
        </a:xfrm>
        <a:prstGeom xmlns:a="http://schemas.openxmlformats.org/drawingml/2006/main" prst="rect">
          <avLst/>
        </a:prstGeom>
        <a:ln xmlns:a="http://schemas.openxmlformats.org/drawingml/2006/main">
          <a:prstDash val="solid"/>
        </a:ln>
      </spPr>
    </pic>
    <clientData/>
  </oneCellAnchor>
  <oneCellAnchor>
    <from>
      <col>4</col>
      <colOff>44450</colOff>
      <row>116</row>
      <rowOff>19130</rowOff>
    </from>
    <ext cx="171450" cy="172268"/>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flipV="1">
          <a:off x="9048750" y="32670830"/>
          <a:ext cx="171450" cy="172268"/>
        </a:xfrm>
        <a:prstGeom xmlns:a="http://schemas.openxmlformats.org/drawingml/2006/main" prst="rect">
          <avLst/>
        </a:prstGeom>
        <a:ln xmlns:a="http://schemas.openxmlformats.org/drawingml/2006/main">
          <a:prstDash val="solid"/>
        </a:ln>
      </spPr>
    </pic>
    <clientData/>
  </oneCellAnchor>
  <oneCellAnchor>
    <from>
      <col>1</col>
      <colOff>20248</colOff>
      <row>116</row>
      <rowOff>8127</rowOff>
    </from>
    <ext cx="199069" cy="170387"/>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658548" y="32663002"/>
          <a:ext cx="199069" cy="170387"/>
        </a:xfrm>
        <a:prstGeom xmlns:a="http://schemas.openxmlformats.org/drawingml/2006/main" prst="rect">
          <avLst/>
        </a:prstGeom>
        <a:ln xmlns:a="http://schemas.openxmlformats.org/drawingml/2006/main">
          <a:prstDash val="solid"/>
        </a:ln>
      </spPr>
    </pic>
    <clientData/>
  </oneCellAnchor>
  <oneCellAnchor>
    <from>
      <col>0</col>
      <colOff>0</colOff>
      <row>116</row>
      <rowOff>7863</rowOff>
    </from>
    <ext cx="208786" cy="182885"/>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32662738"/>
          <a:ext cx="208786" cy="182885"/>
        </a:xfrm>
        <a:prstGeom xmlns:a="http://schemas.openxmlformats.org/drawingml/2006/main" prst="rect">
          <avLst/>
        </a:prstGeom>
        <a:ln xmlns:a="http://schemas.openxmlformats.org/drawingml/2006/main">
          <a:prstDash val="solid"/>
        </a:ln>
      </spPr>
    </pic>
    <clientData/>
  </oneCellAnchor>
</wsDr>
</file>

<file path=xl/drawings/drawing9.xml><?xml version="1.0" encoding="utf-8"?>
<wsDr xmlns="http://schemas.openxmlformats.org/drawingml/2006/spreadsheetDrawing">
  <twoCellAnchor editAs="oneCell">
    <from>
      <col>2</col>
      <colOff>38100</colOff>
      <row>132</row>
      <rowOff>10092</rowOff>
    </from>
    <to>
      <col>2</col>
      <colOff>210819</colOff>
      <row>132</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060700" y="20266592"/>
          <a:ext cx="165099" cy="139210"/>
        </a:xfrm>
        <a:prstGeom xmlns:a="http://schemas.openxmlformats.org/drawingml/2006/main" prst="rect">
          <avLst/>
        </a:prstGeom>
        <a:ln xmlns:a="http://schemas.openxmlformats.org/drawingml/2006/main">
          <a:prstDash val="solid"/>
        </a:ln>
      </spPr>
    </pic>
    <clientData/>
  </twoCellAnchor>
  <twoCellAnchor editAs="oneCell">
    <from>
      <col>3</col>
      <colOff>13710</colOff>
      <row>132</row>
      <rowOff>13986</rowOff>
    </from>
    <to>
      <col>3</col>
      <colOff>154322</colOff>
      <row>132</row>
      <rowOff>169236</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452360" y="20270486"/>
          <a:ext cx="140612" cy="145725"/>
        </a:xfrm>
        <a:prstGeom xmlns:a="http://schemas.openxmlformats.org/drawingml/2006/main" prst="rect">
          <avLst/>
        </a:prstGeom>
        <a:ln xmlns:a="http://schemas.openxmlformats.org/drawingml/2006/main">
          <a:prstDash val="solid"/>
        </a:ln>
      </spPr>
    </pic>
    <clientData/>
  </twoCellAnchor>
  <twoCellAnchor editAs="oneCell">
    <from>
      <col>4</col>
      <colOff>44450</colOff>
      <row>132</row>
      <rowOff>19130</rowOff>
    </from>
    <to>
      <col>4</col>
      <colOff>208280</colOff>
      <row>133</row>
      <rowOff>897</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861050" y="20275630"/>
          <a:ext cx="171450" cy="165918"/>
        </a:xfrm>
        <a:prstGeom xmlns:a="http://schemas.openxmlformats.org/drawingml/2006/main" prst="rect">
          <avLst/>
        </a:prstGeom>
        <a:ln xmlns:a="http://schemas.openxmlformats.org/drawingml/2006/main">
          <a:prstDash val="solid"/>
        </a:ln>
      </spPr>
    </pic>
    <clientData/>
  </twoCellAnchor>
  <twoCellAnchor editAs="oneCell">
    <from>
      <col>0</col>
      <colOff>0</colOff>
      <row>132</row>
      <rowOff>7863</rowOff>
    </from>
    <to>
      <col>0</col>
      <colOff>208786</colOff>
      <row>133</row>
      <rowOff>247</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0264363"/>
          <a:ext cx="208786" cy="176535"/>
        </a:xfrm>
        <a:prstGeom xmlns:a="http://schemas.openxmlformats.org/drawingml/2006/main" prst="rect">
          <avLst/>
        </a:prstGeom>
        <a:ln xmlns:a="http://schemas.openxmlformats.org/drawingml/2006/main">
          <a:prstDash val="solid"/>
        </a:ln>
      </spPr>
    </pic>
    <clientData/>
  </twoCellAnchor>
  <oneCellAnchor>
    <from>
      <col>1</col>
      <colOff>20248</colOff>
      <row>132</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87098" y="20264627"/>
          <a:ext cx="199069" cy="170387"/>
        </a:xfrm>
        <a:prstGeom xmlns:a="http://schemas.openxmlformats.org/drawingml/2006/main" prst="rect">
          <avLst/>
        </a:prstGeom>
        <a:ln xmlns:a="http://schemas.openxmlformats.org/drawingml/2006/main">
          <a:prstDash val="solid"/>
        </a:ln>
      </spPr>
    </pic>
    <clientData/>
  </oneCellAnchor>
</wsDr>
</file>

<file path=xl/drawings/drawing10.xml><?xml version="1.0" encoding="utf-8"?>
<wsDr xmlns="http://schemas.openxmlformats.org/drawingml/2006/spreadsheetDrawing">
  <twoCellAnchor editAs="oneCell">
    <from>
      <col>2</col>
      <colOff>38100</colOff>
      <row>93</row>
      <rowOff>10092</rowOff>
    </from>
    <to>
      <col>2</col>
      <colOff>203199</colOff>
      <row>93</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067050" y="20622192"/>
          <a:ext cx="165099" cy="139210"/>
        </a:xfrm>
        <a:prstGeom xmlns:a="http://schemas.openxmlformats.org/drawingml/2006/main" prst="rect">
          <avLst/>
        </a:prstGeom>
        <a:ln xmlns:a="http://schemas.openxmlformats.org/drawingml/2006/main">
          <a:prstDash val="solid"/>
        </a:ln>
      </spPr>
    </pic>
    <clientData/>
  </twoCellAnchor>
  <twoCellAnchor editAs="oneCell">
    <from>
      <col>3</col>
      <colOff>13710</colOff>
      <row>93</row>
      <rowOff>13986</rowOff>
    </from>
    <to>
      <col>3</col>
      <colOff>154322</colOff>
      <row>93</row>
      <rowOff>159711</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465060" y="20626086"/>
          <a:ext cx="140612" cy="145725"/>
        </a:xfrm>
        <a:prstGeom xmlns:a="http://schemas.openxmlformats.org/drawingml/2006/main" prst="rect">
          <avLst/>
        </a:prstGeom>
        <a:ln xmlns:a="http://schemas.openxmlformats.org/drawingml/2006/main">
          <a:prstDash val="solid"/>
        </a:ln>
      </spPr>
    </pic>
    <clientData/>
  </twoCellAnchor>
  <twoCellAnchor editAs="oneCell">
    <from>
      <col>4</col>
      <colOff>44450</colOff>
      <row>93</row>
      <rowOff>19130</rowOff>
    </from>
    <to>
      <col>4</col>
      <colOff>215900</colOff>
      <row>93</row>
      <rowOff>181100</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867400" y="20631230"/>
          <a:ext cx="171450" cy="165918"/>
        </a:xfrm>
        <a:prstGeom xmlns:a="http://schemas.openxmlformats.org/drawingml/2006/main" prst="rect">
          <avLst/>
        </a:prstGeom>
        <a:ln xmlns:a="http://schemas.openxmlformats.org/drawingml/2006/main">
          <a:prstDash val="solid"/>
        </a:ln>
      </spPr>
    </pic>
    <clientData/>
  </twoCellAnchor>
  <twoCellAnchor editAs="oneCell">
    <from>
      <col>0</col>
      <colOff>0</colOff>
      <row>93</row>
      <rowOff>7863</rowOff>
    </from>
    <to>
      <col>0</col>
      <colOff>208786</colOff>
      <row>93</row>
      <rowOff>180450</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0619963"/>
          <a:ext cx="208786" cy="176535"/>
        </a:xfrm>
        <a:prstGeom xmlns:a="http://schemas.openxmlformats.org/drawingml/2006/main" prst="rect">
          <avLst/>
        </a:prstGeom>
        <a:ln xmlns:a="http://schemas.openxmlformats.org/drawingml/2006/main">
          <a:prstDash val="solid"/>
        </a:ln>
      </spPr>
    </pic>
    <clientData/>
  </twoCellAnchor>
  <oneCellAnchor>
    <from>
      <col>1</col>
      <colOff>20248</colOff>
      <row>93</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87098" y="20620227"/>
          <a:ext cx="199069" cy="170387"/>
        </a:xfrm>
        <a:prstGeom xmlns:a="http://schemas.openxmlformats.org/drawingml/2006/main" prst="rect">
          <avLst/>
        </a:prstGeom>
        <a:ln xmlns:a="http://schemas.openxmlformats.org/drawingml/2006/main">
          <a:prstDash val="solid"/>
        </a:ln>
      </spPr>
    </pic>
    <clientData/>
  </oneCellAnchor>
</wsDr>
</file>

<file path=xl/drawings/drawing11.xml><?xml version="1.0" encoding="utf-8"?>
<wsDr xmlns="http://schemas.openxmlformats.org/drawingml/2006/spreadsheetDrawing">
  <twoCellAnchor editAs="oneCell">
    <from>
      <col>2</col>
      <colOff>38100</colOff>
      <row>101</row>
      <rowOff>10092</rowOff>
    </from>
    <to>
      <col>2</col>
      <colOff>200024</colOff>
      <row>101</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057650" y="21517542"/>
          <a:ext cx="161924" cy="139210"/>
        </a:xfrm>
        <a:prstGeom xmlns:a="http://schemas.openxmlformats.org/drawingml/2006/main" prst="rect">
          <avLst/>
        </a:prstGeom>
        <a:ln xmlns:a="http://schemas.openxmlformats.org/drawingml/2006/main">
          <a:prstDash val="solid"/>
        </a:ln>
      </spPr>
    </pic>
    <clientData/>
  </twoCellAnchor>
  <twoCellAnchor editAs="oneCell">
    <from>
      <col>8</col>
      <colOff>77439</colOff>
      <row>101</row>
      <rowOff>21730</rowOff>
    </from>
    <to>
      <col>8</col>
      <colOff>218051</colOff>
      <row>101</row>
      <rowOff>170630</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5560122" y="21921486"/>
          <a:ext cx="140612" cy="148900"/>
        </a:xfrm>
        <a:prstGeom xmlns:a="http://schemas.openxmlformats.org/drawingml/2006/main" prst="rect">
          <avLst/>
        </a:prstGeom>
        <a:ln xmlns:a="http://schemas.openxmlformats.org/drawingml/2006/main">
          <a:prstDash val="solid"/>
        </a:ln>
      </spPr>
    </pic>
    <clientData/>
  </twoCellAnchor>
  <twoCellAnchor editAs="oneCell">
    <from>
      <col>10</col>
      <colOff>557561</colOff>
      <row>101</row>
      <rowOff>26873</rowOff>
    </from>
    <to>
      <col>10</col>
      <colOff>732186</colOff>
      <row>102</row>
      <rowOff>8641</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8262744" y="21926629"/>
          <a:ext cx="174625" cy="167622"/>
        </a:xfrm>
        <a:prstGeom xmlns:a="http://schemas.openxmlformats.org/drawingml/2006/main" prst="rect">
          <avLst/>
        </a:prstGeom>
        <a:ln xmlns:a="http://schemas.openxmlformats.org/drawingml/2006/main">
          <a:prstDash val="solid"/>
        </a:ln>
      </spPr>
    </pic>
    <clientData/>
  </twoCellAnchor>
  <twoCellAnchor editAs="oneCell">
    <from>
      <col>0</col>
      <colOff>0</colOff>
      <row>101</row>
      <rowOff>7863</rowOff>
    </from>
    <to>
      <col>0</col>
      <colOff>208786</colOff>
      <row>102</row>
      <rowOff>248</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1515313"/>
          <a:ext cx="208786" cy="176535"/>
        </a:xfrm>
        <a:prstGeom xmlns:a="http://schemas.openxmlformats.org/drawingml/2006/main" prst="rect">
          <avLst/>
        </a:prstGeom>
        <a:ln xmlns:a="http://schemas.openxmlformats.org/drawingml/2006/main">
          <a:prstDash val="solid"/>
        </a:ln>
      </spPr>
    </pic>
    <clientData/>
  </twoCellAnchor>
  <twoCellAnchor editAs="oneCell">
    <from>
      <col>43</col>
      <colOff>495300</colOff>
      <row>4</row>
      <rowOff>238125</rowOff>
    </from>
    <to>
      <col>58</col>
      <colOff>533400</colOff>
      <row>25</row>
      <rowOff>5715</rowOff>
    </to>
    <pic>
      <nvPicPr>
        <cNvPr id="50" name="Picture 47"/>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30175200" y="1190625"/>
          <a:ext cx="9829800" cy="3981450"/>
        </a:xfrm>
        <a:prstGeom xmlns:a="http://schemas.openxmlformats.org/drawingml/2006/main" prst="rect">
          <avLst/>
        </a:prstGeom>
        <a:ln xmlns:a="http://schemas.openxmlformats.org/drawingml/2006/main">
          <a:prstDash val="solid"/>
        </a:ln>
      </spPr>
    </pic>
    <clientData/>
  </twoCellAnchor>
  <oneCellAnchor>
    <from>
      <col>1</col>
      <colOff>20248</colOff>
      <row>101</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36298" y="21515577"/>
          <a:ext cx="199069" cy="170387"/>
        </a:xfrm>
        <a:prstGeom xmlns:a="http://schemas.openxmlformats.org/drawingml/2006/main" prst="rect">
          <avLst/>
        </a:prstGeom>
        <a:ln xmlns:a="http://schemas.openxmlformats.org/drawingml/2006/main">
          <a:prstDash val="solid"/>
        </a:ln>
      </spPr>
    </pic>
    <clientData/>
  </oneCellAnchor>
</wsDr>
</file>

<file path=xl/drawings/drawing12.xml><?xml version="1.0" encoding="utf-8"?>
<wsDr xmlns="http://schemas.openxmlformats.org/drawingml/2006/spreadsheetDrawing">
  <twoCellAnchor editAs="oneCell">
    <from>
      <col>2</col>
      <colOff>38100</colOff>
      <row>95</row>
      <rowOff>10092</rowOff>
    </from>
    <to>
      <col>2</col>
      <colOff>211454</colOff>
      <row>95</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971800" y="20266592"/>
          <a:ext cx="173354" cy="139210"/>
        </a:xfrm>
        <a:prstGeom xmlns:a="http://schemas.openxmlformats.org/drawingml/2006/main" prst="rect">
          <avLst/>
        </a:prstGeom>
        <a:ln xmlns:a="http://schemas.openxmlformats.org/drawingml/2006/main">
          <a:prstDash val="solid"/>
        </a:ln>
      </spPr>
    </pic>
    <clientData/>
  </twoCellAnchor>
  <twoCellAnchor editAs="oneCell">
    <from>
      <col>3</col>
      <colOff>13710</colOff>
      <row>95</row>
      <rowOff>13986</rowOff>
    </from>
    <to>
      <col>3</col>
      <colOff>154322</colOff>
      <row>95</row>
      <rowOff>168601</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363460" y="20270486"/>
          <a:ext cx="140612" cy="154615"/>
        </a:xfrm>
        <a:prstGeom xmlns:a="http://schemas.openxmlformats.org/drawingml/2006/main" prst="rect">
          <avLst/>
        </a:prstGeom>
        <a:ln xmlns:a="http://schemas.openxmlformats.org/drawingml/2006/main">
          <a:prstDash val="solid"/>
        </a:ln>
      </spPr>
    </pic>
    <clientData/>
  </twoCellAnchor>
  <twoCellAnchor editAs="oneCell">
    <from>
      <col>4</col>
      <colOff>44450</colOff>
      <row>95</row>
      <rowOff>19130</rowOff>
    </from>
    <to>
      <col>4</col>
      <colOff>207645</colOff>
      <row>96</row>
      <rowOff>898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772150" y="20275630"/>
          <a:ext cx="163195" cy="165918"/>
        </a:xfrm>
        <a:prstGeom xmlns:a="http://schemas.openxmlformats.org/drawingml/2006/main" prst="rect">
          <avLst/>
        </a:prstGeom>
        <a:ln xmlns:a="http://schemas.openxmlformats.org/drawingml/2006/main">
          <a:prstDash val="solid"/>
        </a:ln>
      </spPr>
    </pic>
    <clientData/>
  </twoCellAnchor>
  <twoCellAnchor editAs="oneCell">
    <from>
      <col>0</col>
      <colOff>0</colOff>
      <row>95</row>
      <rowOff>7863</rowOff>
    </from>
    <to>
      <col>0</col>
      <colOff>208786</colOff>
      <row>96</row>
      <rowOff>248</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0264363"/>
          <a:ext cx="208786" cy="176535"/>
        </a:xfrm>
        <a:prstGeom xmlns:a="http://schemas.openxmlformats.org/drawingml/2006/main" prst="rect">
          <avLst/>
        </a:prstGeom>
        <a:ln xmlns:a="http://schemas.openxmlformats.org/drawingml/2006/main">
          <a:prstDash val="solid"/>
        </a:ln>
      </spPr>
    </pic>
    <clientData/>
  </twoCellAnchor>
  <oneCellAnchor>
    <from>
      <col>1</col>
      <colOff>20248</colOff>
      <row>95</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398198" y="20264627"/>
          <a:ext cx="199069" cy="170387"/>
        </a:xfrm>
        <a:prstGeom xmlns:a="http://schemas.openxmlformats.org/drawingml/2006/main" prst="rect">
          <avLst/>
        </a:prstGeom>
        <a:ln xmlns:a="http://schemas.openxmlformats.org/drawingml/2006/main">
          <a:prstDash val="solid"/>
        </a:ln>
      </spPr>
    </pic>
    <clientData/>
  </oneCellAnchor>
</wsDr>
</file>

<file path=xl/drawings/drawing13.xml><?xml version="1.0" encoding="utf-8"?>
<wsDr xmlns="http://schemas.openxmlformats.org/drawingml/2006/spreadsheetDrawing">
  <twoCellAnchor editAs="oneCell">
    <from>
      <col>2</col>
      <colOff>38100</colOff>
      <row>97</row>
      <rowOff>10092</rowOff>
    </from>
    <to>
      <col>2</col>
      <colOff>210819</colOff>
      <row>97</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971800" y="20266592"/>
          <a:ext cx="165099" cy="139210"/>
        </a:xfrm>
        <a:prstGeom xmlns:a="http://schemas.openxmlformats.org/drawingml/2006/main" prst="rect">
          <avLst/>
        </a:prstGeom>
        <a:ln xmlns:a="http://schemas.openxmlformats.org/drawingml/2006/main">
          <a:prstDash val="solid"/>
        </a:ln>
      </spPr>
    </pic>
    <clientData/>
  </twoCellAnchor>
  <twoCellAnchor editAs="oneCell">
    <from>
      <col>3</col>
      <colOff>13710</colOff>
      <row>97</row>
      <rowOff>13986</rowOff>
    </from>
    <to>
      <col>3</col>
      <colOff>154322</colOff>
      <row>97</row>
      <rowOff>160346</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363460" y="20270486"/>
          <a:ext cx="140612" cy="145725"/>
        </a:xfrm>
        <a:prstGeom xmlns:a="http://schemas.openxmlformats.org/drawingml/2006/main" prst="rect">
          <avLst/>
        </a:prstGeom>
        <a:ln xmlns:a="http://schemas.openxmlformats.org/drawingml/2006/main">
          <a:prstDash val="solid"/>
        </a:ln>
      </spPr>
    </pic>
    <clientData/>
  </twoCellAnchor>
  <twoCellAnchor editAs="oneCell">
    <from>
      <col>4</col>
      <colOff>44450</colOff>
      <row>97</row>
      <rowOff>19130</rowOff>
    </from>
    <to>
      <col>4</col>
      <colOff>208280</colOff>
      <row>98</row>
      <rowOff>898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772150" y="20275630"/>
          <a:ext cx="171450" cy="165918"/>
        </a:xfrm>
        <a:prstGeom xmlns:a="http://schemas.openxmlformats.org/drawingml/2006/main" prst="rect">
          <avLst/>
        </a:prstGeom>
        <a:ln xmlns:a="http://schemas.openxmlformats.org/drawingml/2006/main">
          <a:prstDash val="solid"/>
        </a:ln>
      </spPr>
    </pic>
    <clientData/>
  </twoCellAnchor>
  <twoCellAnchor editAs="oneCell">
    <from>
      <col>0</col>
      <colOff>0</colOff>
      <row>97</row>
      <rowOff>7863</rowOff>
    </from>
    <to>
      <col>0</col>
      <colOff>208786</colOff>
      <row>98</row>
      <rowOff>248</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0264363"/>
          <a:ext cx="208786" cy="176535"/>
        </a:xfrm>
        <a:prstGeom xmlns:a="http://schemas.openxmlformats.org/drawingml/2006/main" prst="rect">
          <avLst/>
        </a:prstGeom>
        <a:ln xmlns:a="http://schemas.openxmlformats.org/drawingml/2006/main">
          <a:prstDash val="solid"/>
        </a:ln>
      </spPr>
    </pic>
    <clientData/>
  </twoCellAnchor>
  <oneCellAnchor>
    <from>
      <col>1</col>
      <colOff>20248</colOff>
      <row>97</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398198" y="20264627"/>
          <a:ext cx="199069" cy="170387"/>
        </a:xfrm>
        <a:prstGeom xmlns:a="http://schemas.openxmlformats.org/drawingml/2006/main" prst="rect">
          <avLst/>
        </a:prstGeom>
        <a:ln xmlns:a="http://schemas.openxmlformats.org/drawingml/2006/main">
          <a:prstDash val="solid"/>
        </a:ln>
      </spPr>
    </pic>
    <clientData/>
  </oneCellAnchor>
</wsDr>
</file>

<file path=xl/drawings/drawing14.xml><?xml version="1.0" encoding="utf-8"?>
<wsDr xmlns="http://schemas.openxmlformats.org/drawingml/2006/spreadsheetDrawing">
  <twoCellAnchor editAs="oneCell">
    <from>
      <col>2</col>
      <colOff>38100</colOff>
      <row>95</row>
      <rowOff>10092</rowOff>
    </from>
    <to>
      <col>2</col>
      <colOff>203199</colOff>
      <row>95</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054350" y="20266592"/>
          <a:ext cx="165099" cy="139210"/>
        </a:xfrm>
        <a:prstGeom xmlns:a="http://schemas.openxmlformats.org/drawingml/2006/main" prst="rect">
          <avLst/>
        </a:prstGeom>
        <a:ln xmlns:a="http://schemas.openxmlformats.org/drawingml/2006/main">
          <a:prstDash val="solid"/>
        </a:ln>
      </spPr>
    </pic>
    <clientData/>
  </twoCellAnchor>
  <twoCellAnchor editAs="oneCell">
    <from>
      <col>3</col>
      <colOff>13710</colOff>
      <row>95</row>
      <rowOff>13986</rowOff>
    </from>
    <to>
      <col>3</col>
      <colOff>154322</colOff>
      <row>95</row>
      <rowOff>159711</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439660" y="20270486"/>
          <a:ext cx="140612" cy="145725"/>
        </a:xfrm>
        <a:prstGeom xmlns:a="http://schemas.openxmlformats.org/drawingml/2006/main" prst="rect">
          <avLst/>
        </a:prstGeom>
        <a:ln xmlns:a="http://schemas.openxmlformats.org/drawingml/2006/main">
          <a:prstDash val="solid"/>
        </a:ln>
      </spPr>
    </pic>
    <clientData/>
  </twoCellAnchor>
  <twoCellAnchor editAs="oneCell">
    <from>
      <col>4</col>
      <colOff>44450</colOff>
      <row>95</row>
      <rowOff>19130</rowOff>
    </from>
    <to>
      <col>4</col>
      <colOff>215900</colOff>
      <row>96</row>
      <rowOff>2168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854700" y="20275630"/>
          <a:ext cx="171450" cy="165918"/>
        </a:xfrm>
        <a:prstGeom xmlns:a="http://schemas.openxmlformats.org/drawingml/2006/main" prst="rect">
          <avLst/>
        </a:prstGeom>
        <a:ln xmlns:a="http://schemas.openxmlformats.org/drawingml/2006/main">
          <a:prstDash val="solid"/>
        </a:ln>
      </spPr>
    </pic>
    <clientData/>
  </twoCellAnchor>
  <twoCellAnchor editAs="oneCell">
    <from>
      <col>0</col>
      <colOff>0</colOff>
      <row>95</row>
      <rowOff>7863</rowOff>
    </from>
    <to>
      <col>0</col>
      <colOff>208786</colOff>
      <row>96</row>
      <rowOff>1518</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0264363"/>
          <a:ext cx="208786" cy="176535"/>
        </a:xfrm>
        <a:prstGeom xmlns:a="http://schemas.openxmlformats.org/drawingml/2006/main" prst="rect">
          <avLst/>
        </a:prstGeom>
        <a:ln xmlns:a="http://schemas.openxmlformats.org/drawingml/2006/main">
          <a:prstDash val="solid"/>
        </a:ln>
      </spPr>
    </pic>
    <clientData/>
  </twoCellAnchor>
  <oneCellAnchor>
    <from>
      <col>1</col>
      <colOff>20248</colOff>
      <row>95</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87098" y="20264627"/>
          <a:ext cx="199069" cy="170387"/>
        </a:xfrm>
        <a:prstGeom xmlns:a="http://schemas.openxmlformats.org/drawingml/2006/main" prst="rect">
          <avLst/>
        </a:prstGeom>
        <a:ln xmlns:a="http://schemas.openxmlformats.org/drawingml/2006/main">
          <a:prstDash val="solid"/>
        </a:ln>
      </spPr>
    </pic>
    <clientData/>
  </oneCellAnchor>
</wsDr>
</file>

<file path=xl/externalLinks/_rels/externalLink1.xml.rels><Relationships xmlns="http://schemas.openxmlformats.org/package/2006/relationships"><Relationship Type="http://schemas.openxmlformats.org/officeDocument/2006/relationships/externalLinkPath" Target="1"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6"/>
    </sheetNames>
    <sheetDataSet>
      <sheetData sheetId="0"/>
    </sheetDataSet>
  </externalBook>
</externalLink>
</file>

<file path=xl/tables/table1.xml><?xml version="1.0" encoding="utf-8"?>
<table xmlns="http://schemas.openxmlformats.org/spreadsheetml/2006/main" id="1" name="Quality" displayName="Quality" ref="A4:T14" headerRowCount="1" totalsRowShown="0">
  <autoFilter ref="A4:T14"/>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IF('1.Quality'!H20="","",'1.Quality'!H20)</calculatedColumnFormula>
    </tableColumn>
    <tableColumn id="9" name="Jan-2026">
      <calculatedColumnFormula>IF('1.Quality'!I20="","",'1.Quality'!I20)</calculatedColumnFormula>
    </tableColumn>
    <tableColumn id="10" name="Feb-2026">
      <calculatedColumnFormula>IF('1.Quality'!J20="","",'1.Quality'!J20)</calculatedColumnFormula>
    </tableColumn>
    <tableColumn id="11" name="Mar-2026">
      <calculatedColumnFormula>IF('1.Quality'!K20="","",'1.Quality'!K20)</calculatedColumnFormula>
    </tableColumn>
    <tableColumn id="12" name="Apr-2026">
      <calculatedColumnFormula>IF('1.Quality'!L20="","",'1.Quality'!L20)</calculatedColumnFormula>
    </tableColumn>
    <tableColumn id="13" name="May-2026">
      <calculatedColumnFormula>IF('1.Quality'!M20="","",'1.Quality'!M20)</calculatedColumnFormula>
    </tableColumn>
    <tableColumn id="14" name="Jun-2026">
      <calculatedColumnFormula>IF('1.Quality'!N20="","",'1.Quality'!N20)</calculatedColumnFormula>
    </tableColumn>
    <tableColumn id="15" name="Jul-2026">
      <calculatedColumnFormula>IF('1.Quality'!O20="","",'1.Quality'!O20)</calculatedColumnFormula>
    </tableColumn>
    <tableColumn id="16" name="Aug-2026">
      <calculatedColumnFormula>IF('1.Quality'!P20="","",'1.Quality'!P20)</calculatedColumnFormula>
    </tableColumn>
    <tableColumn id="17" name="Sep-2026">
      <calculatedColumnFormula>IF('1.Quality'!Q20="","",'1.Quality'!Q20)</calculatedColumnFormula>
    </tableColumn>
    <tableColumn id="18" name="Oct-2026">
      <calculatedColumnFormula>IF('1.Quality'!R20="","",'1.Quality'!R20)</calculatedColumnFormula>
    </tableColumn>
    <tableColumn id="19" name="Nov-2026">
      <calculatedColumnFormula>IF('1.Quality'!S20="","",'1.Quality'!S20)</calculatedColumnFormula>
    </tableColumn>
    <tableColumn id="20"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id="2" name="Regulatory" displayName="Regulatory" ref="A17:T25" headerRowCount="1" totalsRowShown="0">
  <autoFilter ref="A17:T25"/>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IF('2.Regulatory'!H14="","",'2.Regulatory'!H14)</calculatedColumnFormula>
    </tableColumn>
    <tableColumn id="9" name="Jan-2026">
      <calculatedColumnFormula>IF('2.Regulatory'!I14="","",'2.Regulatory'!I14)</calculatedColumnFormula>
    </tableColumn>
    <tableColumn id="10" name="Feb-2026">
      <calculatedColumnFormula>IF('2.Regulatory'!J14="","",'2.Regulatory'!J14)</calculatedColumnFormula>
    </tableColumn>
    <tableColumn id="11" name="Mar-2026">
      <calculatedColumnFormula>IF('2.Regulatory'!K14="","",'2.Regulatory'!K14)</calculatedColumnFormula>
    </tableColumn>
    <tableColumn id="12" name="Apr-2026">
      <calculatedColumnFormula>IF('2.Regulatory'!L14="","",'2.Regulatory'!L14)</calculatedColumnFormula>
    </tableColumn>
    <tableColumn id="13" name="May-2026">
      <calculatedColumnFormula>IF('2.Regulatory'!M14="","",'2.Regulatory'!M14)</calculatedColumnFormula>
    </tableColumn>
    <tableColumn id="14" name="Jun-2026">
      <calculatedColumnFormula>IF('2.Regulatory'!N14="","",'2.Regulatory'!N14)</calculatedColumnFormula>
    </tableColumn>
    <tableColumn id="15" name="Jul-2026">
      <calculatedColumnFormula>IF('2.Regulatory'!O14="","",'2.Regulatory'!O14)</calculatedColumnFormula>
    </tableColumn>
    <tableColumn id="16" name="Aug-2026">
      <calculatedColumnFormula>IF('2.Regulatory'!P14="","",'2.Regulatory'!P14)</calculatedColumnFormula>
    </tableColumn>
    <tableColumn id="17" name="Sep-2026">
      <calculatedColumnFormula>IF('2.Regulatory'!Q14="","",'2.Regulatory'!Q14)</calculatedColumnFormula>
    </tableColumn>
    <tableColumn id="18" name="Oct-2026">
      <calculatedColumnFormula>IF('2.Regulatory'!R14="","",'2.Regulatory'!R14)</calculatedColumnFormula>
    </tableColumn>
    <tableColumn id="19" name="Nov-2026">
      <calculatedColumnFormula>IF('2.Regulatory'!S14="","",'2.Regulatory'!S14)</calculatedColumnFormula>
    </tableColumn>
    <tableColumn id="2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id="3" name="ISC" displayName="ISC" ref="A28:T40" headerRowCount="1" totalsRowShown="0">
  <autoFilter ref="A28:T40"/>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IF('3.ISC '!H14="","",'3.ISC '!H14)</calculatedColumnFormula>
    </tableColumn>
    <tableColumn id="9" name="Jan-2026">
      <calculatedColumnFormula>IF('3.ISC '!I14="","",'3.ISC '!I14)</calculatedColumnFormula>
    </tableColumn>
    <tableColumn id="10" name="Feb-2026">
      <calculatedColumnFormula>IF('3.ISC '!J14="","",'3.ISC '!J14)</calculatedColumnFormula>
    </tableColumn>
    <tableColumn id="11" name="Mar-2026">
      <calculatedColumnFormula>IF('3.ISC '!K14="","",'3.ISC '!K14)</calculatedColumnFormula>
    </tableColumn>
    <tableColumn id="12" name="Apr-2026">
      <calculatedColumnFormula>IF('3.ISC '!L14="","",'3.ISC '!L14)</calculatedColumnFormula>
    </tableColumn>
    <tableColumn id="13" name="May-2026">
      <calculatedColumnFormula>IF('3.ISC '!M14="","",'3.ISC '!M14)</calculatedColumnFormula>
    </tableColumn>
    <tableColumn id="14" name="Jun-2026">
      <calculatedColumnFormula>IF('3.ISC '!N14="","",'3.ISC '!N14)</calculatedColumnFormula>
    </tableColumn>
    <tableColumn id="15" name="Jul-2026">
      <calculatedColumnFormula>IF('3.ISC '!O14="","",'3.ISC '!O14)</calculatedColumnFormula>
    </tableColumn>
    <tableColumn id="16" name="Aug-2026">
      <calculatedColumnFormula>IF('3.ISC '!P14="","",'3.ISC '!P14)</calculatedColumnFormula>
    </tableColumn>
    <tableColumn id="17" name="Sep-2026">
      <calculatedColumnFormula>IF('3.ISC '!Q14="","",'3.ISC '!Q14)</calculatedColumnFormula>
    </tableColumn>
    <tableColumn id="18" name="Oct-2026">
      <calculatedColumnFormula>IF('3.ISC '!R14="","",'3.ISC '!R14)</calculatedColumnFormula>
    </tableColumn>
    <tableColumn id="19" name="Nov-2026">
      <calculatedColumnFormula>IF('3.ISC '!S14="","",'3.ISC '!S14)</calculatedColumnFormula>
    </tableColumn>
    <tableColumn id="20"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4" name="Supplier_Quality" displayName="Supplier_Quality" ref="A43:T47" headerRowCount="1" totalsRowShown="0" headerRowDxfId="681">
  <autoFilter ref="A43:T47"/>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IF('3.ISC '!#REF!="","",'3.ISC '!#REF!)</calculatedColumnFormula>
    </tableColumn>
    <tableColumn id="9" name="Jan-2026">
      <calculatedColumnFormula>IF('3.ISC '!#REF!="","",'3.ISC '!#REF!)</calculatedColumnFormula>
    </tableColumn>
    <tableColumn id="10" name="Feb-2026">
      <calculatedColumnFormula>IF('3.ISC '!#REF!="","",'3.ISC '!#REF!)</calculatedColumnFormula>
    </tableColumn>
    <tableColumn id="11" name="Mar-2026">
      <calculatedColumnFormula>IF('3.ISC '!#REF!="","",'3.ISC '!#REF!)</calculatedColumnFormula>
    </tableColumn>
    <tableColumn id="12" name="Apr-2026">
      <calculatedColumnFormula>IF('3.ISC '!#REF!="","",'3.ISC '!#REF!)</calculatedColumnFormula>
    </tableColumn>
    <tableColumn id="13" name="May-2026">
      <calculatedColumnFormula>IF('3.ISC '!#REF!="","",'3.ISC '!#REF!)</calculatedColumnFormula>
    </tableColumn>
    <tableColumn id="14" name="Jun-2026">
      <calculatedColumnFormula>IF('3.ISC '!#REF!="","",'3.ISC '!#REF!)</calculatedColumnFormula>
    </tableColumn>
    <tableColumn id="15" name="Jul-2026">
      <calculatedColumnFormula>IF('3.ISC '!#REF!="","",'3.ISC '!#REF!)</calculatedColumnFormula>
    </tableColumn>
    <tableColumn id="16" name="Aug-2026">
      <calculatedColumnFormula>IF('3.ISC '!#REF!="","",'3.ISC '!#REF!)</calculatedColumnFormula>
    </tableColumn>
    <tableColumn id="17" name="Sep-2026">
      <calculatedColumnFormula>IF('3.ISC '!#REF!="","",'3.ISC '!#REF!)</calculatedColumnFormula>
    </tableColumn>
    <tableColumn id="18" name="Oct-2026">
      <calculatedColumnFormula>IF('3.ISC '!#REF!="","",'3.ISC '!#REF!)</calculatedColumnFormula>
    </tableColumn>
    <tableColumn id="19" name="Nov-2026">
      <calculatedColumnFormula>IF('3.ISC '!#REF!="","",'3.ISC '!#REF!)</calculatedColumnFormula>
    </tableColumn>
    <tableColumn id="20"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id="5" name="Procurement" displayName="Procurement" ref="A50:T58" headerRowCount="1" totalsRowShown="0">
  <autoFilter ref="A50:T58"/>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IF('4.Procurement'!H14="","",'4.Procurement'!H14)</calculatedColumnFormula>
    </tableColumn>
    <tableColumn id="9" name="Jan-2026">
      <calculatedColumnFormula>IF('4.Procurement'!I14="","",'4.Procurement'!I14)</calculatedColumnFormula>
    </tableColumn>
    <tableColumn id="10" name="Feb-2026">
      <calculatedColumnFormula>IF('4.Procurement'!J14="","",'4.Procurement'!J14)</calculatedColumnFormula>
    </tableColumn>
    <tableColumn id="11" name="Mar-2026">
      <calculatedColumnFormula>IF('4.Procurement'!K14="","",'4.Procurement'!K14)</calculatedColumnFormula>
    </tableColumn>
    <tableColumn id="12" name="Apr-2026">
      <calculatedColumnFormula>IF('4.Procurement'!L14="","",'4.Procurement'!L14)</calculatedColumnFormula>
    </tableColumn>
    <tableColumn id="13" name="May-2026">
      <calculatedColumnFormula>IF('4.Procurement'!M14="","",'4.Procurement'!M14)</calculatedColumnFormula>
    </tableColumn>
    <tableColumn id="14" name="Jun-2026">
      <calculatedColumnFormula>IF('4.Procurement'!N14="","",'4.Procurement'!N14)</calculatedColumnFormula>
    </tableColumn>
    <tableColumn id="15" name="Jul-2026">
      <calculatedColumnFormula>IF('4.Procurement'!O14="","",'4.Procurement'!O14)</calculatedColumnFormula>
    </tableColumn>
    <tableColumn id="16" name="Aug-2026">
      <calculatedColumnFormula>IF('4.Procurement'!P14="","",'4.Procurement'!P14)</calculatedColumnFormula>
    </tableColumn>
    <tableColumn id="17" name="Sep-2026">
      <calculatedColumnFormula>IF('4.Procurement'!Q14="","",'4.Procurement'!Q14)</calculatedColumnFormula>
    </tableColumn>
    <tableColumn id="18" name="Oct-2026">
      <calculatedColumnFormula>IF('4.Procurement'!R14="","",'4.Procurement'!R14)</calculatedColumnFormula>
    </tableColumn>
    <tableColumn id="19" name="Nov-2026">
      <calculatedColumnFormula>IF('4.Procurement'!S14="","",'4.Procurement'!S14)</calculatedColumnFormula>
    </tableColumn>
    <tableColumn id="20"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R_D" displayName="R_D" ref="A61:T69" headerRowCount="1" totalsRowShown="0" headerRowDxfId="680">
  <autoFilter ref="A61:T69"/>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IF('5.R&amp;D '!H14="","",'5.R&amp;D '!H14)</calculatedColumnFormula>
    </tableColumn>
    <tableColumn id="9" name="Jan-2026">
      <calculatedColumnFormula>IF('5.R&amp;D '!I14="","",'5.R&amp;D '!I14)</calculatedColumnFormula>
    </tableColumn>
    <tableColumn id="10" name="Feb-2026">
      <calculatedColumnFormula>IF('5.R&amp;D '!J14="","",'5.R&amp;D '!J14)</calculatedColumnFormula>
    </tableColumn>
    <tableColumn id="11" name="Mar-2026">
      <calculatedColumnFormula>IF('5.R&amp;D '!K14="","",'5.R&amp;D '!K14)</calculatedColumnFormula>
    </tableColumn>
    <tableColumn id="12" name="Apr-2026">
      <calculatedColumnFormula>IF('5.R&amp;D '!L14="","",'5.R&amp;D '!L14)</calculatedColumnFormula>
    </tableColumn>
    <tableColumn id="13" name="May-2026">
      <calculatedColumnFormula>IF('5.R&amp;D '!M14="","",'5.R&amp;D '!M14)</calculatedColumnFormula>
    </tableColumn>
    <tableColumn id="14" name="Jun-2026">
      <calculatedColumnFormula>IF('5.R&amp;D '!N14="","",'5.R&amp;D '!N14)</calculatedColumnFormula>
    </tableColumn>
    <tableColumn id="15" name="Jul-2026">
      <calculatedColumnFormula>IF('5.R&amp;D '!O14="","",'5.R&amp;D '!O14)</calculatedColumnFormula>
    </tableColumn>
    <tableColumn id="16" name="Aug-2026">
      <calculatedColumnFormula>IF('5.R&amp;D '!P14="","",'5.R&amp;D '!P14)</calculatedColumnFormula>
    </tableColumn>
    <tableColumn id="17" name="Sep-2026">
      <calculatedColumnFormula>IF('5.R&amp;D '!Q14="","",'5.R&amp;D '!Q14)</calculatedColumnFormula>
    </tableColumn>
    <tableColumn id="18" name="Oct-2026">
      <calculatedColumnFormula>IF('5.R&amp;D '!R14="","",'5.R&amp;D '!R14)</calculatedColumnFormula>
    </tableColumn>
    <tableColumn id="19" name="Nov-2026">
      <calculatedColumnFormula>IF('5.R&amp;D '!S14="","",'5.R&amp;D '!S14)</calculatedColumnFormula>
    </tableColumn>
    <tableColumn id="20"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id="7" name="Marketing" displayName="Marketing" ref="A72:T78" headerRowCount="1" totalsRowShown="0">
  <autoFilter ref="A72:T78"/>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IF(#REF!="","",#REF!)</calculatedColumnFormula>
    </tableColumn>
    <tableColumn id="9" name="Jan-2026">
      <calculatedColumnFormula>IF(#REF!="","",#REF!)</calculatedColumnFormula>
    </tableColumn>
    <tableColumn id="10" name="Feb-2026">
      <calculatedColumnFormula>IF(#REF!="","",#REF!)</calculatedColumnFormula>
    </tableColumn>
    <tableColumn id="11" name="Mar-2026">
      <calculatedColumnFormula>IF(#REF!="","",#REF!)</calculatedColumnFormula>
    </tableColumn>
    <tableColumn id="12" name="Apr-2026">
      <calculatedColumnFormula>IF(#REF!="","",#REF!)</calculatedColumnFormula>
    </tableColumn>
    <tableColumn id="13" name="May-2026">
      <calculatedColumnFormula>IF(#REF!="","",#REF!)</calculatedColumnFormula>
    </tableColumn>
    <tableColumn id="14" name="Jun-2026">
      <calculatedColumnFormula>IF(#REF!="","",#REF!)</calculatedColumnFormula>
    </tableColumn>
    <tableColumn id="15" name="Jul-2026">
      <calculatedColumnFormula>IF(#REF!="","",#REF!)</calculatedColumnFormula>
    </tableColumn>
    <tableColumn id="16" name="Aug-2026">
      <calculatedColumnFormula>IF(#REF!="","",#REF!)</calculatedColumnFormula>
    </tableColumn>
    <tableColumn id="17" name="Sep-2026">
      <calculatedColumnFormula>IF(#REF!="","",#REF!)</calculatedColumnFormula>
    </tableColumn>
    <tableColumn id="18" name="Oct-2026">
      <calculatedColumnFormula>IF(#REF!="","",#REF!)</calculatedColumnFormula>
    </tableColumn>
    <tableColumn id="19" name="Nov-2026">
      <calculatedColumnFormula>IF(#REF!="","",#REF!)</calculatedColumnFormula>
    </tableColumn>
    <tableColumn id="20"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id="8" name="Customer_Service" displayName="Customer_Service" ref="A81:T95" headerRowCount="1" totalsRowShown="0">
  <autoFilter ref="A81:T95"/>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IF('7.Customer Service'!H14="","",'7.Customer Service'!H14)</calculatedColumnFormula>
    </tableColumn>
    <tableColumn id="9" name="Jan-2026">
      <calculatedColumnFormula>IF('7.Customer Service'!I14="","",'7.Customer Service'!I14)</calculatedColumnFormula>
    </tableColumn>
    <tableColumn id="10" name="Feb-2026">
      <calculatedColumnFormula>IF('7.Customer Service'!J14="","",'7.Customer Service'!J14)</calculatedColumnFormula>
    </tableColumn>
    <tableColumn id="11" name="Mar-2026">
      <calculatedColumnFormula>IF('7.Customer Service'!K14="","",'7.Customer Service'!K14)</calculatedColumnFormula>
    </tableColumn>
    <tableColumn id="12" name="Apr-2026">
      <calculatedColumnFormula>IF('7.Customer Service'!L14="","",'7.Customer Service'!L14)</calculatedColumnFormula>
    </tableColumn>
    <tableColumn id="13" name="May-2026">
      <calculatedColumnFormula>IF('7.Customer Service'!M14="","",'7.Customer Service'!M14)</calculatedColumnFormula>
    </tableColumn>
    <tableColumn id="14" name="Jun-2026">
      <calculatedColumnFormula>IF('7.Customer Service'!N14="","",'7.Customer Service'!N14)</calculatedColumnFormula>
    </tableColumn>
    <tableColumn id="15" name="Jul-2026">
      <calculatedColumnFormula>IF('7.Customer Service'!O14="","",'7.Customer Service'!O14)</calculatedColumnFormula>
    </tableColumn>
    <tableColumn id="16" name="Aug-2026">
      <calculatedColumnFormula>IF('7.Customer Service'!P14="","",'7.Customer Service'!P14)</calculatedColumnFormula>
    </tableColumn>
    <tableColumn id="17" name="Sep-2026">
      <calculatedColumnFormula>IF('7.Customer Service'!Q14="","",'7.Customer Service'!Q14)</calculatedColumnFormula>
    </tableColumn>
    <tableColumn id="18" name="Oct-2026">
      <calculatedColumnFormula>IF('7.Customer Service'!R14="","",'7.Customer Service'!R14)</calculatedColumnFormula>
    </tableColumn>
    <tableColumn id="19" name="Nov-2026">
      <calculatedColumnFormula>IF('7.Customer Service'!S14="","",'7.Customer Service'!S14)</calculatedColumnFormula>
    </tableColumn>
    <tableColumn id="20"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id="9" name="Commercial_Excellence" displayName="Commercial_Excellence" ref="A98:T108" headerRowCount="1" totalsRowShown="0">
  <autoFilter ref="A98:T108"/>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IF('8.Commercial Excellence'!H14="","",'8.Commercial Excellence'!H14)</calculatedColumnFormula>
    </tableColumn>
    <tableColumn id="9" name="Jan-2026">
      <calculatedColumnFormula>IF('8.Commercial Excellence'!I14="","",'8.Commercial Excellence'!I14)</calculatedColumnFormula>
    </tableColumn>
    <tableColumn id="10" name="Feb-2026">
      <calculatedColumnFormula>IF('8.Commercial Excellence'!J14="","",'8.Commercial Excellence'!J14)</calculatedColumnFormula>
    </tableColumn>
    <tableColumn id="11" name="Mar-2026">
      <calculatedColumnFormula>IF('8.Commercial Excellence'!K14="","",'8.Commercial Excellence'!K14)</calculatedColumnFormula>
    </tableColumn>
    <tableColumn id="12" name="Apr-2026">
      <calculatedColumnFormula>IF('8.Commercial Excellence'!L14="","",'8.Commercial Excellence'!L14)</calculatedColumnFormula>
    </tableColumn>
    <tableColumn id="13" name="May-2026">
      <calculatedColumnFormula>IF('8.Commercial Excellence'!M14="","",'8.Commercial Excellence'!M14)</calculatedColumnFormula>
    </tableColumn>
    <tableColumn id="14" name="Jun-2026">
      <calculatedColumnFormula>IF('8.Commercial Excellence'!N14="","",'8.Commercial Excellence'!N14)</calculatedColumnFormula>
    </tableColumn>
    <tableColumn id="15" name="Jul-2026">
      <calculatedColumnFormula>IF('8.Commercial Excellence'!O14="","",'8.Commercial Excellence'!O14)</calculatedColumnFormula>
    </tableColumn>
    <tableColumn id="16" name="Aug-2026">
      <calculatedColumnFormula>IF('8.Commercial Excellence'!P14="","",'8.Commercial Excellence'!P14)</calculatedColumnFormula>
    </tableColumn>
    <tableColumn id="17" name="Sep-2026">
      <calculatedColumnFormula>IF('8.Commercial Excellence'!Q14="","",'8.Commercial Excellence'!Q14)</calculatedColumnFormula>
    </tableColumn>
    <tableColumn id="18" name="Oct-2026">
      <calculatedColumnFormula>IF('8.Commercial Excellence'!R14="","",'8.Commercial Excellence'!R14)</calculatedColumnFormula>
    </tableColumn>
    <tableColumn id="19" name="Nov-2026">
      <calculatedColumnFormula>IF('8.Commercial Excellence'!S14="","",'8.Commercial Excellence'!S14)</calculatedColumnFormula>
    </tableColumn>
    <tableColumn id="2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id="10" name="NAR" displayName="NAR" ref="A111:T123" headerRowCount="1" totalsRowShown="0" headerRowDxfId="679">
  <autoFilter ref="A111:T123"/>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IF('9.NAR '!H14="","",'9.NAR '!H14)</calculatedColumnFormula>
    </tableColumn>
    <tableColumn id="9" name="Jan-2026">
      <calculatedColumnFormula>IF('9.NAR '!I14="","",'9.NAR '!I14)</calculatedColumnFormula>
    </tableColumn>
    <tableColumn id="10" name="Feb-2026">
      <calculatedColumnFormula>IF('9.NAR '!J14="","",'9.NAR '!J14)</calculatedColumnFormula>
    </tableColumn>
    <tableColumn id="11" name="Mar-2026">
      <calculatedColumnFormula>IF('9.NAR '!K14="","",'9.NAR '!K14)</calculatedColumnFormula>
    </tableColumn>
    <tableColumn id="12" name="Apr-2026">
      <calculatedColumnFormula>IF('9.NAR '!L14="","",'9.NAR '!L14)</calculatedColumnFormula>
    </tableColumn>
    <tableColumn id="13" name="May-2026">
      <calculatedColumnFormula>IF('9.NAR '!M14="","",'9.NAR '!M14)</calculatedColumnFormula>
    </tableColumn>
    <tableColumn id="14" name="Jun-2026">
      <calculatedColumnFormula>IF('9.NAR '!N14="","",'9.NAR '!N14)</calculatedColumnFormula>
    </tableColumn>
    <tableColumn id="15" name="Jul-2026">
      <calculatedColumnFormula>IF('9.NAR '!O14="","",'9.NAR '!O14)</calculatedColumnFormula>
    </tableColumn>
    <tableColumn id="16" name="Aug-2026">
      <calculatedColumnFormula>IF('9.NAR '!P14="","",'9.NAR '!P14)</calculatedColumnFormula>
    </tableColumn>
    <tableColumn id="17" name="Sep-2026">
      <calculatedColumnFormula>IF('9.NAR '!Q14="","",'9.NAR '!Q14)</calculatedColumnFormula>
    </tableColumn>
    <tableColumn id="18" name="Oct-2026">
      <calculatedColumnFormula>IF('9.NAR '!R14="","",'9.NAR '!R14)</calculatedColumnFormula>
    </tableColumn>
    <tableColumn id="19" name="Nov-2026">
      <calculatedColumnFormula>IF('9.NAR '!S14="","",'9.NAR '!S14)</calculatedColumnFormula>
    </tableColumn>
    <tableColumn id="20"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id="11" name="Europe" displayName="Europe" ref="A126:T138" headerRowCount="1" totalsRowShown="0">
  <autoFilter ref="A126:T138"/>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IF('10.EUROPE '!H14="","",'10.EUROPE '!H14)</calculatedColumnFormula>
    </tableColumn>
    <tableColumn id="9" name="Jan-2026">
      <calculatedColumnFormula>IF('10.EUROPE '!I14="","",'10.EUROPE '!I14)</calculatedColumnFormula>
    </tableColumn>
    <tableColumn id="10" name="Feb-2026">
      <calculatedColumnFormula>IF('10.EUROPE '!J14="","",'10.EUROPE '!J14)</calculatedColumnFormula>
    </tableColumn>
    <tableColumn id="11" name="Mar-2026">
      <calculatedColumnFormula>IF('10.EUROPE '!K14="","",'10.EUROPE '!K14)</calculatedColumnFormula>
    </tableColumn>
    <tableColumn id="12" name="Apr-2026">
      <calculatedColumnFormula>IF('10.EUROPE '!L14="","",'10.EUROPE '!L14)</calculatedColumnFormula>
    </tableColumn>
    <tableColumn id="13" name="May-2026">
      <calculatedColumnFormula>IF('10.EUROPE '!M14="","",'10.EUROPE '!M14)</calculatedColumnFormula>
    </tableColumn>
    <tableColumn id="14" name="Jun-2026">
      <calculatedColumnFormula>IF('10.EUROPE '!N14="","",'10.EUROPE '!N14)</calculatedColumnFormula>
    </tableColumn>
    <tableColumn id="15" name="Jul-2026">
      <calculatedColumnFormula>IF('10.EUROPE '!O14="","",'10.EUROPE '!O14)</calculatedColumnFormula>
    </tableColumn>
    <tableColumn id="16" name="Aug-2026">
      <calculatedColumnFormula>IF('10.EUROPE '!P14="","",'10.EUROPE '!P14)</calculatedColumnFormula>
    </tableColumn>
    <tableColumn id="17" name="Sep-2026">
      <calculatedColumnFormula>IF('10.EUROPE '!Q14="","",'10.EUROPE '!Q14)</calculatedColumnFormula>
    </tableColumn>
    <tableColumn id="18" name="Oct-2026">
      <calculatedColumnFormula>IF('10.EUROPE '!R14="","",'10.EUROPE '!R14)</calculatedColumnFormula>
    </tableColumn>
    <tableColumn id="19" name="Nov-2026">
      <calculatedColumnFormula>IF('10.EUROPE '!S14="","",'10.EUROPE '!S14)</calculatedColumnFormula>
    </tableColumn>
    <tableColumn id="20"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id="12" name="Growth" displayName="Growth" ref="A141:T155" headerRowCount="1" totalsRowShown="0">
  <autoFilter ref="A141:T155"/>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IF('11.GROWTH '!H14="","",'11.GROWTH '!H14)</calculatedColumnFormula>
    </tableColumn>
    <tableColumn id="9" name="Jan-2026">
      <calculatedColumnFormula>IF('11.GROWTH '!I14="","",'11.GROWTH '!I14)</calculatedColumnFormula>
    </tableColumn>
    <tableColumn id="10" name="Feb-2026">
      <calculatedColumnFormula>IF('11.GROWTH '!J14="","",'11.GROWTH '!J14)</calculatedColumnFormula>
    </tableColumn>
    <tableColumn id="11" name="Mar-2026">
      <calculatedColumnFormula>IF('11.GROWTH '!K14="","",'11.GROWTH '!K14)</calculatedColumnFormula>
    </tableColumn>
    <tableColumn id="12" name="Apr-2026">
      <calculatedColumnFormula>IF('11.GROWTH '!L14="","",'11.GROWTH '!L14)</calculatedColumnFormula>
    </tableColumn>
    <tableColumn id="13" name="May-2026">
      <calculatedColumnFormula>IF('11.GROWTH '!M14="","",'11.GROWTH '!M14)</calculatedColumnFormula>
    </tableColumn>
    <tableColumn id="14" name="Jun-2026">
      <calculatedColumnFormula>IF('11.GROWTH '!N14="","",'11.GROWTH '!N14)</calculatedColumnFormula>
    </tableColumn>
    <tableColumn id="15" name="Jul-2026">
      <calculatedColumnFormula>IF('11.GROWTH '!O14="","",'11.GROWTH '!O14)</calculatedColumnFormula>
    </tableColumn>
    <tableColumn id="16" name="Aug-2026">
      <calculatedColumnFormula>IF('11.GROWTH '!P14="","",'11.GROWTH '!P14)</calculatedColumnFormula>
    </tableColumn>
    <tableColumn id="17" name="Sep-2026">
      <calculatedColumnFormula>IF('11.GROWTH '!Q14="","",'11.GROWTH '!Q14)</calculatedColumnFormula>
    </tableColumn>
    <tableColumn id="18" name="Oct-2026">
      <calculatedColumnFormula>IF('11.GROWTH '!R14="","",'11.GROWTH '!R14)</calculatedColumnFormula>
    </tableColumn>
    <tableColumn id="19" name="Nov-2026">
      <calculatedColumnFormula>IF('11.GROWTH '!S14="","",'11.GROWTH '!S14)</calculatedColumnFormula>
    </tableColumn>
    <tableColumn id="20"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 Type="http://schemas.openxmlformats.org/officeDocument/2006/relationships/table" Target="/xl/tables/table10.xml" Id="rId10"/><Relationship Type="http://schemas.openxmlformats.org/officeDocument/2006/relationships/table" Target="/xl/tables/table11.xml" Id="rId11"/><Relationship Type="http://schemas.openxmlformats.org/officeDocument/2006/relationships/table" Target="/xl/tables/table12.xml" Id="rId12"/></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drawing" Target="/xl/drawings/drawing7.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drawing" Target="/xl/drawings/drawing9.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drawing" Target="/xl/drawings/drawing11.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drawing" Target="/xl/drawings/drawing12.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sheet1.xml><?xml version="1.0" encoding="utf-8"?>
<worksheet xmlns="http://schemas.openxmlformats.org/spreadsheetml/2006/main">
  <sheetPr codeName="Sheet1">
    <outlinePr summaryBelow="1" summaryRight="1"/>
    <pageSetUpPr/>
  </sheetPr>
  <dimension ref="A2: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baseColWidth="8" defaultRowHeight="15" customHeight="1"/>
  <cols>
    <col width="8.5703125" customWidth="1" style="639" min="1" max="1"/>
    <col width="5.5703125" customWidth="1" style="639" min="2" max="2"/>
    <col width="38.42578125" bestFit="1" customWidth="1" min="3" max="3"/>
    <col width="14.42578125" customWidth="1" min="4" max="4"/>
    <col width="29.5703125" customWidth="1" min="5" max="5"/>
    <col width="10.5703125" customWidth="1" style="639" min="6" max="6"/>
    <col width="18.5703125" customWidth="1" style="639" min="7" max="7"/>
    <col width="5.42578125" bestFit="1" customWidth="1" style="639" min="8" max="8"/>
    <col width="15.42578125" customWidth="1" style="639" min="9" max="9"/>
    <col width="11.42578125" customWidth="1" style="639" min="10" max="10"/>
    <col width="7.42578125" customWidth="1" style="639" min="11" max="11"/>
    <col width="9.5703125" customWidth="1" style="639" min="12" max="13"/>
    <col width="10.42578125" customWidth="1" style="639" min="14" max="15"/>
    <col width="8.5703125" customWidth="1" style="639" min="16" max="16"/>
    <col width="8.42578125" customWidth="1" style="639" min="17" max="17"/>
    <col width="8.5703125" customWidth="1" style="639" min="18" max="20"/>
    <col width="8" bestFit="1" customWidth="1" style="639" min="21" max="21"/>
    <col width="9.5703125" customWidth="1" style="639" min="22" max="22"/>
    <col width="9" customWidth="1" style="639" min="23" max="23"/>
    <col width="61.5703125" customWidth="1" min="24" max="24"/>
    <col width="46.5703125" customWidth="1" min="25" max="25"/>
    <col width="30" customWidth="1" min="26" max="26"/>
    <col width="17.42578125" customWidth="1" min="27" max="27"/>
  </cols>
  <sheetData>
    <row r="1" hidden="1" ht="14.45" customHeight="1"/>
    <row r="2" customFormat="1" s="53" thickBot="1">
      <c r="A2" s="52" t="n"/>
      <c r="B2" s="52" t="n"/>
      <c r="C2" s="12" t="inlineStr">
        <is>
          <t>Month</t>
        </is>
      </c>
      <c r="D2" s="666" t="n">
        <v>46023</v>
      </c>
      <c r="F2" s="52" t="n"/>
      <c r="G2" s="52" t="n"/>
      <c r="H2" s="52" t="n"/>
      <c r="I2" s="52" t="n"/>
      <c r="J2" s="52" t="n"/>
      <c r="K2" s="52" t="n"/>
      <c r="L2" s="52" t="n"/>
      <c r="M2" s="52" t="n"/>
      <c r="N2" s="52" t="n"/>
      <c r="O2" s="52" t="n"/>
      <c r="P2" s="52" t="n"/>
      <c r="Q2" s="52" t="n"/>
      <c r="R2" s="52" t="n"/>
      <c r="S2" s="52" t="n"/>
      <c r="T2" s="52" t="n"/>
      <c r="U2" s="52" t="n"/>
    </row>
    <row r="3" hidden="1" customFormat="1" s="53" thickBot="1">
      <c r="A3" s="52" t="n"/>
      <c r="B3" s="52" t="n"/>
      <c r="F3" s="52" t="n"/>
      <c r="G3" s="52" t="n"/>
      <c r="H3" s="52" t="n"/>
      <c r="I3" s="52" t="n"/>
      <c r="J3" s="52" t="n"/>
      <c r="K3" s="52" t="n"/>
      <c r="L3" s="52" t="n"/>
      <c r="M3" s="52" t="n"/>
      <c r="N3" s="52" t="n"/>
      <c r="O3" s="52" t="n"/>
      <c r="P3" s="52" t="n"/>
      <c r="Q3" s="52" t="n"/>
      <c r="R3" s="52" t="n"/>
      <c r="S3" s="52" t="n"/>
      <c r="T3" s="52" t="n"/>
      <c r="U3" s="52" t="n"/>
    </row>
    <row r="4" ht="21" customFormat="1" customHeight="1" s="53" thickBot="1">
      <c r="A4" s="52" t="n"/>
      <c r="B4" s="52" t="n"/>
      <c r="C4" s="433">
        <f>"Current Month-Year " &amp; ":" &amp; TEXT(TODAY(),"YYYY-MM")</f>
        <v/>
      </c>
      <c r="D4" s="667" t="n"/>
      <c r="E4" s="667" t="n"/>
      <c r="F4" s="667" t="n"/>
      <c r="G4" s="667" t="n"/>
      <c r="H4" s="667" t="n"/>
      <c r="I4" s="667" t="n"/>
      <c r="J4" s="667" t="n"/>
      <c r="K4" s="667" t="n"/>
      <c r="L4" s="667" t="n"/>
      <c r="M4" s="667" t="n"/>
      <c r="N4" s="667" t="n"/>
      <c r="O4" s="667" t="n"/>
      <c r="P4" s="667" t="n"/>
      <c r="Q4" s="667" t="n"/>
      <c r="R4" s="667" t="n"/>
      <c r="S4" s="667" t="n"/>
      <c r="T4" s="667" t="n"/>
      <c r="U4" s="667" t="n"/>
      <c r="V4" s="667" t="n"/>
      <c r="W4" s="667" t="n"/>
      <c r="X4" s="667" t="n"/>
      <c r="Y4" s="667" t="n"/>
      <c r="Z4" s="667" t="n"/>
      <c r="AA4" s="667" t="n"/>
    </row>
    <row r="5" customFormat="1" s="53" thickBot="1">
      <c r="A5" s="435" t="inlineStr">
        <is>
          <t>Strategic
Imperative</t>
        </is>
      </c>
      <c r="B5" s="668" t="n"/>
      <c r="C5" s="436" t="inlineStr">
        <is>
          <t xml:space="preserve"> Mandatory Outcome KPIs</t>
        </is>
      </c>
      <c r="D5" s="438" t="inlineStr">
        <is>
          <t>Meric Owner MT</t>
        </is>
      </c>
      <c r="E5" s="436" t="inlineStr">
        <is>
          <t>Definition</t>
        </is>
      </c>
      <c r="F5" s="432" t="inlineStr">
        <is>
          <t>Operators</t>
        </is>
      </c>
      <c r="G5" s="432" t="inlineStr">
        <is>
          <t>AOP 2025</t>
        </is>
      </c>
      <c r="H5" s="432" t="inlineStr">
        <is>
          <t>Units</t>
        </is>
      </c>
      <c r="I5" s="432" t="inlineStr">
        <is>
          <t>Metric Nature</t>
        </is>
      </c>
      <c r="J5" s="432" t="inlineStr">
        <is>
          <t>Frequency</t>
        </is>
      </c>
      <c r="K5" s="429" t="inlineStr">
        <is>
          <t>Target Actual</t>
        </is>
      </c>
      <c r="L5" s="429" t="inlineStr">
        <is>
          <t>Jan</t>
        </is>
      </c>
      <c r="M5" s="429" t="inlineStr">
        <is>
          <t>Feb</t>
        </is>
      </c>
      <c r="N5" s="429" t="inlineStr">
        <is>
          <t>Q1</t>
        </is>
      </c>
      <c r="O5" s="429" t="inlineStr">
        <is>
          <t>Apr</t>
        </is>
      </c>
      <c r="P5" s="444" t="inlineStr">
        <is>
          <t>May</t>
        </is>
      </c>
      <c r="Q5" s="429" t="inlineStr">
        <is>
          <t>Q2</t>
        </is>
      </c>
      <c r="R5" s="431" t="inlineStr">
        <is>
          <t>Jul</t>
        </is>
      </c>
      <c r="S5" s="442" t="inlineStr">
        <is>
          <t>Aug</t>
        </is>
      </c>
      <c r="T5" s="429" t="inlineStr">
        <is>
          <t>Q3</t>
        </is>
      </c>
      <c r="U5" s="429" t="inlineStr">
        <is>
          <t>Oct</t>
        </is>
      </c>
      <c r="V5" s="429" t="inlineStr">
        <is>
          <t>Nov</t>
        </is>
      </c>
      <c r="W5" s="438" t="inlineStr">
        <is>
          <t>Dec</t>
        </is>
      </c>
      <c r="X5" s="429" t="inlineStr">
        <is>
          <t>If reported Red then
Cause and Actions</t>
        </is>
      </c>
      <c r="Y5" s="429" t="inlineStr">
        <is>
          <t>Consecutive Red more han 2
instance please submit PRIDE</t>
        </is>
      </c>
      <c r="Z5" s="438" t="inlineStr">
        <is>
          <t>Consecutive Red more than 2
instance and only for PS&amp;Qmetrics
share CAPA</t>
        </is>
      </c>
      <c r="AA5" s="440" t="inlineStr">
        <is>
          <t>Next
Update/Closure
timeline DD-MM</t>
        </is>
      </c>
    </row>
    <row r="6" ht="24.6" customFormat="1" customHeight="1" s="53">
      <c r="A6" s="669" t="n"/>
      <c r="B6" s="670" t="n"/>
      <c r="C6" s="671" t="n"/>
      <c r="D6" s="671" t="n"/>
      <c r="E6" s="671" t="n"/>
      <c r="F6" s="671" t="n"/>
      <c r="G6" s="671" t="n"/>
      <c r="H6" s="671" t="n"/>
      <c r="I6" s="671" t="n"/>
      <c r="J6" s="671" t="n"/>
      <c r="K6" s="671" t="n"/>
      <c r="L6" s="671" t="n"/>
      <c r="M6" s="671" t="n"/>
      <c r="N6" s="671" t="n"/>
      <c r="O6" s="671" t="n"/>
      <c r="P6" s="669" t="n"/>
      <c r="Q6" s="671" t="n"/>
      <c r="R6" s="670" t="n"/>
      <c r="S6" s="641" t="n"/>
      <c r="T6" s="671" t="n"/>
      <c r="U6" s="671" t="n"/>
      <c r="V6" s="671" t="n"/>
      <c r="W6" s="671" t="n"/>
      <c r="X6" s="671" t="n"/>
      <c r="Y6" s="671" t="n"/>
      <c r="Z6" s="671" t="n"/>
      <c r="AA6" s="672" t="n"/>
    </row>
    <row r="7" customFormat="1" s="53" thickBot="1">
      <c r="A7" s="418" t="inlineStr">
        <is>
          <t>1. Patient Safety &amp; Quality</t>
        </is>
      </c>
      <c r="C7" s="425">
        <f>IF('1.Quality'!A6&lt;&gt;"",'1.Quality'!A6,"")</f>
        <v/>
      </c>
      <c r="D7" s="406" t="inlineStr">
        <is>
          <t>Neena S</t>
        </is>
      </c>
      <c r="E7" s="425">
        <f>IF('1.Quality'!B6&lt;&gt;"",'1.Quality'!B6,"")</f>
        <v/>
      </c>
      <c r="F7" s="425">
        <f>IF('1.Quality'!C6&lt;&gt;"",'1.Quality'!C6,"")</f>
        <v/>
      </c>
      <c r="G7" s="425">
        <f>IF('1.Quality'!D6&lt;&gt;"",'1.Quality'!D6,"")</f>
        <v/>
      </c>
      <c r="H7" s="425">
        <f>IF('1.Quality'!E6&lt;&gt;"",'1.Quality'!E6,"")</f>
        <v/>
      </c>
      <c r="I7" s="425">
        <f>IF('1.Quality'!F6&lt;&gt;"",'1.Quality'!F6,"")</f>
        <v/>
      </c>
      <c r="J7" s="425">
        <f>IF('1.Quality'!G6&lt;&gt;"",'1.Quality'!G6,"")</f>
        <v/>
      </c>
      <c r="K7" s="516" t="inlineStr">
        <is>
          <t>Target</t>
        </is>
      </c>
      <c r="L7" s="119">
        <f>IF('1.Quality'!I24&lt;&gt;"",'1.Quality'!I24,"")</f>
        <v/>
      </c>
      <c r="M7" s="119">
        <f>IF('1.Quality'!J24&lt;&gt;"",'1.Quality'!J24,"")</f>
        <v/>
      </c>
      <c r="N7" s="119">
        <f>IF('1.Quality'!K24&lt;&gt;"",'1.Quality'!K24,"")</f>
        <v/>
      </c>
      <c r="O7" s="119">
        <f>IF('1.Quality'!L24&lt;&gt;"",'1.Quality'!L24,"")</f>
        <v/>
      </c>
      <c r="P7" s="119">
        <f>IF('1.Quality'!M24&lt;&gt;"",'1.Quality'!M24,"")</f>
        <v/>
      </c>
      <c r="Q7" s="119">
        <f>IF('1.Quality'!N24&lt;&gt;"",'1.Quality'!N24,"")</f>
        <v/>
      </c>
      <c r="R7" s="119">
        <f>IF('1.Quality'!O24&lt;&gt;"",'1.Quality'!O24,"")</f>
        <v/>
      </c>
      <c r="S7" s="119">
        <f>IF('1.Quality'!P24&lt;&gt;"",'1.Quality'!P24,"")</f>
        <v/>
      </c>
      <c r="T7" s="119">
        <f>IF('1.Quality'!Q24&lt;&gt;"",'1.Quality'!Q24,"")</f>
        <v/>
      </c>
      <c r="U7" s="119">
        <f>IF('1.Quality'!R24&lt;&gt;"",'1.Quality'!R24,"")</f>
        <v/>
      </c>
      <c r="V7" s="119">
        <f>IF('1.Quality'!S24&lt;&gt;"",'1.Quality'!S24,"")</f>
        <v/>
      </c>
      <c r="W7" s="120">
        <f>IF('1.Quality'!T24&lt;&gt;"",'1.Quality'!T24,"")</f>
        <v/>
      </c>
      <c r="X7" s="423" t="n"/>
      <c r="Y7" s="423" t="n"/>
      <c r="Z7" s="423" t="n"/>
      <c r="AA7" s="423" t="n"/>
    </row>
    <row r="8" customFormat="1" s="53" thickBot="1">
      <c r="A8" s="673" t="n"/>
      <c r="C8" s="671" t="n"/>
      <c r="D8" s="671" t="n"/>
      <c r="E8" s="671" t="n"/>
      <c r="F8" s="671" t="n"/>
      <c r="G8" s="671" t="n"/>
      <c r="H8" s="671" t="n"/>
      <c r="I8" s="671" t="n"/>
      <c r="J8" s="671" t="n"/>
      <c r="K8" s="550" t="inlineStr">
        <is>
          <t>Actual</t>
        </is>
      </c>
      <c r="L8" s="63">
        <f>IF('1.Quality'!I25&lt;&gt;"",'1.Quality'!I25,"")</f>
        <v/>
      </c>
      <c r="M8" s="63">
        <f>IF('1.Quality'!J25&lt;&gt;"",'1.Quality'!J25,"")</f>
        <v/>
      </c>
      <c r="N8" s="63">
        <f>IF('1.Quality'!K25&lt;&gt;"",'1.Quality'!K25,"")</f>
        <v/>
      </c>
      <c r="O8" s="63">
        <f>IF('1.Quality'!L25&lt;&gt;"",'1.Quality'!L25,"")</f>
        <v/>
      </c>
      <c r="P8" s="63">
        <f>IF('1.Quality'!M25&lt;&gt;"",'1.Quality'!M25,"")</f>
        <v/>
      </c>
      <c r="Q8" s="63">
        <f>IF('1.Quality'!N25&lt;&gt;"",'1.Quality'!N25,"")</f>
        <v/>
      </c>
      <c r="R8" s="63">
        <f>IF('1.Quality'!O25&lt;&gt;"",'1.Quality'!O25,"")</f>
        <v/>
      </c>
      <c r="S8" s="63">
        <f>IF('1.Quality'!P25&lt;&gt;"",'1.Quality'!P25,"")</f>
        <v/>
      </c>
      <c r="T8" s="63">
        <f>IF('1.Quality'!Q25&lt;&gt;"",'1.Quality'!Q25,"")</f>
        <v/>
      </c>
      <c r="U8" s="63">
        <f>IF('1.Quality'!R25&lt;&gt;"",'1.Quality'!R25,"")</f>
        <v/>
      </c>
      <c r="V8" s="63">
        <f>IF('1.Quality'!S25&lt;&gt;"",'1.Quality'!S25,"")</f>
        <v/>
      </c>
      <c r="W8" s="82">
        <f>IF('1.Quality'!T25&lt;&gt;"",'1.Quality'!T25,"")</f>
        <v/>
      </c>
      <c r="X8" s="671" t="n"/>
      <c r="Y8" s="671" t="n"/>
      <c r="Z8" s="671" t="n"/>
      <c r="AA8" s="671" t="n"/>
    </row>
    <row r="9" customFormat="1" s="53" thickBot="1">
      <c r="A9" s="673" t="n"/>
      <c r="C9" s="426">
        <f>IF('1.Quality'!A8&lt;&gt;"",'1.Quality'!A8,"")</f>
        <v/>
      </c>
      <c r="D9" s="407" t="inlineStr">
        <is>
          <t>Neena S</t>
        </is>
      </c>
      <c r="E9" s="426">
        <f>IF('1.Quality'!B8&lt;&gt;"",'1.Quality'!B8,"")</f>
        <v/>
      </c>
      <c r="F9" s="426">
        <f>IF('1.Quality'!C8&lt;&gt;"",'1.Quality'!C8,"")</f>
        <v/>
      </c>
      <c r="G9" s="426">
        <f>IF('1.Quality'!D8&lt;&gt;"",'1.Quality'!D8,"")</f>
        <v/>
      </c>
      <c r="H9" s="426">
        <f>IF('1.Quality'!E8&lt;&gt;"",'1.Quality'!E8,"")</f>
        <v/>
      </c>
      <c r="I9" s="426">
        <f>IF('1.Quality'!F8&lt;&gt;"",'1.Quality'!F8,"")</f>
        <v/>
      </c>
      <c r="J9" s="426">
        <f>IF('1.Quality'!G8&lt;&gt;"",'1.Quality'!G8,"")</f>
        <v/>
      </c>
      <c r="K9" s="550" t="inlineStr">
        <is>
          <t>Target</t>
        </is>
      </c>
      <c r="L9" s="55">
        <f>IF('1.Quality'!I6&lt;&gt;"",'1.Quality'!I6,"")</f>
        <v/>
      </c>
      <c r="M9" s="55">
        <f>IF('1.Quality'!J6&lt;&gt;"",'1.Quality'!J6,"")</f>
        <v/>
      </c>
      <c r="N9" s="55">
        <f>IF('1.Quality'!K6&lt;&gt;"",'1.Quality'!K6,"")</f>
        <v/>
      </c>
      <c r="O9" s="55">
        <f>IF('1.Quality'!L6&lt;&gt;"",'1.Quality'!L6,"")</f>
        <v/>
      </c>
      <c r="P9" s="55">
        <f>IF('1.Quality'!M6&lt;&gt;"",'1.Quality'!M6,"")</f>
        <v/>
      </c>
      <c r="Q9" s="55">
        <f>IF('1.Quality'!N6&lt;&gt;"",'1.Quality'!N6,"")</f>
        <v/>
      </c>
      <c r="R9" s="55">
        <f>IF('1.Quality'!O6&lt;&gt;"",'1.Quality'!O6,"")</f>
        <v/>
      </c>
      <c r="S9" s="55">
        <f>IF('1.Quality'!P6&lt;&gt;"",'1.Quality'!P6,"")</f>
        <v/>
      </c>
      <c r="T9" s="55">
        <f>IF('1.Quality'!Q6&lt;&gt;"",'1.Quality'!Q6,"")</f>
        <v/>
      </c>
      <c r="U9" s="55">
        <f>IF('1.Quality'!R6&lt;&gt;"",'1.Quality'!R6,"")</f>
        <v/>
      </c>
      <c r="V9" s="55">
        <f>IF('1.Quality'!S6&lt;&gt;"",'1.Quality'!S6,"")</f>
        <v/>
      </c>
      <c r="W9" s="83">
        <f>IF('1.Quality'!T6&lt;&gt;"",'1.Quality'!T6,"")</f>
        <v/>
      </c>
      <c r="X9" s="424" t="n"/>
      <c r="Y9" s="424" t="n"/>
      <c r="Z9" s="424" t="n"/>
      <c r="AA9" s="424" t="n"/>
    </row>
    <row r="10" customFormat="1" s="53" thickBot="1">
      <c r="A10" s="673" t="n"/>
      <c r="C10" s="671" t="n"/>
      <c r="D10" s="671" t="n"/>
      <c r="E10" s="671" t="n"/>
      <c r="F10" s="671" t="n"/>
      <c r="G10" s="671" t="n"/>
      <c r="H10" s="671" t="n"/>
      <c r="I10" s="671" t="n"/>
      <c r="J10" s="671" t="n"/>
      <c r="K10" s="550" t="inlineStr">
        <is>
          <t>Actual</t>
        </is>
      </c>
      <c r="L10" s="56">
        <f>IF('1.Quality'!I7&lt;&gt;"",'1.Quality'!I7,"")</f>
        <v/>
      </c>
      <c r="M10" s="56">
        <f>IF('1.Quality'!J7&lt;&gt;"",'1.Quality'!J7,"")</f>
        <v/>
      </c>
      <c r="N10" s="56">
        <f>IF('1.Quality'!K7&lt;&gt;"",'1.Quality'!K7,"")</f>
        <v/>
      </c>
      <c r="O10" s="56">
        <f>IF('1.Quality'!L7&lt;&gt;"",'1.Quality'!L7,"")</f>
        <v/>
      </c>
      <c r="P10" s="56">
        <f>IF('1.Quality'!M7&lt;&gt;"",'1.Quality'!M7,"")</f>
        <v/>
      </c>
      <c r="Q10" s="56">
        <f>IF('1.Quality'!N7&lt;&gt;"",'1.Quality'!N7,"")</f>
        <v/>
      </c>
      <c r="R10" s="56">
        <f>IF('1.Quality'!O7&lt;&gt;"",'1.Quality'!O7,"")</f>
        <v/>
      </c>
      <c r="S10" s="56">
        <f>IF('1.Quality'!P7&lt;&gt;"",'1.Quality'!P7,"")</f>
        <v/>
      </c>
      <c r="T10" s="56">
        <f>IF('1.Quality'!Q7&lt;&gt;"",'1.Quality'!Q7,"")</f>
        <v/>
      </c>
      <c r="U10" s="56">
        <f>IF('1.Quality'!R7&lt;&gt;"",'1.Quality'!R7,"")</f>
        <v/>
      </c>
      <c r="V10" s="56">
        <f>IF('1.Quality'!S7&lt;&gt;"",'1.Quality'!S7,"")</f>
        <v/>
      </c>
      <c r="W10" s="84">
        <f>IF('1.Quality'!T7&lt;&gt;"",'1.Quality'!T7,"")</f>
        <v/>
      </c>
      <c r="X10" s="671" t="n"/>
      <c r="Y10" s="671" t="n"/>
      <c r="Z10" s="671" t="n"/>
      <c r="AA10" s="671" t="n"/>
    </row>
    <row r="11" customFormat="1" s="53" thickBot="1">
      <c r="A11" s="673" t="n"/>
      <c r="C11" s="426">
        <f>IF('1.Quality'!A16&lt;&gt;"",'1.Quality'!A16,"")</f>
        <v/>
      </c>
      <c r="D11" s="407" t="inlineStr">
        <is>
          <t>Neena S</t>
        </is>
      </c>
      <c r="E11" s="426">
        <f>IF('1.Quality'!B16&lt;&gt;"",'1.Quality'!B16,"")</f>
        <v/>
      </c>
      <c r="F11" s="426">
        <f>IF('1.Quality'!C16&lt;&gt;"",'1.Quality'!C16,"")</f>
        <v/>
      </c>
      <c r="G11" s="426">
        <f>IF('1.Quality'!D16&lt;&gt;"",'1.Quality'!D16,"")</f>
        <v/>
      </c>
      <c r="H11" s="426">
        <f>IF('1.Quality'!E16&lt;&gt;"",'1.Quality'!E16,"")</f>
        <v/>
      </c>
      <c r="I11" s="426">
        <f>IF('1.Quality'!F16&lt;&gt;"",'1.Quality'!F16,"")</f>
        <v/>
      </c>
      <c r="J11" s="426">
        <f>IF('1.Quality'!G16&lt;&gt;"",'1.Quality'!G16,"")</f>
        <v/>
      </c>
      <c r="K11" s="550" t="inlineStr">
        <is>
          <t>Target</t>
        </is>
      </c>
      <c r="L11" s="55">
        <f>IF('1.Quality'!I8&lt;&gt;"",'1.Quality'!I8,"")</f>
        <v/>
      </c>
      <c r="M11" s="55">
        <f>IF('1.Quality'!J8&lt;&gt;"",'1.Quality'!J8,"")</f>
        <v/>
      </c>
      <c r="N11" s="55">
        <f>IF('1.Quality'!K8&lt;&gt;"",'1.Quality'!K8,"")</f>
        <v/>
      </c>
      <c r="O11" s="55">
        <f>IF('1.Quality'!L8&lt;&gt;"",'1.Quality'!L8,"")</f>
        <v/>
      </c>
      <c r="P11" s="55">
        <f>IF('1.Quality'!M8&lt;&gt;"",'1.Quality'!M8,"")</f>
        <v/>
      </c>
      <c r="Q11" s="55">
        <f>IF('1.Quality'!N8&lt;&gt;"",'1.Quality'!N8,"")</f>
        <v/>
      </c>
      <c r="R11" s="55">
        <f>IF('1.Quality'!O8&lt;&gt;"",'1.Quality'!O8,"")</f>
        <v/>
      </c>
      <c r="S11" s="55">
        <f>IF('1.Quality'!P8&lt;&gt;"",'1.Quality'!P8,"")</f>
        <v/>
      </c>
      <c r="T11" s="55">
        <f>IF('1.Quality'!Q8&lt;&gt;"",'1.Quality'!Q8,"")</f>
        <v/>
      </c>
      <c r="U11" s="55">
        <f>IF('1.Quality'!R8&lt;&gt;"",'1.Quality'!R8,"")</f>
        <v/>
      </c>
      <c r="V11" s="55">
        <f>IF('1.Quality'!S8&lt;&gt;"",'1.Quality'!S8,"")</f>
        <v/>
      </c>
      <c r="W11" s="83">
        <f>IF('1.Quality'!T8&lt;&gt;"",'1.Quality'!T8,"")</f>
        <v/>
      </c>
      <c r="X11" s="424" t="n"/>
      <c r="Y11" s="424" t="n"/>
      <c r="Z11" s="424" t="n"/>
      <c r="AA11" s="424" t="n"/>
    </row>
    <row r="12" customFormat="1" s="53" thickBot="1">
      <c r="A12" s="673" t="n"/>
      <c r="C12" s="671" t="n"/>
      <c r="D12" s="671" t="n"/>
      <c r="E12" s="671" t="n"/>
      <c r="F12" s="671" t="n"/>
      <c r="G12" s="671" t="n"/>
      <c r="H12" s="671" t="n"/>
      <c r="I12" s="671" t="n"/>
      <c r="J12" s="671" t="n"/>
      <c r="K12" s="550" t="inlineStr">
        <is>
          <t>Actual</t>
        </is>
      </c>
      <c r="L12" s="56">
        <f>IF('1.Quality'!I9&lt;&gt;"",'1.Quality'!I9,"")</f>
        <v/>
      </c>
      <c r="M12" s="56">
        <f>IF('1.Quality'!J9&lt;&gt;"",'1.Quality'!J9,"")</f>
        <v/>
      </c>
      <c r="N12" s="56">
        <f>IF('1.Quality'!K9&lt;&gt;"",'1.Quality'!K9,"")</f>
        <v/>
      </c>
      <c r="O12" s="56">
        <f>IF('1.Quality'!L9&lt;&gt;"",'1.Quality'!L9,"")</f>
        <v/>
      </c>
      <c r="P12" s="56">
        <f>IF('1.Quality'!M9&lt;&gt;"",'1.Quality'!M9,"")</f>
        <v/>
      </c>
      <c r="Q12" s="56">
        <f>IF('1.Quality'!N9&lt;&gt;"",'1.Quality'!N9,"")</f>
        <v/>
      </c>
      <c r="R12" s="56">
        <f>IF('1.Quality'!O9&lt;&gt;"",'1.Quality'!O9,"")</f>
        <v/>
      </c>
      <c r="S12" s="56">
        <f>IF('1.Quality'!P9&lt;&gt;"",'1.Quality'!P9,"")</f>
        <v/>
      </c>
      <c r="T12" s="56">
        <f>IF('1.Quality'!Q9&lt;&gt;"",'1.Quality'!Q9,"")</f>
        <v/>
      </c>
      <c r="U12" s="56">
        <f>IF('1.Quality'!R9&lt;&gt;"",'1.Quality'!R9,"")</f>
        <v/>
      </c>
      <c r="V12" s="56">
        <f>IF('1.Quality'!S9&lt;&gt;"",'1.Quality'!S9,"")</f>
        <v/>
      </c>
      <c r="W12" s="84">
        <f>IF('1.Quality'!T9&lt;&gt;"",'1.Quality'!T9,"")</f>
        <v/>
      </c>
      <c r="X12" s="671" t="n"/>
      <c r="Y12" s="671" t="n"/>
      <c r="Z12" s="671" t="n"/>
      <c r="AA12" s="671" t="n"/>
    </row>
    <row r="13" customFormat="1" s="53" thickBot="1">
      <c r="A13" s="673" t="n"/>
      <c r="C13" s="426">
        <f>IF('2.Regulatory'!A6&lt;&gt;"",'2.Regulatory'!A6,"")</f>
        <v/>
      </c>
      <c r="D13" s="407" t="inlineStr">
        <is>
          <t>Sumit K</t>
        </is>
      </c>
      <c r="E13" s="427">
        <f>IF('2.Regulatory'!B6&lt;&gt;"",'2.Regulatory'!B6,"")</f>
        <v/>
      </c>
      <c r="F13" s="448">
        <f>IF('2.Regulatory'!C6&lt;&gt;"",'2.Regulatory'!C6,"")</f>
        <v/>
      </c>
      <c r="G13" s="448">
        <f>IF('2.Regulatory'!D6&lt;&gt;"",'2.Regulatory'!D6,"")</f>
        <v/>
      </c>
      <c r="H13" s="448">
        <f>IF('2.Regulatory'!E6&lt;&gt;"",'2.Regulatory'!E6,"")</f>
        <v/>
      </c>
      <c r="I13" s="427">
        <f>IF('2.Regulatory'!F6&lt;&gt;"",'2.Regulatory'!F6,"")</f>
        <v/>
      </c>
      <c r="J13" s="427">
        <f>IF('2.Regulatory'!G6&lt;&gt;"",'2.Regulatory'!G6,"")</f>
        <v/>
      </c>
      <c r="K13" s="550" t="inlineStr">
        <is>
          <t>Target</t>
        </is>
      </c>
      <c r="L13" s="55">
        <f>IF('2.Regulatory'!I6&lt;&gt;"",'2.Regulatory'!I6,"")</f>
        <v/>
      </c>
      <c r="M13" s="55">
        <f>IF('2.Regulatory'!J6&lt;&gt;"",'2.Regulatory'!J6,"")</f>
        <v/>
      </c>
      <c r="N13" s="55">
        <f>IF('2.Regulatory'!K6&lt;&gt;"",'2.Regulatory'!K6,"")</f>
        <v/>
      </c>
      <c r="O13" s="55">
        <f>IF('2.Regulatory'!L6&lt;&gt;"",'2.Regulatory'!L6,"")</f>
        <v/>
      </c>
      <c r="P13" s="55">
        <f>IF('2.Regulatory'!M6&lt;&gt;"",'2.Regulatory'!M6,"")</f>
        <v/>
      </c>
      <c r="Q13" s="55">
        <f>IF('2.Regulatory'!N6&lt;&gt;"",'2.Regulatory'!N6,"")</f>
        <v/>
      </c>
      <c r="R13" s="55">
        <f>IF('2.Regulatory'!O6&lt;&gt;"",'2.Regulatory'!O6,"")</f>
        <v/>
      </c>
      <c r="S13" s="55">
        <f>IF('2.Regulatory'!P6&lt;&gt;"",'2.Regulatory'!P6,"")</f>
        <v/>
      </c>
      <c r="T13" s="55">
        <f>IF('2.Regulatory'!Q6&lt;&gt;"",'2.Regulatory'!Q6,"")</f>
        <v/>
      </c>
      <c r="U13" s="55">
        <f>IF('2.Regulatory'!R6&lt;&gt;"",'2.Regulatory'!R6,"")</f>
        <v/>
      </c>
      <c r="V13" s="55">
        <f>IF('2.Regulatory'!S6&lt;&gt;"",'2.Regulatory'!S6,"")</f>
        <v/>
      </c>
      <c r="W13" s="83">
        <f>IF('2.Regulatory'!T6&lt;&gt;"",'2.Regulatory'!T6,"")</f>
        <v/>
      </c>
      <c r="X13" s="424" t="n"/>
      <c r="Y13" s="424" t="n"/>
      <c r="Z13" s="424" t="n"/>
      <c r="AA13" s="424" t="n"/>
    </row>
    <row r="14" customFormat="1" s="53" thickBot="1">
      <c r="A14" s="673" t="n"/>
      <c r="C14" s="671" t="n"/>
      <c r="D14" s="671" t="n"/>
      <c r="E14" s="671" t="n"/>
      <c r="F14" s="671" t="n"/>
      <c r="G14" s="671" t="n"/>
      <c r="H14" s="671" t="n"/>
      <c r="I14" s="671" t="n"/>
      <c r="J14" s="671" t="n"/>
      <c r="K14" s="550" t="inlineStr">
        <is>
          <t>Actual</t>
        </is>
      </c>
      <c r="L14" s="56">
        <f>IF('2.Regulatory'!I7&lt;&gt;"",'2.Regulatory'!I7,"")</f>
        <v/>
      </c>
      <c r="M14" s="56">
        <f>IF('2.Regulatory'!J7&lt;&gt;"",'2.Regulatory'!J7,"")</f>
        <v/>
      </c>
      <c r="N14" s="56">
        <f>IF('2.Regulatory'!K7&lt;&gt;"",'2.Regulatory'!K7,"")</f>
        <v/>
      </c>
      <c r="O14" s="56">
        <f>IF('2.Regulatory'!L7&lt;&gt;"",'2.Regulatory'!L7,"")</f>
        <v/>
      </c>
      <c r="P14" s="56">
        <f>IF('2.Regulatory'!M7&lt;&gt;"",'2.Regulatory'!M7,"")</f>
        <v/>
      </c>
      <c r="Q14" s="56">
        <f>IF('2.Regulatory'!N7&lt;&gt;"",'2.Regulatory'!N7,"")</f>
        <v/>
      </c>
      <c r="R14" s="56">
        <f>IF('2.Regulatory'!O7&lt;&gt;"",'2.Regulatory'!O7,"")</f>
        <v/>
      </c>
      <c r="S14" s="56">
        <f>IF('2.Regulatory'!P7&lt;&gt;"",'2.Regulatory'!P7,"")</f>
        <v/>
      </c>
      <c r="T14" s="56">
        <f>IF('2.Regulatory'!Q7&lt;&gt;"",'2.Regulatory'!Q7,"")</f>
        <v/>
      </c>
      <c r="U14" s="56">
        <f>IF('2.Regulatory'!R7&lt;&gt;"",'2.Regulatory'!R7,"")</f>
        <v/>
      </c>
      <c r="V14" s="56">
        <f>IF('2.Regulatory'!S7&lt;&gt;"",'2.Regulatory'!S7,"")</f>
        <v/>
      </c>
      <c r="W14" s="84">
        <f>IF('2.Regulatory'!T7&lt;&gt;"",'2.Regulatory'!T7,"")</f>
        <v/>
      </c>
      <c r="X14" s="671" t="n"/>
      <c r="Y14" s="671" t="n"/>
      <c r="Z14" s="671" t="n"/>
      <c r="AA14" s="671" t="n"/>
    </row>
    <row r="15" customFormat="1" s="53" thickBot="1">
      <c r="A15" s="673" t="n"/>
      <c r="C15" s="426">
        <f>IF('2.Regulatory'!A10&lt;&gt;"",'2.Regulatory'!A10,"")</f>
        <v/>
      </c>
      <c r="D15" s="407" t="inlineStr">
        <is>
          <t>Sumit K</t>
        </is>
      </c>
      <c r="E15" s="427">
        <f>IF('2.Regulatory'!B10&lt;&gt;"",'2.Regulatory'!B10,"")</f>
        <v/>
      </c>
      <c r="F15" s="448">
        <f>IF('2.Regulatory'!C10&lt;&gt;"",'2.Regulatory'!C10,"")</f>
        <v/>
      </c>
      <c r="G15" s="448">
        <f>IF('2.Regulatory'!D10&lt;&gt;"",'2.Regulatory'!D10,"")</f>
        <v/>
      </c>
      <c r="H15" s="448">
        <f>IF('2.Regulatory'!E10&lt;&gt;"",'2.Regulatory'!E10,"")</f>
        <v/>
      </c>
      <c r="I15" s="427">
        <f>IF('2.Regulatory'!F10&lt;&gt;"",'2.Regulatory'!F10,"")</f>
        <v/>
      </c>
      <c r="J15" s="427">
        <f>IF('2.Regulatory'!G10&lt;&gt;"",'2.Regulatory'!G10,"")</f>
        <v/>
      </c>
      <c r="K15" s="550" t="inlineStr">
        <is>
          <t>Target</t>
        </is>
      </c>
      <c r="L15" s="55">
        <f>IF('2.Regulatory'!I10&lt;&gt;"",'2.Regulatory'!I10,"")</f>
        <v/>
      </c>
      <c r="M15" s="55">
        <f>IF('2.Regulatory'!J10&lt;&gt;"",'2.Regulatory'!J10,"")</f>
        <v/>
      </c>
      <c r="N15" s="55">
        <f>IF('2.Regulatory'!K10&lt;&gt;"",'2.Regulatory'!K10,"")</f>
        <v/>
      </c>
      <c r="O15" s="55">
        <f>IF('2.Regulatory'!L10&lt;&gt;"",'2.Regulatory'!L10,"")</f>
        <v/>
      </c>
      <c r="P15" s="55">
        <f>IF('2.Regulatory'!M10&lt;&gt;"",'2.Regulatory'!M10,"")</f>
        <v/>
      </c>
      <c r="Q15" s="55">
        <f>IF('2.Regulatory'!N10&lt;&gt;"",'2.Regulatory'!N10,"")</f>
        <v/>
      </c>
      <c r="R15" s="55">
        <f>IF('2.Regulatory'!O10&lt;&gt;"",'2.Regulatory'!O10,"")</f>
        <v/>
      </c>
      <c r="S15" s="55">
        <f>IF('2.Regulatory'!P10&lt;&gt;"",'2.Regulatory'!P10,"")</f>
        <v/>
      </c>
      <c r="T15" s="55">
        <f>IF('2.Regulatory'!Q10&lt;&gt;"",'2.Regulatory'!Q10,"")</f>
        <v/>
      </c>
      <c r="U15" s="55">
        <f>IF('2.Regulatory'!R10&lt;&gt;"",'2.Regulatory'!R10,"")</f>
        <v/>
      </c>
      <c r="V15" s="55">
        <f>IF('2.Regulatory'!S10&lt;&gt;"",'2.Regulatory'!S10,"")</f>
        <v/>
      </c>
      <c r="W15" s="83">
        <f>IF('2.Regulatory'!T10&lt;&gt;"",'2.Regulatory'!T10,"")</f>
        <v/>
      </c>
      <c r="X15" s="424" t="n"/>
      <c r="Y15" s="424" t="n"/>
      <c r="Z15" s="424" t="n"/>
      <c r="AA15" s="424" t="n"/>
    </row>
    <row r="16" customFormat="1" s="53" thickBot="1">
      <c r="A16" s="673" t="n"/>
      <c r="C16" s="671" t="n"/>
      <c r="D16" s="671" t="n"/>
      <c r="E16" s="671" t="n"/>
      <c r="F16" s="671" t="n"/>
      <c r="G16" s="671" t="n"/>
      <c r="H16" s="671" t="n"/>
      <c r="I16" s="671" t="n"/>
      <c r="J16" s="671" t="n"/>
      <c r="K16" s="550" t="inlineStr">
        <is>
          <t>Actual</t>
        </is>
      </c>
      <c r="L16" s="56">
        <f>IF('2.Regulatory'!I11&lt;&gt;"",'2.Regulatory'!I11,"")</f>
        <v/>
      </c>
      <c r="M16" s="56">
        <f>IF('2.Regulatory'!J11&lt;&gt;"",'2.Regulatory'!J11,"")</f>
        <v/>
      </c>
      <c r="N16" s="56">
        <f>IF('2.Regulatory'!K11&lt;&gt;"",'2.Regulatory'!K11,"")</f>
        <v/>
      </c>
      <c r="O16" s="56">
        <f>IF('2.Regulatory'!L11&lt;&gt;"",'2.Regulatory'!L11,"")</f>
        <v/>
      </c>
      <c r="P16" s="56">
        <f>IF('2.Regulatory'!M11&lt;&gt;"",'2.Regulatory'!M11,"")</f>
        <v/>
      </c>
      <c r="Q16" s="56">
        <f>IF('2.Regulatory'!N11&lt;&gt;"",'2.Regulatory'!N11,"")</f>
        <v/>
      </c>
      <c r="R16" s="56">
        <f>IF('2.Regulatory'!O11&lt;&gt;"",'2.Regulatory'!O11,"")</f>
        <v/>
      </c>
      <c r="S16" s="56">
        <f>IF('2.Regulatory'!P11&lt;&gt;"",'2.Regulatory'!P11,"")</f>
        <v/>
      </c>
      <c r="T16" s="56">
        <f>IF('2.Regulatory'!Q11&lt;&gt;"",'2.Regulatory'!Q11,"")</f>
        <v/>
      </c>
      <c r="U16" s="56">
        <f>IF('2.Regulatory'!R11&lt;&gt;"",'2.Regulatory'!R11,"")</f>
        <v/>
      </c>
      <c r="V16" s="56">
        <f>IF('2.Regulatory'!S11&lt;&gt;"",'2.Regulatory'!S11,"")</f>
        <v/>
      </c>
      <c r="W16" s="84">
        <f>IF('2.Regulatory'!T11&lt;&gt;"",'2.Regulatory'!T11,"")</f>
        <v/>
      </c>
      <c r="X16" s="671" t="n"/>
      <c r="Y16" s="671" t="n"/>
      <c r="Z16" s="671" t="n"/>
      <c r="AA16" s="671" t="n"/>
    </row>
    <row r="17" customFormat="1" s="53" thickBot="1">
      <c r="A17" s="673" t="n"/>
      <c r="C17" s="426">
        <f>IF(#REF!&lt;&gt;"",#REF!,"")</f>
        <v/>
      </c>
      <c r="D17" s="407" t="inlineStr">
        <is>
          <t>Vinayak P</t>
        </is>
      </c>
      <c r="E17" s="427">
        <f>IF(#REF!&lt;&gt;"",#REF!,"")</f>
        <v/>
      </c>
      <c r="F17" s="448">
        <f>IF(#REF!&lt;&gt;"",#REF!,"")</f>
        <v/>
      </c>
      <c r="G17" s="448">
        <f>IF(#REF!&lt;&gt;"",#REF!,"")</f>
        <v/>
      </c>
      <c r="H17" s="448">
        <f>IF(#REF!&lt;&gt;"",#REF!,"")</f>
        <v/>
      </c>
      <c r="I17" s="427">
        <f>IF(#REF!&lt;&gt;"",#REF!,"")</f>
        <v/>
      </c>
      <c r="J17" s="427">
        <f>IF(#REF!&lt;&gt;"",#REF!,"")</f>
        <v/>
      </c>
      <c r="K17" s="550" t="inlineStr">
        <is>
          <t>Target</t>
        </is>
      </c>
      <c r="L17" s="64">
        <f>IF(#REF!&lt;&gt;"",#REF!,"")</f>
        <v/>
      </c>
      <c r="M17" s="64">
        <f>IF(#REF!&lt;&gt;"",#REF!,"")</f>
        <v/>
      </c>
      <c r="N17" s="64">
        <f>IF(#REF!&lt;&gt;"",#REF!,"")</f>
        <v/>
      </c>
      <c r="O17" s="64">
        <f>IF(#REF!&lt;&gt;"",#REF!,"")</f>
        <v/>
      </c>
      <c r="P17" s="64">
        <f>IF(#REF!&lt;&gt;"",#REF!,"")</f>
        <v/>
      </c>
      <c r="Q17" s="64">
        <f>IF(#REF!&lt;&gt;"",#REF!,"")</f>
        <v/>
      </c>
      <c r="R17" s="64">
        <f>IF(#REF!&lt;&gt;"",#REF!,"")</f>
        <v/>
      </c>
      <c r="S17" s="64">
        <f>IF(#REF!&lt;&gt;"",#REF!,"")</f>
        <v/>
      </c>
      <c r="T17" s="64">
        <f>IF(#REF!&lt;&gt;"",#REF!,"")</f>
        <v/>
      </c>
      <c r="U17" s="64">
        <f>IF(#REF!&lt;&gt;"",#REF!,"")</f>
        <v/>
      </c>
      <c r="V17" s="64">
        <f>IF(#REF!&lt;&gt;"",#REF!,"")</f>
        <v/>
      </c>
      <c r="W17" s="81">
        <f>IF(#REF!&lt;&gt;"",#REF!,"")</f>
        <v/>
      </c>
      <c r="X17" s="424" t="n"/>
      <c r="Y17" s="424" t="n"/>
      <c r="Z17" s="424" t="n"/>
      <c r="AA17" s="424" t="n"/>
    </row>
    <row r="18" customFormat="1" s="53" thickBot="1">
      <c r="A18" s="673" t="n"/>
      <c r="C18" s="671" t="n"/>
      <c r="D18" s="671" t="n"/>
      <c r="E18" s="671" t="n"/>
      <c r="F18" s="671" t="n"/>
      <c r="G18" s="671" t="n"/>
      <c r="H18" s="671" t="n"/>
      <c r="I18" s="671" t="n"/>
      <c r="J18" s="671" t="n"/>
      <c r="K18" s="550" t="inlineStr">
        <is>
          <t>Actual</t>
        </is>
      </c>
      <c r="L18" s="63">
        <f>IF(#REF!&lt;&gt;"",#REF!,"")</f>
        <v/>
      </c>
      <c r="M18" s="63">
        <f>IF(#REF!&lt;&gt;"",#REF!,"")</f>
        <v/>
      </c>
      <c r="N18" s="63">
        <f>IF(#REF!&lt;&gt;"",#REF!,"")</f>
        <v/>
      </c>
      <c r="O18" s="63">
        <f>IF(#REF!&lt;&gt;"",#REF!,"")</f>
        <v/>
      </c>
      <c r="P18" s="63">
        <f>IF(#REF!&lt;&gt;"",#REF!,"")</f>
        <v/>
      </c>
      <c r="Q18" s="63">
        <f>IF(#REF!&lt;&gt;"",#REF!,"")</f>
        <v/>
      </c>
      <c r="R18" s="63">
        <f>IF(#REF!&lt;&gt;"",#REF!,"")</f>
        <v/>
      </c>
      <c r="S18" s="63">
        <f>IF(#REF!&lt;&gt;"",#REF!,"")</f>
        <v/>
      </c>
      <c r="T18" s="63">
        <f>IF(#REF!&lt;&gt;"",#REF!,"")</f>
        <v/>
      </c>
      <c r="U18" s="63">
        <f>IF(#REF!&lt;&gt;"",#REF!,"")</f>
        <v/>
      </c>
      <c r="V18" s="63">
        <f>IF(#REF!&lt;&gt;"",#REF!,"")</f>
        <v/>
      </c>
      <c r="W18" s="82">
        <f>IF(#REF!&lt;&gt;"",#REF!,"")</f>
        <v/>
      </c>
      <c r="X18" s="671" t="n"/>
      <c r="Y18" s="671" t="n"/>
      <c r="Z18" s="671" t="n"/>
      <c r="AA18" s="671" t="n"/>
    </row>
    <row r="19" customFormat="1" s="53" thickBot="1">
      <c r="A19" s="673" t="n"/>
      <c r="C19" s="426">
        <f>IF(#REF!&lt;&gt;"",#REF!,"")</f>
        <v/>
      </c>
      <c r="D19" s="407" t="inlineStr">
        <is>
          <t>Vinayak P</t>
        </is>
      </c>
      <c r="E19" s="427">
        <f>IF(#REF!&lt;&gt;"",#REF!,"")</f>
        <v/>
      </c>
      <c r="F19" s="448">
        <f>IF(#REF!&lt;&gt;"",#REF!,"")</f>
        <v/>
      </c>
      <c r="G19" s="448">
        <f>IF(#REF!&lt;&gt;"",#REF!,"")</f>
        <v/>
      </c>
      <c r="H19" s="448">
        <f>IF(#REF!&lt;&gt;"",#REF!,"")</f>
        <v/>
      </c>
      <c r="I19" s="427">
        <f>IF(#REF!&lt;&gt;"",#REF!,"")</f>
        <v/>
      </c>
      <c r="J19" s="427">
        <f>IF(#REF!&lt;&gt;"",#REF!,"")</f>
        <v/>
      </c>
      <c r="K19" s="550" t="inlineStr">
        <is>
          <t>Target</t>
        </is>
      </c>
      <c r="L19" s="64">
        <f>IF(#REF!&lt;&gt;"",#REF!,"")</f>
        <v/>
      </c>
      <c r="M19" s="64">
        <f>IF(#REF!&lt;&gt;"",#REF!,"")</f>
        <v/>
      </c>
      <c r="N19" s="64">
        <f>IF(#REF!&lt;&gt;"",#REF!,"")</f>
        <v/>
      </c>
      <c r="O19" s="64">
        <f>IF(#REF!&lt;&gt;"",#REF!,"")</f>
        <v/>
      </c>
      <c r="P19" s="64">
        <f>IF(#REF!&lt;&gt;"",#REF!,"")</f>
        <v/>
      </c>
      <c r="Q19" s="64">
        <f>IF(#REF!&lt;&gt;"",#REF!,"")</f>
        <v/>
      </c>
      <c r="R19" s="64">
        <f>IF(#REF!&lt;&gt;"",#REF!,"")</f>
        <v/>
      </c>
      <c r="S19" s="64">
        <f>IF(#REF!&lt;&gt;"",#REF!,"")</f>
        <v/>
      </c>
      <c r="T19" s="64">
        <f>IF(#REF!&lt;&gt;"",#REF!,"")</f>
        <v/>
      </c>
      <c r="U19" s="64">
        <f>IF(#REF!&lt;&gt;"",#REF!,"")</f>
        <v/>
      </c>
      <c r="V19" s="64">
        <f>IF(#REF!&lt;&gt;"",#REF!,"")</f>
        <v/>
      </c>
      <c r="W19" s="81">
        <f>IF(#REF!&lt;&gt;"",#REF!,"")</f>
        <v/>
      </c>
      <c r="X19" s="424" t="n"/>
      <c r="Y19" s="424" t="n"/>
      <c r="Z19" s="424" t="n"/>
      <c r="AA19" s="424" t="n"/>
    </row>
    <row r="20" customFormat="1" s="53" thickBot="1">
      <c r="A20" s="673" t="n"/>
      <c r="C20" s="671" t="n"/>
      <c r="D20" s="671" t="n"/>
      <c r="E20" s="671" t="n"/>
      <c r="F20" s="671" t="n"/>
      <c r="G20" s="671" t="n"/>
      <c r="H20" s="671" t="n"/>
      <c r="I20" s="671" t="n"/>
      <c r="J20" s="671" t="n"/>
      <c r="K20" s="550" t="inlineStr">
        <is>
          <t>Actual</t>
        </is>
      </c>
      <c r="L20" s="63">
        <f>IF(#REF!&lt;&gt;"",#REF!,"")</f>
        <v/>
      </c>
      <c r="M20" s="63">
        <f>IF(#REF!&lt;&gt;"",#REF!,"")</f>
        <v/>
      </c>
      <c r="N20" s="63">
        <f>IF(#REF!&lt;&gt;"",#REF!,"")</f>
        <v/>
      </c>
      <c r="O20" s="63">
        <f>IF(#REF!&lt;&gt;"",#REF!,"")</f>
        <v/>
      </c>
      <c r="P20" s="63">
        <f>IF(#REF!&lt;&gt;"",#REF!,"")</f>
        <v/>
      </c>
      <c r="Q20" s="63">
        <f>IF(#REF!&lt;&gt;"",#REF!,"")</f>
        <v/>
      </c>
      <c r="R20" s="63">
        <f>IF(#REF!&lt;&gt;"",#REF!,"")</f>
        <v/>
      </c>
      <c r="S20" s="63">
        <f>IF(#REF!&lt;&gt;"",#REF!,"")</f>
        <v/>
      </c>
      <c r="T20" s="63">
        <f>IF(#REF!&lt;&gt;"",#REF!,"")</f>
        <v/>
      </c>
      <c r="U20" s="63">
        <f>IF(#REF!&lt;&gt;"",#REF!,"")</f>
        <v/>
      </c>
      <c r="V20" s="63">
        <f>IF(#REF!&lt;&gt;"",#REF!,"")</f>
        <v/>
      </c>
      <c r="W20" s="82">
        <f>IF(#REF!&lt;&gt;"",#REF!,"")</f>
        <v/>
      </c>
      <c r="X20" s="671" t="n"/>
      <c r="Y20" s="671" t="n"/>
      <c r="Z20" s="671" t="n"/>
      <c r="AA20" s="671" t="n"/>
    </row>
    <row r="21" customFormat="1" s="53" thickBot="1">
      <c r="A21" s="673" t="n"/>
      <c r="C21" s="426">
        <f>IF(#REF!&lt;&gt;"",#REF!,"")</f>
        <v/>
      </c>
      <c r="D21" s="407" t="inlineStr">
        <is>
          <t>Vinayak P</t>
        </is>
      </c>
      <c r="E21" s="427">
        <f>IF(#REF!&lt;&gt;"",#REF!,"")</f>
        <v/>
      </c>
      <c r="F21" s="448">
        <f>IF(#REF!&lt;&gt;"",#REF!,"")</f>
        <v/>
      </c>
      <c r="G21" s="448">
        <f>IF(#REF!&lt;&gt;"",#REF!,"")</f>
        <v/>
      </c>
      <c r="H21" s="448">
        <f>IF(#REF!&lt;&gt;"",#REF!,"")</f>
        <v/>
      </c>
      <c r="I21" s="427">
        <f>IF(#REF!&lt;&gt;"",#REF!,"")</f>
        <v/>
      </c>
      <c r="J21" s="427">
        <f>IF(#REF!&lt;&gt;"",#REF!,"")</f>
        <v/>
      </c>
      <c r="K21" s="550" t="inlineStr">
        <is>
          <t>Target</t>
        </is>
      </c>
      <c r="L21" s="64">
        <f>IF(#REF!&lt;&gt;"",#REF!,"")</f>
        <v/>
      </c>
      <c r="M21" s="64">
        <f>IF(#REF!&lt;&gt;"",#REF!,"")</f>
        <v/>
      </c>
      <c r="N21" s="64">
        <f>IF(#REF!&lt;&gt;"",#REF!,"")</f>
        <v/>
      </c>
      <c r="O21" s="64">
        <f>IF(#REF!&lt;&gt;"",#REF!,"")</f>
        <v/>
      </c>
      <c r="P21" s="64">
        <f>IF(#REF!&lt;&gt;"",#REF!,"")</f>
        <v/>
      </c>
      <c r="Q21" s="64">
        <f>IF(#REF!&lt;&gt;"",#REF!,"")</f>
        <v/>
      </c>
      <c r="R21" s="64">
        <f>IF(#REF!&lt;&gt;"",#REF!,"")</f>
        <v/>
      </c>
      <c r="S21" s="64">
        <f>IF(#REF!&lt;&gt;"",#REF!,"")</f>
        <v/>
      </c>
      <c r="T21" s="64">
        <f>IF(#REF!&lt;&gt;"",#REF!,"")</f>
        <v/>
      </c>
      <c r="U21" s="64">
        <f>IF(#REF!&lt;&gt;"",#REF!,"")</f>
        <v/>
      </c>
      <c r="V21" s="64">
        <f>IF(#REF!&lt;&gt;"",#REF!,"")</f>
        <v/>
      </c>
      <c r="W21" s="81">
        <f>IF(#REF!&lt;&gt;"",#REF!,"")</f>
        <v/>
      </c>
      <c r="X21" s="424" t="n"/>
      <c r="Y21" s="424" t="n"/>
      <c r="Z21" s="424" t="n"/>
      <c r="AA21" s="424" t="n"/>
    </row>
    <row r="22" customFormat="1" s="53" thickBot="1">
      <c r="A22" s="673" t="n"/>
      <c r="C22" s="671" t="n"/>
      <c r="D22" s="671" t="n"/>
      <c r="E22" s="671" t="n"/>
      <c r="F22" s="671" t="n"/>
      <c r="G22" s="671" t="n"/>
      <c r="H22" s="671" t="n"/>
      <c r="I22" s="671" t="n"/>
      <c r="J22" s="671" t="n"/>
      <c r="K22" s="550" t="inlineStr">
        <is>
          <t>Actual</t>
        </is>
      </c>
      <c r="L22" s="63">
        <f>IF(#REF!&lt;&gt;"",#REF!,"")</f>
        <v/>
      </c>
      <c r="M22" s="63">
        <f>IF(#REF!&lt;&gt;"",#REF!,"")</f>
        <v/>
      </c>
      <c r="N22" s="63">
        <f>IF(#REF!&lt;&gt;"",#REF!,"")</f>
        <v/>
      </c>
      <c r="O22" s="63">
        <f>IF(#REF!&lt;&gt;"",#REF!,"")</f>
        <v/>
      </c>
      <c r="P22" s="63">
        <f>IF(#REF!&lt;&gt;"",#REF!,"")</f>
        <v/>
      </c>
      <c r="Q22" s="63">
        <f>IF(#REF!&lt;&gt;"",#REF!,"")</f>
        <v/>
      </c>
      <c r="R22" s="63">
        <f>IF(#REF!&lt;&gt;"",#REF!,"")</f>
        <v/>
      </c>
      <c r="S22" s="63">
        <f>IF(#REF!&lt;&gt;"",#REF!,"")</f>
        <v/>
      </c>
      <c r="T22" s="63">
        <f>IF(#REF!&lt;&gt;"",#REF!,"")</f>
        <v/>
      </c>
      <c r="U22" s="63">
        <f>IF(#REF!&lt;&gt;"",#REF!,"")</f>
        <v/>
      </c>
      <c r="V22" s="63">
        <f>IF(#REF!&lt;&gt;"",#REF!,"")</f>
        <v/>
      </c>
      <c r="W22" s="82">
        <f>IF(#REF!&lt;&gt;"",#REF!,"")</f>
        <v/>
      </c>
      <c r="X22" s="671" t="n"/>
      <c r="Y22" s="671" t="n"/>
      <c r="Z22" s="671" t="n"/>
      <c r="AA22" s="671" t="n"/>
    </row>
    <row r="23" customFormat="1" s="53" thickBot="1">
      <c r="A23" s="411" t="inlineStr">
        <is>
          <t>2. Commercial Excellence</t>
        </is>
      </c>
      <c r="B23" s="667" t="n"/>
      <c r="C23" s="427" t="n"/>
      <c r="D23" s="407" t="n"/>
      <c r="E23" s="427" t="n"/>
      <c r="F23" s="448" t="n"/>
      <c r="G23" s="448" t="n"/>
      <c r="H23" s="448" t="n"/>
      <c r="I23" s="427" t="n"/>
      <c r="J23" s="427" t="n"/>
      <c r="K23" s="550" t="n"/>
      <c r="L23" s="64" t="n"/>
      <c r="M23" s="64" t="n"/>
      <c r="N23" s="64" t="n"/>
      <c r="O23" s="64" t="n"/>
      <c r="P23" s="64" t="n"/>
      <c r="Q23" s="64" t="n"/>
      <c r="R23" s="64" t="n"/>
      <c r="S23" s="64" t="n"/>
      <c r="T23" s="64" t="n"/>
      <c r="U23" s="64" t="n"/>
      <c r="V23" s="64" t="n"/>
      <c r="W23" s="64" t="n"/>
      <c r="X23" s="424" t="n"/>
      <c r="Y23" s="424" t="n"/>
      <c r="Z23" s="424" t="n"/>
      <c r="AA23" s="424" t="n"/>
    </row>
    <row r="24" customFormat="1" s="53" thickBot="1">
      <c r="A24" s="673" t="n"/>
      <c r="C24" s="671" t="n"/>
      <c r="D24" s="671" t="n"/>
      <c r="E24" s="671" t="n"/>
      <c r="F24" s="671" t="n"/>
      <c r="G24" s="671" t="n"/>
      <c r="H24" s="671" t="n"/>
      <c r="I24" s="671" t="n"/>
      <c r="J24" s="671" t="n"/>
      <c r="K24" s="550" t="n"/>
      <c r="L24" s="63" t="n"/>
      <c r="M24" s="63" t="n"/>
      <c r="N24" s="63" t="n"/>
      <c r="O24" s="63" t="n"/>
      <c r="P24" s="63" t="n"/>
      <c r="Q24" s="63" t="n"/>
      <c r="R24" s="63" t="n"/>
      <c r="S24" s="63" t="n"/>
      <c r="T24" s="63" t="n"/>
      <c r="U24" s="63" t="n"/>
      <c r="V24" s="63" t="n"/>
      <c r="W24" s="63" t="n"/>
      <c r="X24" s="671" t="n"/>
      <c r="Y24" s="671" t="n"/>
      <c r="Z24" s="671" t="n"/>
      <c r="AA24" s="671" t="n"/>
    </row>
    <row r="25" customFormat="1" s="53" thickBot="1">
      <c r="A25" s="673" t="n"/>
      <c r="C25" s="427" t="n"/>
      <c r="D25" s="407" t="n"/>
      <c r="E25" s="427" t="n"/>
      <c r="F25" s="448" t="n"/>
      <c r="G25" s="448" t="n"/>
      <c r="H25" s="448" t="n"/>
      <c r="I25" s="427" t="n"/>
      <c r="J25" s="427" t="n"/>
      <c r="K25" s="550" t="n"/>
      <c r="L25" s="64" t="n"/>
      <c r="M25" s="64" t="n"/>
      <c r="N25" s="64" t="n"/>
      <c r="O25" s="64" t="n"/>
      <c r="P25" s="64" t="n"/>
      <c r="Q25" s="64" t="n"/>
      <c r="R25" s="64" t="n"/>
      <c r="S25" s="64" t="n"/>
      <c r="T25" s="64" t="n"/>
      <c r="U25" s="64" t="n"/>
      <c r="V25" s="64" t="n"/>
      <c r="W25" s="64" t="n"/>
      <c r="X25" s="424" t="n"/>
      <c r="Y25" s="424" t="n"/>
      <c r="Z25" s="424" t="n"/>
      <c r="AA25" s="424" t="n"/>
    </row>
    <row r="26" customFormat="1" s="53" thickBot="1">
      <c r="A26" s="673" t="n"/>
      <c r="C26" s="671" t="n"/>
      <c r="D26" s="671" t="n"/>
      <c r="E26" s="671" t="n"/>
      <c r="F26" s="671" t="n"/>
      <c r="G26" s="671" t="n"/>
      <c r="H26" s="671" t="n"/>
      <c r="I26" s="671" t="n"/>
      <c r="J26" s="671" t="n"/>
      <c r="K26" s="550" t="n"/>
      <c r="L26" s="63" t="n"/>
      <c r="M26" s="63" t="n"/>
      <c r="N26" s="63" t="n"/>
      <c r="O26" s="63" t="n"/>
      <c r="P26" s="63" t="n"/>
      <c r="Q26" s="63" t="n"/>
      <c r="R26" s="63" t="n"/>
      <c r="S26" s="63" t="n"/>
      <c r="T26" s="63" t="n"/>
      <c r="U26" s="63" t="n"/>
      <c r="V26" s="63" t="n"/>
      <c r="W26" s="63" t="n"/>
      <c r="X26" s="671" t="n"/>
      <c r="Y26" s="671" t="n"/>
      <c r="Z26" s="671" t="n"/>
      <c r="AA26" s="671" t="n"/>
    </row>
    <row r="27" customFormat="1" s="53" thickBot="1">
      <c r="A27" s="673" t="n"/>
      <c r="C27" s="427" t="n"/>
      <c r="D27" s="407" t="n"/>
      <c r="E27" s="427" t="n"/>
      <c r="F27" s="448" t="n"/>
      <c r="G27" s="448" t="n"/>
      <c r="H27" s="448" t="n"/>
      <c r="I27" s="427" t="n"/>
      <c r="J27" s="427" t="n"/>
      <c r="K27" s="550" t="n"/>
      <c r="L27" s="64" t="n"/>
      <c r="M27" s="64" t="n"/>
      <c r="N27" s="64" t="n"/>
      <c r="O27" s="64" t="n"/>
      <c r="P27" s="64" t="n"/>
      <c r="Q27" s="64" t="n"/>
      <c r="R27" s="64" t="n"/>
      <c r="S27" s="64" t="n"/>
      <c r="T27" s="64" t="n"/>
      <c r="U27" s="64" t="n"/>
      <c r="V27" s="64" t="n"/>
      <c r="W27" s="64" t="n"/>
      <c r="X27" s="424" t="n"/>
      <c r="Y27" s="424" t="n"/>
      <c r="Z27" s="424" t="n"/>
      <c r="AA27" s="424" t="n"/>
    </row>
    <row r="28" customFormat="1" s="53" thickBot="1">
      <c r="A28" s="673" t="n"/>
      <c r="C28" s="671" t="n"/>
      <c r="D28" s="671" t="n"/>
      <c r="E28" s="671" t="n"/>
      <c r="F28" s="671" t="n"/>
      <c r="G28" s="671" t="n"/>
      <c r="H28" s="671" t="n"/>
      <c r="I28" s="671" t="n"/>
      <c r="J28" s="671" t="n"/>
      <c r="K28" s="550" t="n"/>
      <c r="L28" s="63" t="n"/>
      <c r="M28" s="63" t="n"/>
      <c r="N28" s="63" t="n"/>
      <c r="O28" s="63" t="n"/>
      <c r="P28" s="63" t="n"/>
      <c r="Q28" s="63" t="n"/>
      <c r="R28" s="63" t="n"/>
      <c r="S28" s="63" t="n"/>
      <c r="T28" s="63" t="n"/>
      <c r="U28" s="63" t="n"/>
      <c r="V28" s="63" t="n"/>
      <c r="W28" s="63" t="n"/>
      <c r="X28" s="671" t="n"/>
      <c r="Y28" s="671" t="n"/>
      <c r="Z28" s="671" t="n"/>
      <c r="AA28" s="671" t="n"/>
    </row>
    <row r="29" ht="18.6" customFormat="1" customHeight="1" s="53" thickBot="1">
      <c r="A29" s="673" t="n"/>
      <c r="C29" s="427" t="n"/>
      <c r="D29" s="407" t="n"/>
      <c r="E29" s="427" t="n"/>
      <c r="F29" s="448" t="n"/>
      <c r="G29" s="448" t="n"/>
      <c r="H29" s="448" t="n"/>
      <c r="I29" s="427" t="n"/>
      <c r="J29" s="427" t="n"/>
      <c r="K29" s="550" t="n"/>
      <c r="L29" s="55" t="n"/>
      <c r="M29" s="55" t="n"/>
      <c r="N29" s="55" t="n"/>
      <c r="O29" s="55" t="n"/>
      <c r="P29" s="55" t="n"/>
      <c r="Q29" s="55" t="n"/>
      <c r="R29" s="55" t="n"/>
      <c r="S29" s="55" t="n"/>
      <c r="T29" s="55" t="n"/>
      <c r="U29" s="55" t="n"/>
      <c r="V29" s="55" t="n"/>
      <c r="W29" s="83" t="n"/>
      <c r="X29" s="424" t="n"/>
      <c r="Y29" s="424" t="n"/>
      <c r="Z29" s="424" t="n"/>
      <c r="AA29" s="424" t="n"/>
    </row>
    <row r="30" ht="18.6" customFormat="1" customHeight="1" s="53" thickBot="1">
      <c r="A30" s="673" t="n"/>
      <c r="C30" s="671" t="n"/>
      <c r="D30" s="671" t="n"/>
      <c r="E30" s="671" t="n"/>
      <c r="F30" s="671" t="n"/>
      <c r="G30" s="671" t="n"/>
      <c r="H30" s="671" t="n"/>
      <c r="I30" s="671" t="n"/>
      <c r="J30" s="671" t="n"/>
      <c r="K30" s="550" t="n"/>
      <c r="L30" s="56" t="n"/>
      <c r="M30" s="56" t="n"/>
      <c r="N30" s="56" t="n"/>
      <c r="O30" s="56" t="n"/>
      <c r="P30" s="56" t="n"/>
      <c r="Q30" s="56" t="n"/>
      <c r="R30" s="56" t="n"/>
      <c r="S30" s="56" t="n"/>
      <c r="T30" s="56" t="n"/>
      <c r="U30" s="56" t="n"/>
      <c r="V30" s="56" t="n"/>
      <c r="W30" s="84" t="n"/>
      <c r="X30" s="671" t="n"/>
      <c r="Y30" s="671" t="n"/>
      <c r="Z30" s="671" t="n"/>
      <c r="AA30" s="671" t="n"/>
    </row>
    <row r="31" ht="18.6" customFormat="1" customHeight="1" s="53" thickBot="1">
      <c r="A31" s="673" t="n"/>
      <c r="C31" s="427">
        <f>IF('9.NAR '!A8&lt;&gt;"",'9.NAR '!A8,"")</f>
        <v/>
      </c>
      <c r="D31" s="407" t="inlineStr">
        <is>
          <t>Mark L</t>
        </is>
      </c>
      <c r="E31" s="427">
        <f>IF('9.NAR '!B8&lt;&gt;"",'9.NAR '!B8,"")</f>
        <v/>
      </c>
      <c r="F31" s="448">
        <f>IF('9.NAR '!C8&lt;&gt;"",'9.NAR '!C8,"")</f>
        <v/>
      </c>
      <c r="G31" s="448">
        <f>IF('9.NAR '!D8&lt;&gt;"",'9.NAR '!D8,"")</f>
        <v/>
      </c>
      <c r="H31" s="448">
        <f>IF('9.NAR '!E8&lt;&gt;"",'9.NAR '!E8,"")</f>
        <v/>
      </c>
      <c r="I31" s="427">
        <f>IF('9.NAR '!F8&lt;&gt;"",'9.NAR '!F8,"")</f>
        <v/>
      </c>
      <c r="J31" s="427">
        <f>IF('9.NAR '!G8&lt;&gt;"",'9.NAR '!G8,"")</f>
        <v/>
      </c>
      <c r="K31" s="550" t="inlineStr">
        <is>
          <t>Target</t>
        </is>
      </c>
      <c r="L31" s="64">
        <f>IF('9.NAR '!I8&lt;&gt;"",'9.NAR '!I8,"")</f>
        <v/>
      </c>
      <c r="M31" s="64">
        <f>IF('9.NAR '!J8&lt;&gt;"",'9.NAR '!J8,"")</f>
        <v/>
      </c>
      <c r="N31" s="64">
        <f>IF('9.NAR '!K8&lt;&gt;"",'9.NAR '!K8,"")</f>
        <v/>
      </c>
      <c r="O31" s="64">
        <f>IF('9.NAR '!L8&lt;&gt;"",'9.NAR '!L8,"")</f>
        <v/>
      </c>
      <c r="P31" s="64">
        <f>IF('9.NAR '!M8&lt;&gt;"",'9.NAR '!M8,"")</f>
        <v/>
      </c>
      <c r="Q31" s="64">
        <f>IF('9.NAR '!N8&lt;&gt;"",'9.NAR '!N8,"")</f>
        <v/>
      </c>
      <c r="R31" s="64">
        <f>IF('9.NAR '!O8&lt;&gt;"",'9.NAR '!O8,"")</f>
        <v/>
      </c>
      <c r="S31" s="64">
        <f>IF('9.NAR '!P8&lt;&gt;"",'9.NAR '!P8,"")</f>
        <v/>
      </c>
      <c r="T31" s="64">
        <f>IF('9.NAR '!Q8&lt;&gt;"",'9.NAR '!Q8,"")</f>
        <v/>
      </c>
      <c r="U31" s="64">
        <f>IF('9.NAR '!R8&lt;&gt;"",'9.NAR '!R8,"")</f>
        <v/>
      </c>
      <c r="V31" s="64">
        <f>IF('9.NAR '!S8&lt;&gt;"",'9.NAR '!S8,"")</f>
        <v/>
      </c>
      <c r="W31" s="81">
        <f>IF('9.NAR '!T8&lt;&gt;"",'9.NAR '!T8,"")</f>
        <v/>
      </c>
      <c r="X31" s="424" t="n"/>
      <c r="Y31" s="424" t="n"/>
      <c r="Z31" s="424" t="n"/>
      <c r="AA31" s="424" t="n"/>
    </row>
    <row r="32" ht="18.6" customFormat="1" customHeight="1" s="53" thickBot="1">
      <c r="A32" s="673" t="n"/>
      <c r="C32" s="671" t="n"/>
      <c r="D32" s="671" t="n"/>
      <c r="E32" s="671" t="n"/>
      <c r="F32" s="671" t="n"/>
      <c r="G32" s="671" t="n"/>
      <c r="H32" s="671" t="n"/>
      <c r="I32" s="671" t="n"/>
      <c r="J32" s="671" t="n"/>
      <c r="K32" s="550" t="inlineStr">
        <is>
          <t>Actual</t>
        </is>
      </c>
      <c r="L32" s="63">
        <f>IF('9.NAR '!I9&lt;&gt;"",'9.NAR '!I9,"")</f>
        <v/>
      </c>
      <c r="M32" s="63">
        <f>IF('9.NAR '!J9&lt;&gt;"",'9.NAR '!J9,"")</f>
        <v/>
      </c>
      <c r="N32" s="63">
        <f>IF('9.NAR '!K9&lt;&gt;"",'9.NAR '!K9,"")</f>
        <v/>
      </c>
      <c r="O32" s="63">
        <f>IF('9.NAR '!L9&lt;&gt;"",'9.NAR '!L9,"")</f>
        <v/>
      </c>
      <c r="P32" s="63">
        <f>IF('9.NAR '!M9&lt;&gt;"",'9.NAR '!M9,"")</f>
        <v/>
      </c>
      <c r="Q32" s="63">
        <f>IF('9.NAR '!N9&lt;&gt;"",'9.NAR '!N9,"")</f>
        <v/>
      </c>
      <c r="R32" s="63">
        <f>IF('9.NAR '!O9&lt;&gt;"",'9.NAR '!O9,"")</f>
        <v/>
      </c>
      <c r="S32" s="63">
        <f>IF('9.NAR '!P9&lt;&gt;"",'9.NAR '!P9,"")</f>
        <v/>
      </c>
      <c r="T32" s="63">
        <f>IF('9.NAR '!Q9&lt;&gt;"",'9.NAR '!Q9,"")</f>
        <v/>
      </c>
      <c r="U32" s="63">
        <f>IF('9.NAR '!R9&lt;&gt;"",'9.NAR '!R9,"")</f>
        <v/>
      </c>
      <c r="V32" s="63">
        <f>IF('9.NAR '!S9&lt;&gt;"",'9.NAR '!S9,"")</f>
        <v/>
      </c>
      <c r="W32" s="82">
        <f>IF('9.NAR '!T9&lt;&gt;"",'9.NAR '!T9,"")</f>
        <v/>
      </c>
      <c r="X32" s="671" t="n"/>
      <c r="Y32" s="671" t="n"/>
      <c r="Z32" s="671" t="n"/>
      <c r="AA32" s="671" t="n"/>
    </row>
    <row r="33" ht="18.6" customFormat="1" customHeight="1" s="53" thickBot="1">
      <c r="A33" s="673" t="n"/>
      <c r="C33" s="427">
        <f>IF('9.NAR '!A10&lt;&gt;"",'9.NAR '!A10,"")</f>
        <v/>
      </c>
      <c r="D33" s="408" t="inlineStr">
        <is>
          <t>Mark L</t>
        </is>
      </c>
      <c r="E33" s="427">
        <f>IF('9.NAR '!B10&lt;&gt;"",'9.NAR '!B10,"")</f>
        <v/>
      </c>
      <c r="F33" s="448">
        <f>IF('9.NAR '!C10&lt;&gt;"",'9.NAR '!C10,"")</f>
        <v/>
      </c>
      <c r="G33" s="448">
        <f>IF('9.NAR '!D10&lt;&gt;"",'9.NAR '!D10,"")</f>
        <v/>
      </c>
      <c r="H33" s="448">
        <f>IF('9.NAR '!E10&lt;&gt;"",'9.NAR '!E10,"")</f>
        <v/>
      </c>
      <c r="I33" s="427">
        <f>IF('9.NAR '!F10&lt;&gt;"",'9.NAR '!F10,"")</f>
        <v/>
      </c>
      <c r="J33" s="427">
        <f>IF('9.NAR '!G10&lt;&gt;"",'9.NAR '!G10,"")</f>
        <v/>
      </c>
      <c r="K33" s="550" t="inlineStr">
        <is>
          <t>Target</t>
        </is>
      </c>
      <c r="L33" s="64">
        <f>IF('9.NAR '!I10&lt;&gt;"",'9.NAR '!I10,"")</f>
        <v/>
      </c>
      <c r="M33" s="64">
        <f>IF('9.NAR '!J10&lt;&gt;"",'9.NAR '!J10,"")</f>
        <v/>
      </c>
      <c r="N33" s="64">
        <f>IF('9.NAR '!K10&lt;&gt;"",'9.NAR '!K10,"")</f>
        <v/>
      </c>
      <c r="O33" s="64">
        <f>IF('9.NAR '!L10&lt;&gt;"",'9.NAR '!L10,"")</f>
        <v/>
      </c>
      <c r="P33" s="64">
        <f>IF('9.NAR '!M10&lt;&gt;"",'9.NAR '!M10,"")</f>
        <v/>
      </c>
      <c r="Q33" s="64">
        <f>IF('9.NAR '!N10&lt;&gt;"",'9.NAR '!N10,"")</f>
        <v/>
      </c>
      <c r="R33" s="64">
        <f>IF('9.NAR '!O10&lt;&gt;"",'9.NAR '!O10,"")</f>
        <v/>
      </c>
      <c r="S33" s="64">
        <f>IF('9.NAR '!P10&lt;&gt;"",'9.NAR '!P10,"")</f>
        <v/>
      </c>
      <c r="T33" s="64">
        <f>IF('9.NAR '!Q10&lt;&gt;"",'9.NAR '!Q10,"")</f>
        <v/>
      </c>
      <c r="U33" s="64">
        <f>IF('9.NAR '!R10&lt;&gt;"",'9.NAR '!R10,"")</f>
        <v/>
      </c>
      <c r="V33" s="64">
        <f>IF('9.NAR '!S10&lt;&gt;"",'9.NAR '!S10,"")</f>
        <v/>
      </c>
      <c r="W33" s="81">
        <f>IF('9.NAR '!T10&lt;&gt;"",'9.NAR '!T10,"")</f>
        <v/>
      </c>
      <c r="X33" s="424" t="n"/>
      <c r="Y33" s="424" t="n"/>
      <c r="Z33" s="424" t="n"/>
      <c r="AA33" s="424" t="n"/>
    </row>
    <row r="34" ht="18.6" customFormat="1" customHeight="1" s="53" thickBot="1">
      <c r="A34" s="673" t="n"/>
      <c r="C34" s="671" t="n"/>
      <c r="D34" s="674" t="n"/>
      <c r="E34" s="671" t="n"/>
      <c r="F34" s="671" t="n"/>
      <c r="G34" s="671" t="n"/>
      <c r="H34" s="671" t="n"/>
      <c r="I34" s="671" t="n"/>
      <c r="J34" s="671" t="n"/>
      <c r="K34" s="550" t="inlineStr">
        <is>
          <t>Actual</t>
        </is>
      </c>
      <c r="L34" s="63">
        <f>IF('9.NAR '!I11&lt;&gt;"",'9.NAR '!I11,"")</f>
        <v/>
      </c>
      <c r="M34" s="63">
        <f>IF('9.NAR '!J11&lt;&gt;"",'9.NAR '!J11,"")</f>
        <v/>
      </c>
      <c r="N34" s="63">
        <f>IF('9.NAR '!K11&lt;&gt;"",'9.NAR '!K11,"")</f>
        <v/>
      </c>
      <c r="O34" s="63">
        <f>IF('9.NAR '!L11&lt;&gt;"",'9.NAR '!L11,"")</f>
        <v/>
      </c>
      <c r="P34" s="63">
        <f>IF('9.NAR '!M11&lt;&gt;"",'9.NAR '!M11,"")</f>
        <v/>
      </c>
      <c r="Q34" s="63">
        <f>IF('9.NAR '!N11&lt;&gt;"",'9.NAR '!N11,"")</f>
        <v/>
      </c>
      <c r="R34" s="63">
        <f>IF('9.NAR '!O11&lt;&gt;"",'9.NAR '!O11,"")</f>
        <v/>
      </c>
      <c r="S34" s="63">
        <f>IF('9.NAR '!P11&lt;&gt;"",'9.NAR '!P11,"")</f>
        <v/>
      </c>
      <c r="T34" s="63">
        <f>IF('9.NAR '!Q11&lt;&gt;"",'9.NAR '!Q11,"")</f>
        <v/>
      </c>
      <c r="U34" s="63">
        <f>IF('9.NAR '!R11&lt;&gt;"",'9.NAR '!R11,"")</f>
        <v/>
      </c>
      <c r="V34" s="63">
        <f>IF('9.NAR '!S11&lt;&gt;"",'9.NAR '!S11,"")</f>
        <v/>
      </c>
      <c r="W34" s="82">
        <f>IF('9.NAR '!T11&lt;&gt;"",'9.NAR '!T11,"")</f>
        <v/>
      </c>
      <c r="X34" s="671" t="n"/>
      <c r="Y34" s="671" t="n"/>
      <c r="Z34" s="671" t="n"/>
      <c r="AA34" s="671" t="n"/>
    </row>
    <row r="35" customFormat="1" s="53" thickBot="1">
      <c r="A35" s="673" t="n"/>
      <c r="C35" s="427">
        <f>IF('10.EUROPE '!A6&lt;&gt;"",'10.EUROPE '!A6,"")</f>
        <v/>
      </c>
      <c r="D35" s="408" t="inlineStr">
        <is>
          <t>Silvia M</t>
        </is>
      </c>
      <c r="E35" s="427">
        <f>IF('10.EUROPE '!B6&lt;&gt;"",'10.EUROPE '!B6,"")</f>
        <v/>
      </c>
      <c r="F35" s="448">
        <f>IF('10.EUROPE '!C6&lt;&gt;"",'10.EUROPE '!C6,"")</f>
        <v/>
      </c>
      <c r="G35" s="448">
        <f>IF('10.EUROPE '!D6&lt;&gt;"",'10.EUROPE '!D6,"")</f>
        <v/>
      </c>
      <c r="H35" s="448">
        <f>IF('10.EUROPE '!E6&lt;&gt;"",'10.EUROPE '!E6,"")</f>
        <v/>
      </c>
      <c r="I35" s="427">
        <f>IF('10.EUROPE '!F6&lt;&gt;"",'10.EUROPE '!F6,"")</f>
        <v/>
      </c>
      <c r="J35" s="427">
        <f>IF('10.EUROPE '!G6&lt;&gt;"",'10.EUROPE '!G6,"")</f>
        <v/>
      </c>
      <c r="K35" s="550" t="inlineStr">
        <is>
          <t>Target</t>
        </is>
      </c>
      <c r="L35" s="74">
        <f>IF('10.EUROPE '!I6&lt;&gt;"",'10.EUROPE '!I6,"")</f>
        <v/>
      </c>
      <c r="M35" s="74">
        <f>IF('10.EUROPE '!J6&lt;&gt;"",'10.EUROPE '!J6,"")</f>
        <v/>
      </c>
      <c r="N35" s="74">
        <f>IF('10.EUROPE '!K6&lt;&gt;"",'10.EUROPE '!K6,"")</f>
        <v/>
      </c>
      <c r="O35" s="74">
        <f>IF('10.EUROPE '!L6&lt;&gt;"",'10.EUROPE '!L6,"")</f>
        <v/>
      </c>
      <c r="P35" s="74">
        <f>IF('10.EUROPE '!M6&lt;&gt;"",'10.EUROPE '!M6,"")</f>
        <v/>
      </c>
      <c r="Q35" s="74">
        <f>IF('10.EUROPE '!N6&lt;&gt;"",'10.EUROPE '!N6,"")</f>
        <v/>
      </c>
      <c r="R35" s="74">
        <f>IF('10.EUROPE '!O6&lt;&gt;"",'10.EUROPE '!O6,"")</f>
        <v/>
      </c>
      <c r="S35" s="74">
        <f>IF('10.EUROPE '!P6&lt;&gt;"",'10.EUROPE '!P6,"")</f>
        <v/>
      </c>
      <c r="T35" s="74">
        <f>IF('10.EUROPE '!Q6&lt;&gt;"",'10.EUROPE '!Q6,"")</f>
        <v/>
      </c>
      <c r="U35" s="74">
        <f>IF('10.EUROPE '!R6&lt;&gt;"",'10.EUROPE '!R6,"")</f>
        <v/>
      </c>
      <c r="V35" s="74">
        <f>IF('10.EUROPE '!S6&lt;&gt;"",'10.EUROPE '!S6,"")</f>
        <v/>
      </c>
      <c r="W35" s="85">
        <f>IF('10.EUROPE '!T6&lt;&gt;"",'10.EUROPE '!T6,"")</f>
        <v/>
      </c>
      <c r="X35" s="424" t="n"/>
      <c r="Y35" s="424" t="n"/>
      <c r="Z35" s="424" t="n"/>
      <c r="AA35" s="424" t="n"/>
    </row>
    <row r="36" ht="18.6" customFormat="1" customHeight="1" s="53" thickBot="1">
      <c r="A36" s="673" t="n"/>
      <c r="C36" s="671" t="n"/>
      <c r="D36" s="674" t="n"/>
      <c r="E36" s="671" t="n"/>
      <c r="F36" s="671" t="n"/>
      <c r="G36" s="671" t="n"/>
      <c r="H36" s="671" t="n"/>
      <c r="I36" s="671" t="n"/>
      <c r="J36" s="671" t="n"/>
      <c r="K36" s="550" t="inlineStr">
        <is>
          <t>Actual</t>
        </is>
      </c>
      <c r="L36" s="75">
        <f>IF('10.EUROPE '!I7&lt;&gt;"",'10.EUROPE '!I7,"")</f>
        <v/>
      </c>
      <c r="M36" s="75">
        <f>IF('10.EUROPE '!J7&lt;&gt;"",'10.EUROPE '!J7,"")</f>
        <v/>
      </c>
      <c r="N36" s="75">
        <f>IF('10.EUROPE '!K7&lt;&gt;"",'10.EUROPE '!K7,"")</f>
        <v/>
      </c>
      <c r="O36" s="75">
        <f>IF('10.EUROPE '!L7&lt;&gt;"",'10.EUROPE '!L7,"")</f>
        <v/>
      </c>
      <c r="P36" s="75">
        <f>IF('10.EUROPE '!M7&lt;&gt;"",'10.EUROPE '!M7,"")</f>
        <v/>
      </c>
      <c r="Q36" s="75">
        <f>IF('10.EUROPE '!N7&lt;&gt;"",'10.EUROPE '!N7,"")</f>
        <v/>
      </c>
      <c r="R36" s="75">
        <f>IF('10.EUROPE '!O7&lt;&gt;"",'10.EUROPE '!O7,"")</f>
        <v/>
      </c>
      <c r="S36" s="75">
        <f>IF('10.EUROPE '!P7&lt;&gt;"",'10.EUROPE '!P7,"")</f>
        <v/>
      </c>
      <c r="T36" s="75">
        <f>IF('10.EUROPE '!Q7&lt;&gt;"",'10.EUROPE '!Q7,"")</f>
        <v/>
      </c>
      <c r="U36" s="75">
        <f>IF('10.EUROPE '!R7&lt;&gt;"",'10.EUROPE '!R7,"")</f>
        <v/>
      </c>
      <c r="V36" s="75">
        <f>IF('10.EUROPE '!S7&lt;&gt;"",'10.EUROPE '!S7,"")</f>
        <v/>
      </c>
      <c r="W36" s="86">
        <f>IF('10.EUROPE '!T7&lt;&gt;"",'10.EUROPE '!T7,"")</f>
        <v/>
      </c>
      <c r="X36" s="671" t="n"/>
      <c r="Y36" s="671" t="n"/>
      <c r="Z36" s="671" t="n"/>
      <c r="AA36" s="671" t="n"/>
    </row>
    <row r="37" ht="18.6" customFormat="1" customHeight="1" s="53" thickBot="1">
      <c r="A37" s="673" t="n"/>
      <c r="C37" s="427">
        <f>IF('10.EUROPE '!A8&lt;&gt;"",'10.EUROPE '!A8,"")</f>
        <v/>
      </c>
      <c r="D37" s="408" t="inlineStr">
        <is>
          <t>Silvia M</t>
        </is>
      </c>
      <c r="E37" s="427">
        <f>IF('10.EUROPE '!B8&lt;&gt;"",'10.EUROPE '!B8,"")</f>
        <v/>
      </c>
      <c r="F37" s="448">
        <f>IF('10.EUROPE '!C8&lt;&gt;"",'10.EUROPE '!C8,"")</f>
        <v/>
      </c>
      <c r="G37" s="448">
        <f>IF('10.EUROPE '!D8&lt;&gt;"",'10.EUROPE '!D8,"")</f>
        <v/>
      </c>
      <c r="H37" s="448">
        <f>IF('10.EUROPE '!E8&lt;&gt;"",'10.EUROPE '!E8,"")</f>
        <v/>
      </c>
      <c r="I37" s="427">
        <f>IF('10.EUROPE '!F8&lt;&gt;"",'10.EUROPE '!F8,"")</f>
        <v/>
      </c>
      <c r="J37" s="427">
        <f>IF('10.EUROPE '!G8&lt;&gt;"",'10.EUROPE '!G8,"")</f>
        <v/>
      </c>
      <c r="K37" s="550" t="inlineStr">
        <is>
          <t>Target</t>
        </is>
      </c>
      <c r="L37" s="64">
        <f>IF('10.EUROPE '!I8&lt;&gt;"",'10.EUROPE '!I8,"")</f>
        <v/>
      </c>
      <c r="M37" s="64">
        <f>IF('10.EUROPE '!J8&lt;&gt;"",'10.EUROPE '!J8,"")</f>
        <v/>
      </c>
      <c r="N37" s="64">
        <f>IF('10.EUROPE '!K8&lt;&gt;"",'10.EUROPE '!K8,"")</f>
        <v/>
      </c>
      <c r="O37" s="64">
        <f>IF('10.EUROPE '!L8&lt;&gt;"",'10.EUROPE '!L8,"")</f>
        <v/>
      </c>
      <c r="P37" s="64">
        <f>IF('10.EUROPE '!M8&lt;&gt;"",'10.EUROPE '!M8,"")</f>
        <v/>
      </c>
      <c r="Q37" s="64">
        <f>IF('10.EUROPE '!N8&lt;&gt;"",'10.EUROPE '!N8,"")</f>
        <v/>
      </c>
      <c r="R37" s="64">
        <f>IF('10.EUROPE '!O8&lt;&gt;"",'10.EUROPE '!O8,"")</f>
        <v/>
      </c>
      <c r="S37" s="64">
        <f>IF('10.EUROPE '!P8&lt;&gt;"",'10.EUROPE '!P8,"")</f>
        <v/>
      </c>
      <c r="T37" s="64">
        <f>IF('10.EUROPE '!Q8&lt;&gt;"",'10.EUROPE '!Q8,"")</f>
        <v/>
      </c>
      <c r="U37" s="64">
        <f>IF('10.EUROPE '!R8&lt;&gt;"",'10.EUROPE '!R8,"")</f>
        <v/>
      </c>
      <c r="V37" s="64">
        <f>IF('10.EUROPE '!S8&lt;&gt;"",'10.EUROPE '!S8,"")</f>
        <v/>
      </c>
      <c r="W37" s="81">
        <f>IF('10.EUROPE '!T8&lt;&gt;"",'10.EUROPE '!T8,"")</f>
        <v/>
      </c>
      <c r="X37" s="424" t="n"/>
      <c r="Y37" s="424" t="n"/>
      <c r="Z37" s="424" t="n"/>
      <c r="AA37" s="424" t="n"/>
    </row>
    <row r="38" ht="18.6" customFormat="1" customHeight="1" s="53" thickBot="1">
      <c r="A38" s="673" t="n"/>
      <c r="C38" s="671" t="n"/>
      <c r="D38" s="674" t="n"/>
      <c r="E38" s="671" t="n"/>
      <c r="F38" s="671" t="n"/>
      <c r="G38" s="671" t="n"/>
      <c r="H38" s="671" t="n"/>
      <c r="I38" s="671" t="n"/>
      <c r="J38" s="671" t="n"/>
      <c r="K38" s="550" t="inlineStr">
        <is>
          <t>Actual</t>
        </is>
      </c>
      <c r="L38" s="63">
        <f>IF('10.EUROPE '!I9&lt;&gt;"",'10.EUROPE '!I9,"")</f>
        <v/>
      </c>
      <c r="M38" s="63">
        <f>IF('10.EUROPE '!J9&lt;&gt;"",'10.EUROPE '!J9,"")</f>
        <v/>
      </c>
      <c r="N38" s="63">
        <f>IF('10.EUROPE '!K9&lt;&gt;"",'10.EUROPE '!K9,"")</f>
        <v/>
      </c>
      <c r="O38" s="63">
        <f>IF('10.EUROPE '!L9&lt;&gt;"",'10.EUROPE '!L9,"")</f>
        <v/>
      </c>
      <c r="P38" s="63">
        <f>IF('10.EUROPE '!M9&lt;&gt;"",'10.EUROPE '!M9,"")</f>
        <v/>
      </c>
      <c r="Q38" s="63">
        <f>IF('10.EUROPE '!N9&lt;&gt;"",'10.EUROPE '!N9,"")</f>
        <v/>
      </c>
      <c r="R38" s="63">
        <f>IF('10.EUROPE '!O9&lt;&gt;"",'10.EUROPE '!O9,"")</f>
        <v/>
      </c>
      <c r="S38" s="63">
        <f>IF('10.EUROPE '!P9&lt;&gt;"",'10.EUROPE '!P9,"")</f>
        <v/>
      </c>
      <c r="T38" s="63">
        <f>IF('10.EUROPE '!Q9&lt;&gt;"",'10.EUROPE '!Q9,"")</f>
        <v/>
      </c>
      <c r="U38" s="63">
        <f>IF('10.EUROPE '!R9&lt;&gt;"",'10.EUROPE '!R9,"")</f>
        <v/>
      </c>
      <c r="V38" s="63">
        <f>IF('10.EUROPE '!S9&lt;&gt;"",'10.EUROPE '!S9,"")</f>
        <v/>
      </c>
      <c r="W38" s="82">
        <f>IF('10.EUROPE '!T9&lt;&gt;"",'10.EUROPE '!T9,"")</f>
        <v/>
      </c>
      <c r="X38" s="671" t="n"/>
      <c r="Y38" s="671" t="n"/>
      <c r="Z38" s="671" t="n"/>
      <c r="AA38" s="671" t="n"/>
    </row>
    <row r="39" ht="18.6" customFormat="1" customHeight="1" s="53" thickBot="1">
      <c r="A39" s="673" t="n"/>
      <c r="C39" s="427">
        <f>IF('10.EUROPE '!A10&lt;&gt;"",'10.EUROPE '!A10,"")</f>
        <v/>
      </c>
      <c r="D39" s="408" t="inlineStr">
        <is>
          <t>Silvia M</t>
        </is>
      </c>
      <c r="E39" s="427">
        <f>IF('10.EUROPE '!B10&lt;&gt;"",'10.EUROPE '!B10,"")</f>
        <v/>
      </c>
      <c r="F39" s="448">
        <f>IF('10.EUROPE '!C10&lt;&gt;"",'10.EUROPE '!C10,"")</f>
        <v/>
      </c>
      <c r="G39" s="448">
        <f>IF('10.EUROPE '!D10&lt;&gt;"",'10.EUROPE '!D10,"")</f>
        <v/>
      </c>
      <c r="H39" s="448">
        <f>IF('10.EUROPE '!E10&lt;&gt;"",'10.EUROPE '!E10,"")</f>
        <v/>
      </c>
      <c r="I39" s="427">
        <f>IF('10.EUROPE '!F10&lt;&gt;"",'10.EUROPE '!F10,"")</f>
        <v/>
      </c>
      <c r="J39" s="427">
        <f>IF('10.EUROPE '!G10&lt;&gt;"",'10.EUROPE '!G10,"")</f>
        <v/>
      </c>
      <c r="K39" s="550" t="inlineStr">
        <is>
          <t>Target</t>
        </is>
      </c>
      <c r="L39" s="64">
        <f>IF('10.EUROPE '!I10&lt;&gt;"",'10.EUROPE '!I10,"")</f>
        <v/>
      </c>
      <c r="M39" s="64">
        <f>IF('10.EUROPE '!J10&lt;&gt;"",'10.EUROPE '!J10,"")</f>
        <v/>
      </c>
      <c r="N39" s="64">
        <f>IF('10.EUROPE '!K10&lt;&gt;"",'10.EUROPE '!K10,"")</f>
        <v/>
      </c>
      <c r="O39" s="64">
        <f>IF('10.EUROPE '!L10&lt;&gt;"",'10.EUROPE '!L10,"")</f>
        <v/>
      </c>
      <c r="P39" s="64">
        <f>IF('10.EUROPE '!M10&lt;&gt;"",'10.EUROPE '!M10,"")</f>
        <v/>
      </c>
      <c r="Q39" s="64">
        <f>IF('10.EUROPE '!N10&lt;&gt;"",'10.EUROPE '!N10,"")</f>
        <v/>
      </c>
      <c r="R39" s="64">
        <f>IF('10.EUROPE '!O10&lt;&gt;"",'10.EUROPE '!O10,"")</f>
        <v/>
      </c>
      <c r="S39" s="64">
        <f>IF('10.EUROPE '!P10&lt;&gt;"",'10.EUROPE '!P10,"")</f>
        <v/>
      </c>
      <c r="T39" s="64">
        <f>IF('10.EUROPE '!Q10&lt;&gt;"",'10.EUROPE '!Q10,"")</f>
        <v/>
      </c>
      <c r="U39" s="64">
        <f>IF('10.EUROPE '!R10&lt;&gt;"",'10.EUROPE '!R10,"")</f>
        <v/>
      </c>
      <c r="V39" s="64">
        <f>IF('10.EUROPE '!S10&lt;&gt;"",'10.EUROPE '!S10,"")</f>
        <v/>
      </c>
      <c r="W39" s="81">
        <f>IF('10.EUROPE '!T10&lt;&gt;"",'10.EUROPE '!T10,"")</f>
        <v/>
      </c>
      <c r="X39" s="424" t="n"/>
      <c r="Y39" s="424" t="n"/>
      <c r="Z39" s="424" t="n"/>
      <c r="AA39" s="424" t="n"/>
    </row>
    <row r="40" ht="18.6" customFormat="1" customHeight="1" s="53" thickBot="1">
      <c r="A40" s="673" t="n"/>
      <c r="C40" s="671" t="n"/>
      <c r="D40" s="674" t="n"/>
      <c r="E40" s="671" t="n"/>
      <c r="F40" s="671" t="n"/>
      <c r="G40" s="671" t="n"/>
      <c r="H40" s="671" t="n"/>
      <c r="I40" s="671" t="n"/>
      <c r="J40" s="671" t="n"/>
      <c r="K40" s="550" t="inlineStr">
        <is>
          <t>Actual</t>
        </is>
      </c>
      <c r="L40" s="63">
        <f>IF('10.EUROPE '!I11&lt;&gt;"",'10.EUROPE '!I11,"")</f>
        <v/>
      </c>
      <c r="M40" s="63">
        <f>IF('10.EUROPE '!J11&lt;&gt;"",'10.EUROPE '!J11,"")</f>
        <v/>
      </c>
      <c r="N40" s="63">
        <f>IF('10.EUROPE '!K11&lt;&gt;"",'10.EUROPE '!K11,"")</f>
        <v/>
      </c>
      <c r="O40" s="63">
        <f>IF('10.EUROPE '!L11&lt;&gt;"",'10.EUROPE '!L11,"")</f>
        <v/>
      </c>
      <c r="P40" s="63">
        <f>IF('10.EUROPE '!M11&lt;&gt;"",'10.EUROPE '!M11,"")</f>
        <v/>
      </c>
      <c r="Q40" s="63">
        <f>IF('10.EUROPE '!N11&lt;&gt;"",'10.EUROPE '!N11,"")</f>
        <v/>
      </c>
      <c r="R40" s="63">
        <f>IF('10.EUROPE '!O11&lt;&gt;"",'10.EUROPE '!O11,"")</f>
        <v/>
      </c>
      <c r="S40" s="63">
        <f>IF('10.EUROPE '!P11&lt;&gt;"",'10.EUROPE '!P11,"")</f>
        <v/>
      </c>
      <c r="T40" s="63">
        <f>IF('10.EUROPE '!Q11&lt;&gt;"",'10.EUROPE '!Q11,"")</f>
        <v/>
      </c>
      <c r="U40" s="63">
        <f>IF('10.EUROPE '!R11&lt;&gt;"",'10.EUROPE '!R11,"")</f>
        <v/>
      </c>
      <c r="V40" s="63">
        <f>IF('10.EUROPE '!S11&lt;&gt;"",'10.EUROPE '!S11,"")</f>
        <v/>
      </c>
      <c r="W40" s="82">
        <f>IF('10.EUROPE '!T11&lt;&gt;"",'10.EUROPE '!T11,"")</f>
        <v/>
      </c>
      <c r="X40" s="671" t="n"/>
      <c r="Y40" s="671" t="n"/>
      <c r="Z40" s="671" t="n"/>
      <c r="AA40" s="671" t="n"/>
    </row>
    <row r="41" customFormat="1" s="53" thickBot="1">
      <c r="A41" s="673" t="n"/>
      <c r="C41" s="427">
        <f>IF('11.GROWTH '!A6&lt;&gt;"",'11.GROWTH '!A6,"")</f>
        <v/>
      </c>
      <c r="D41" s="408" t="inlineStr">
        <is>
          <t>Mahmut B</t>
        </is>
      </c>
      <c r="E41" s="427">
        <f>IF('11.GROWTH '!B6&lt;&gt;"",'11.GROWTH '!B6,"")</f>
        <v/>
      </c>
      <c r="F41" s="448">
        <f>IF('11.GROWTH '!C6&lt;&gt;"",'11.GROWTH '!C6,"")</f>
        <v/>
      </c>
      <c r="G41" s="448">
        <f>IF('11.GROWTH '!D6&lt;&gt;"",'11.GROWTH '!D6,"")</f>
        <v/>
      </c>
      <c r="H41" s="448">
        <f>IF('11.GROWTH '!E6&lt;&gt;"",'11.GROWTH '!E6,"")</f>
        <v/>
      </c>
      <c r="I41" s="427">
        <f>IF('11.GROWTH '!F6&lt;&gt;"",'11.GROWTH '!F6,"")</f>
        <v/>
      </c>
      <c r="J41" s="427">
        <f>IF('11.GROWTH '!G6&lt;&gt;"",'11.GROWTH '!G6,"")</f>
        <v/>
      </c>
      <c r="K41" s="550" t="inlineStr">
        <is>
          <t>Target</t>
        </is>
      </c>
      <c r="L41" s="55">
        <f>IF('11.GROWTH '!I6&lt;&gt;"",'11.GROWTH '!I6,"")</f>
        <v/>
      </c>
      <c r="M41" s="55">
        <f>IF('11.GROWTH '!J6&lt;&gt;"",'11.GROWTH '!J6,"")</f>
        <v/>
      </c>
      <c r="N41" s="55">
        <f>IF('11.GROWTH '!K6&lt;&gt;"",'11.GROWTH '!K6,"")</f>
        <v/>
      </c>
      <c r="O41" s="55">
        <f>IF('11.GROWTH '!L6&lt;&gt;"",'11.GROWTH '!L6,"")</f>
        <v/>
      </c>
      <c r="P41" s="55">
        <f>IF('11.GROWTH '!M6&lt;&gt;"",'11.GROWTH '!M6,"")</f>
        <v/>
      </c>
      <c r="Q41" s="55">
        <f>IF('11.GROWTH '!N6&lt;&gt;"",'11.GROWTH '!N6,"")</f>
        <v/>
      </c>
      <c r="R41" s="55">
        <f>IF('11.GROWTH '!O6&lt;&gt;"",'11.GROWTH '!O6,"")</f>
        <v/>
      </c>
      <c r="S41" s="55">
        <f>IF('11.GROWTH '!P6&lt;&gt;"",'11.GROWTH '!P6,"")</f>
        <v/>
      </c>
      <c r="T41" s="55">
        <f>IF('11.GROWTH '!Q6&lt;&gt;"",'11.GROWTH '!Q6,"")</f>
        <v/>
      </c>
      <c r="U41" s="55">
        <f>IF('11.GROWTH '!R6&lt;&gt;"",'11.GROWTH '!R6,"")</f>
        <v/>
      </c>
      <c r="V41" s="55">
        <f>IF('11.GROWTH '!S6&lt;&gt;"",'11.GROWTH '!S6,"")</f>
        <v/>
      </c>
      <c r="W41" s="83">
        <f>IF('11.GROWTH '!T6&lt;&gt;"",'11.GROWTH '!T6,"")</f>
        <v/>
      </c>
      <c r="X41" s="424" t="n"/>
      <c r="Y41" s="424" t="n"/>
      <c r="Z41" s="424" t="n"/>
      <c r="AA41" s="424" t="n"/>
    </row>
    <row r="42" ht="18.6" customFormat="1" customHeight="1" s="53" thickBot="1">
      <c r="A42" s="673" t="n"/>
      <c r="C42" s="671" t="n"/>
      <c r="D42" s="674" t="n"/>
      <c r="E42" s="671" t="n"/>
      <c r="F42" s="671" t="n"/>
      <c r="G42" s="671" t="n"/>
      <c r="H42" s="671" t="n"/>
      <c r="I42" s="671" t="n"/>
      <c r="J42" s="671" t="n"/>
      <c r="K42" s="550" t="inlineStr">
        <is>
          <t>Actual</t>
        </is>
      </c>
      <c r="L42" s="56">
        <f>IF('11.GROWTH '!I7&lt;&gt;"",'11.GROWTH '!I7,"")</f>
        <v/>
      </c>
      <c r="M42" s="56">
        <f>IF('11.GROWTH '!J7&lt;&gt;"",'11.GROWTH '!J7,"")</f>
        <v/>
      </c>
      <c r="N42" s="56">
        <f>IF('11.GROWTH '!K7&lt;&gt;"",'11.GROWTH '!K7,"")</f>
        <v/>
      </c>
      <c r="O42" s="56">
        <f>IF('11.GROWTH '!L7&lt;&gt;"",'11.GROWTH '!L7,"")</f>
        <v/>
      </c>
      <c r="P42" s="56">
        <f>IF('11.GROWTH '!M7&lt;&gt;"",'11.GROWTH '!M7,"")</f>
        <v/>
      </c>
      <c r="Q42" s="56">
        <f>IF('11.GROWTH '!N7&lt;&gt;"",'11.GROWTH '!N7,"")</f>
        <v/>
      </c>
      <c r="R42" s="56">
        <f>IF('11.GROWTH '!O7&lt;&gt;"",'11.GROWTH '!O7,"")</f>
        <v/>
      </c>
      <c r="S42" s="56">
        <f>IF('11.GROWTH '!P7&lt;&gt;"",'11.GROWTH '!P7,"")</f>
        <v/>
      </c>
      <c r="T42" s="56">
        <f>IF('11.GROWTH '!Q7&lt;&gt;"",'11.GROWTH '!Q7,"")</f>
        <v/>
      </c>
      <c r="U42" s="56">
        <f>IF('11.GROWTH '!R7&lt;&gt;"",'11.GROWTH '!R7,"")</f>
        <v/>
      </c>
      <c r="V42" s="56">
        <f>IF('11.GROWTH '!S7&lt;&gt;"",'11.GROWTH '!S7,"")</f>
        <v/>
      </c>
      <c r="W42" s="84">
        <f>IF('11.GROWTH '!T7&lt;&gt;"",'11.GROWTH '!T7,"")</f>
        <v/>
      </c>
      <c r="X42" s="671" t="n"/>
      <c r="Y42" s="671" t="n"/>
      <c r="Z42" s="671" t="n"/>
      <c r="AA42" s="671" t="n"/>
    </row>
    <row r="43" ht="14.85" customFormat="1" customHeight="1" s="53" thickBot="1">
      <c r="A43" s="673" t="n"/>
      <c r="C43" s="427">
        <f>IF('11.GROWTH '!A8&lt;&gt;"",'11.GROWTH '!A8,"")</f>
        <v/>
      </c>
      <c r="D43" s="408" t="inlineStr">
        <is>
          <t>Mahmut B</t>
        </is>
      </c>
      <c r="E43" s="427">
        <f>IF('11.GROWTH '!B8&lt;&gt;"",'11.GROWTH '!B8,"")</f>
        <v/>
      </c>
      <c r="F43" s="448">
        <f>IF('11.GROWTH '!C8&lt;&gt;"",'11.GROWTH '!C8,"")</f>
        <v/>
      </c>
      <c r="G43" s="448">
        <f>IF('11.GROWTH '!D8&lt;&gt;"",'11.GROWTH '!D8,"")</f>
        <v/>
      </c>
      <c r="H43" s="448">
        <f>IF('11.GROWTH '!E8&lt;&gt;"",'11.GROWTH '!E8,"")</f>
        <v/>
      </c>
      <c r="I43" s="427">
        <f>IF('11.GROWTH '!F8&lt;&gt;"",'11.GROWTH '!F8,"")</f>
        <v/>
      </c>
      <c r="J43" s="427">
        <f>IF('11.GROWTH '!G8&lt;&gt;"",'11.GROWTH '!G8,"")</f>
        <v/>
      </c>
      <c r="K43" s="550" t="inlineStr">
        <is>
          <t>Target</t>
        </is>
      </c>
      <c r="L43" s="64">
        <f>IF('11.GROWTH '!I8&lt;&gt;"",'11.GROWTH '!I8,"")</f>
        <v/>
      </c>
      <c r="M43" s="64">
        <f>IF('11.GROWTH '!J8&lt;&gt;"",'11.GROWTH '!J8,"")</f>
        <v/>
      </c>
      <c r="N43" s="64">
        <f>IF('11.GROWTH '!K8&lt;&gt;"",'11.GROWTH '!K8,"")</f>
        <v/>
      </c>
      <c r="O43" s="64">
        <f>IF('11.GROWTH '!L8&lt;&gt;"",'11.GROWTH '!L8,"")</f>
        <v/>
      </c>
      <c r="P43" s="64">
        <f>IF('11.GROWTH '!M8&lt;&gt;"",'11.GROWTH '!M8,"")</f>
        <v/>
      </c>
      <c r="Q43" s="64">
        <f>IF('11.GROWTH '!N8&lt;&gt;"",'11.GROWTH '!N8,"")</f>
        <v/>
      </c>
      <c r="R43" s="64">
        <f>IF('11.GROWTH '!O8&lt;&gt;"",'11.GROWTH '!O8,"")</f>
        <v/>
      </c>
      <c r="S43" s="64">
        <f>IF('11.GROWTH '!P8&lt;&gt;"",'11.GROWTH '!P8,"")</f>
        <v/>
      </c>
      <c r="T43" s="64">
        <f>IF('11.GROWTH '!Q8&lt;&gt;"",'11.GROWTH '!Q8,"")</f>
        <v/>
      </c>
      <c r="U43" s="64">
        <f>IF('11.GROWTH '!R8&lt;&gt;"",'11.GROWTH '!R8,"")</f>
        <v/>
      </c>
      <c r="V43" s="64">
        <f>IF('11.GROWTH '!S8&lt;&gt;"",'11.GROWTH '!S8,"")</f>
        <v/>
      </c>
      <c r="W43" s="81">
        <f>IF('11.GROWTH '!T8&lt;&gt;"",'11.GROWTH '!T8,"")</f>
        <v/>
      </c>
      <c r="X43" s="424" t="n"/>
      <c r="Y43" s="424" t="n"/>
      <c r="Z43" s="424" t="n"/>
      <c r="AA43" s="424" t="n"/>
    </row>
    <row r="44" ht="14.85" customFormat="1" customHeight="1" s="53" thickBot="1">
      <c r="A44" s="673" t="n"/>
      <c r="C44" s="671" t="n"/>
      <c r="D44" s="674" t="n"/>
      <c r="E44" s="671" t="n"/>
      <c r="F44" s="671" t="n"/>
      <c r="G44" s="671" t="n"/>
      <c r="H44" s="671" t="n"/>
      <c r="I44" s="671" t="n"/>
      <c r="J44" s="671" t="n"/>
      <c r="K44" s="550" t="inlineStr">
        <is>
          <t>Actual</t>
        </is>
      </c>
      <c r="L44" s="63">
        <f>IF('11.GROWTH '!I9&lt;&gt;"",'11.GROWTH '!I9,"")</f>
        <v/>
      </c>
      <c r="M44" s="63">
        <f>IF('11.GROWTH '!J9&lt;&gt;"",'11.GROWTH '!J9,"")</f>
        <v/>
      </c>
      <c r="N44" s="63">
        <f>IF('11.GROWTH '!K9&lt;&gt;"",'11.GROWTH '!K9,"")</f>
        <v/>
      </c>
      <c r="O44" s="63">
        <f>IF('11.GROWTH '!L9&lt;&gt;"",'11.GROWTH '!L9,"")</f>
        <v/>
      </c>
      <c r="P44" s="63">
        <f>IF('11.GROWTH '!M9&lt;&gt;"",'11.GROWTH '!M9,"")</f>
        <v/>
      </c>
      <c r="Q44" s="63">
        <f>IF('11.GROWTH '!N9&lt;&gt;"",'11.GROWTH '!N9,"")</f>
        <v/>
      </c>
      <c r="R44" s="63">
        <f>IF('11.GROWTH '!O9&lt;&gt;"",'11.GROWTH '!O9,"")</f>
        <v/>
      </c>
      <c r="S44" s="63">
        <f>IF('11.GROWTH '!P9&lt;&gt;"",'11.GROWTH '!P9,"")</f>
        <v/>
      </c>
      <c r="T44" s="63">
        <f>IF('11.GROWTH '!Q9&lt;&gt;"",'11.GROWTH '!Q9,"")</f>
        <v/>
      </c>
      <c r="U44" s="63">
        <f>IF('11.GROWTH '!R9&lt;&gt;"",'11.GROWTH '!R9,"")</f>
        <v/>
      </c>
      <c r="V44" s="63">
        <f>IF('11.GROWTH '!S9&lt;&gt;"",'11.GROWTH '!S9,"")</f>
        <v/>
      </c>
      <c r="W44" s="82">
        <f>IF('11.GROWTH '!T9&lt;&gt;"",'11.GROWTH '!T9,"")</f>
        <v/>
      </c>
      <c r="X44" s="671" t="n"/>
      <c r="Y44" s="671" t="n"/>
      <c r="Z44" s="671" t="n"/>
      <c r="AA44" s="671" t="n"/>
    </row>
    <row r="45" ht="14.85" customFormat="1" customHeight="1" s="53" thickBot="1">
      <c r="A45" s="673" t="n"/>
      <c r="C45" s="427">
        <f>IF('11.GROWTH '!A10&lt;&gt;"",'11.GROWTH '!A10,"")</f>
        <v/>
      </c>
      <c r="D45" s="408" t="inlineStr">
        <is>
          <t>Mahmut B</t>
        </is>
      </c>
      <c r="E45" s="427">
        <f>IF('11.GROWTH '!B10&lt;&gt;"",'11.GROWTH '!B10,"")</f>
        <v/>
      </c>
      <c r="F45" s="448">
        <f>IF('11.GROWTH '!C10&lt;&gt;"",'11.GROWTH '!C10,"")</f>
        <v/>
      </c>
      <c r="G45" s="448">
        <f>IF('11.GROWTH '!D10&lt;&gt;"",'11.GROWTH '!D10,"")</f>
        <v/>
      </c>
      <c r="H45" s="448">
        <f>IF('11.GROWTH '!E10&lt;&gt;"",'11.GROWTH '!E10,"")</f>
        <v/>
      </c>
      <c r="I45" s="427">
        <f>IF('11.GROWTH '!F10&lt;&gt;"",'11.GROWTH '!F10,"")</f>
        <v/>
      </c>
      <c r="J45" s="427">
        <f>IF('11.GROWTH '!G10&lt;&gt;"",'11.GROWTH '!G10,"")</f>
        <v/>
      </c>
      <c r="K45" s="550" t="inlineStr">
        <is>
          <t>Target</t>
        </is>
      </c>
      <c r="L45" s="55">
        <f>IF('11.GROWTH '!I10&lt;&gt;"",'11.GROWTH '!I10,"")</f>
        <v/>
      </c>
      <c r="M45" s="55">
        <f>IF('11.GROWTH '!J10&lt;&gt;"",'11.GROWTH '!J10,"")</f>
        <v/>
      </c>
      <c r="N45" s="55">
        <f>IF('11.GROWTH '!K10&lt;&gt;"",'11.GROWTH '!K10,"")</f>
        <v/>
      </c>
      <c r="O45" s="55">
        <f>IF('11.GROWTH '!L10&lt;&gt;"",'11.GROWTH '!L10,"")</f>
        <v/>
      </c>
      <c r="P45" s="55">
        <f>IF('11.GROWTH '!M10&lt;&gt;"",'11.GROWTH '!M10,"")</f>
        <v/>
      </c>
      <c r="Q45" s="55">
        <f>IF('11.GROWTH '!N10&lt;&gt;"",'11.GROWTH '!N10,"")</f>
        <v/>
      </c>
      <c r="R45" s="55">
        <f>IF('11.GROWTH '!O10&lt;&gt;"",'11.GROWTH '!O10,"")</f>
        <v/>
      </c>
      <c r="S45" s="55">
        <f>IF('11.GROWTH '!P10&lt;&gt;"",'11.GROWTH '!P10,"")</f>
        <v/>
      </c>
      <c r="T45" s="55">
        <f>IF('11.GROWTH '!Q10&lt;&gt;"",'11.GROWTH '!Q10,"")</f>
        <v/>
      </c>
      <c r="U45" s="55">
        <f>IF('11.GROWTH '!R10&lt;&gt;"",'11.GROWTH '!R10,"")</f>
        <v/>
      </c>
      <c r="V45" s="55">
        <f>IF('11.GROWTH '!S10&lt;&gt;"",'11.GROWTH '!S10,"")</f>
        <v/>
      </c>
      <c r="W45" s="83">
        <f>IF('11.GROWTH '!T10&lt;&gt;"",'11.GROWTH '!T10,"")</f>
        <v/>
      </c>
      <c r="X45" s="424" t="n"/>
      <c r="Y45" s="424" t="n"/>
      <c r="Z45" s="424" t="n"/>
      <c r="AA45" s="424" t="n"/>
    </row>
    <row r="46" ht="15" customFormat="1" customHeight="1" s="53" thickBot="1">
      <c r="A46" s="673" t="n"/>
      <c r="C46" s="671" t="n"/>
      <c r="D46" s="674" t="n"/>
      <c r="E46" s="671" t="n"/>
      <c r="F46" s="671" t="n"/>
      <c r="G46" s="671" t="n"/>
      <c r="H46" s="671" t="n"/>
      <c r="I46" s="671" t="n"/>
      <c r="J46" s="671" t="n"/>
      <c r="K46" s="550" t="inlineStr">
        <is>
          <t>Actual</t>
        </is>
      </c>
      <c r="L46" s="56">
        <f>IF('11.GROWTH '!I11&lt;&gt;"",'11.GROWTH '!I11,"")</f>
        <v/>
      </c>
      <c r="M46" s="56">
        <f>IF('11.GROWTH '!J11&lt;&gt;"",'11.GROWTH '!J11,"")</f>
        <v/>
      </c>
      <c r="N46" s="56">
        <f>IF('11.GROWTH '!K11&lt;&gt;"",'11.GROWTH '!K11,"")</f>
        <v/>
      </c>
      <c r="O46" s="56">
        <f>IF('11.GROWTH '!L11&lt;&gt;"",'11.GROWTH '!L11,"")</f>
        <v/>
      </c>
      <c r="P46" s="56">
        <f>IF('11.GROWTH '!M11&lt;&gt;"",'11.GROWTH '!M11,"")</f>
        <v/>
      </c>
      <c r="Q46" s="56">
        <f>IF('11.GROWTH '!N11&lt;&gt;"",'11.GROWTH '!N11,"")</f>
        <v/>
      </c>
      <c r="R46" s="56">
        <f>IF('11.GROWTH '!O11&lt;&gt;"",'11.GROWTH '!O11,"")</f>
        <v/>
      </c>
      <c r="S46" s="56">
        <f>IF('11.GROWTH '!P11&lt;&gt;"",'11.GROWTH '!P11,"")</f>
        <v/>
      </c>
      <c r="T46" s="56">
        <f>IF('11.GROWTH '!Q11&lt;&gt;"",'11.GROWTH '!Q11,"")</f>
        <v/>
      </c>
      <c r="U46" s="56">
        <f>IF('11.GROWTH '!R11&lt;&gt;"",'11.GROWTH '!R11,"")</f>
        <v/>
      </c>
      <c r="V46" s="56">
        <f>IF('11.GROWTH '!S11&lt;&gt;"",'11.GROWTH '!S11,"")</f>
        <v/>
      </c>
      <c r="W46" s="84">
        <f>IF('11.GROWTH '!T11&lt;&gt;"",'11.GROWTH '!T11,"")</f>
        <v/>
      </c>
      <c r="X46" s="671" t="n"/>
      <c r="Y46" s="671" t="n"/>
      <c r="Z46" s="671" t="n"/>
      <c r="AA46" s="671" t="n"/>
    </row>
    <row r="47" ht="18" customFormat="1" customHeight="1" s="53" thickBot="1">
      <c r="A47" s="411" t="inlineStr">
        <is>
          <t>3. Speed up
Innovation</t>
        </is>
      </c>
      <c r="B47" s="667" t="n"/>
      <c r="C47" s="427">
        <f>IF('5.R&amp;D '!A6&lt;&gt;"",'5.R&amp;D '!A6,"")</f>
        <v/>
      </c>
      <c r="D47" s="407" t="inlineStr">
        <is>
          <t>Shailesh A</t>
        </is>
      </c>
      <c r="E47" s="427">
        <f>IF('5.R&amp;D '!B6&lt;&gt;"",'5.R&amp;D '!B6,"")</f>
        <v/>
      </c>
      <c r="F47" s="448">
        <f>IF('5.R&amp;D '!C6&lt;&gt;"",'5.R&amp;D '!C6,"")</f>
        <v/>
      </c>
      <c r="G47" s="448">
        <f>IF('5.R&amp;D '!D6&lt;&gt;"",'5.R&amp;D '!D6,"")</f>
        <v/>
      </c>
      <c r="H47" s="448">
        <f>IF('5.R&amp;D '!E6&lt;&gt;"",'5.R&amp;D '!E6,"")</f>
        <v/>
      </c>
      <c r="I47" s="427">
        <f>IF('5.R&amp;D '!F6&lt;&gt;"",'5.R&amp;D '!F6,"")</f>
        <v/>
      </c>
      <c r="J47" s="427">
        <f>IF('5.R&amp;D '!G6&lt;&gt;"",'5.R&amp;D '!G6,"")</f>
        <v/>
      </c>
      <c r="K47" s="550" t="inlineStr">
        <is>
          <t>Target</t>
        </is>
      </c>
      <c r="L47" s="64">
        <f>IF('5.R&amp;D '!I6&lt;&gt;"",'5.R&amp;D '!I6,"")</f>
        <v/>
      </c>
      <c r="M47" s="64">
        <f>IF('5.R&amp;D '!J6&lt;&gt;"",'5.R&amp;D '!J6,"")</f>
        <v/>
      </c>
      <c r="N47" s="64">
        <f>IF('5.R&amp;D '!K6&lt;&gt;"",'5.R&amp;D '!K6,"")</f>
        <v/>
      </c>
      <c r="O47" s="64">
        <f>IF('5.R&amp;D '!L6&lt;&gt;"",'5.R&amp;D '!L6,"")</f>
        <v/>
      </c>
      <c r="P47" s="64">
        <f>IF('5.R&amp;D '!M6&lt;&gt;"",'5.R&amp;D '!M6,"")</f>
        <v/>
      </c>
      <c r="Q47" s="64">
        <f>IF('5.R&amp;D '!N6&lt;&gt;"",'5.R&amp;D '!N6,"")</f>
        <v/>
      </c>
      <c r="R47" s="64">
        <f>IF('5.R&amp;D '!O6&lt;&gt;"",'5.R&amp;D '!O6,"")</f>
        <v/>
      </c>
      <c r="S47" s="64">
        <f>IF('5.R&amp;D '!P6&lt;&gt;"",'5.R&amp;D '!P6,"")</f>
        <v/>
      </c>
      <c r="T47" s="64">
        <f>IF('5.R&amp;D '!Q6&lt;&gt;"",'5.R&amp;D '!Q6,"")</f>
        <v/>
      </c>
      <c r="U47" s="64">
        <f>IF('5.R&amp;D '!R6&lt;&gt;"",'5.R&amp;D '!R6,"")</f>
        <v/>
      </c>
      <c r="V47" s="64">
        <f>IF('5.R&amp;D '!S6&lt;&gt;"",'5.R&amp;D '!S6,"")</f>
        <v/>
      </c>
      <c r="W47" s="81">
        <f>IF('5.R&amp;D '!T6&lt;&gt;"",'5.R&amp;D '!T6,"")</f>
        <v/>
      </c>
      <c r="X47" s="424" t="n"/>
      <c r="Y47" s="424" t="n"/>
      <c r="Z47" s="424" t="n"/>
      <c r="AA47" s="424" t="n"/>
    </row>
    <row r="48" ht="18" customFormat="1" customHeight="1" s="53" thickBot="1">
      <c r="A48" s="673" t="n"/>
      <c r="C48" s="671" t="n"/>
      <c r="D48" s="671" t="n"/>
      <c r="E48" s="671" t="n"/>
      <c r="F48" s="671" t="n"/>
      <c r="G48" s="671" t="n"/>
      <c r="H48" s="671" t="n"/>
      <c r="I48" s="671" t="n"/>
      <c r="J48" s="671" t="n"/>
      <c r="K48" s="550" t="inlineStr">
        <is>
          <t>Actual</t>
        </is>
      </c>
      <c r="L48" s="63">
        <f>IF('5.R&amp;D '!I7&lt;&gt;"",'5.R&amp;D '!I7,"")</f>
        <v/>
      </c>
      <c r="M48" s="63">
        <f>IF('5.R&amp;D '!J7&lt;&gt;"",'5.R&amp;D '!J7,"")</f>
        <v/>
      </c>
      <c r="N48" s="63">
        <f>IF('5.R&amp;D '!K7&lt;&gt;"",'5.R&amp;D '!K7,"")</f>
        <v/>
      </c>
      <c r="O48" s="63">
        <f>IF('5.R&amp;D '!L7&lt;&gt;"",'5.R&amp;D '!L7,"")</f>
        <v/>
      </c>
      <c r="P48" s="63">
        <f>IF('5.R&amp;D '!M7&lt;&gt;"",'5.R&amp;D '!M7,"")</f>
        <v/>
      </c>
      <c r="Q48" s="63">
        <f>IF('5.R&amp;D '!N7&lt;&gt;"",'5.R&amp;D '!N7,"")</f>
        <v/>
      </c>
      <c r="R48" s="63">
        <f>IF('5.R&amp;D '!O7&lt;&gt;"",'5.R&amp;D '!O7,"")</f>
        <v/>
      </c>
      <c r="S48" s="63">
        <f>IF('5.R&amp;D '!P7&lt;&gt;"",'5.R&amp;D '!P7,"")</f>
        <v/>
      </c>
      <c r="T48" s="63">
        <f>IF('5.R&amp;D '!Q7&lt;&gt;"",'5.R&amp;D '!Q7,"")</f>
        <v/>
      </c>
      <c r="U48" s="63">
        <f>IF('5.R&amp;D '!R7&lt;&gt;"",'5.R&amp;D '!R7,"")</f>
        <v/>
      </c>
      <c r="V48" s="63">
        <f>IF('5.R&amp;D '!S7&lt;&gt;"",'5.R&amp;D '!S7,"")</f>
        <v/>
      </c>
      <c r="W48" s="82">
        <f>IF('5.R&amp;D '!T7&lt;&gt;"",'5.R&amp;D '!T7,"")</f>
        <v/>
      </c>
      <c r="X48" s="671" t="n"/>
      <c r="Y48" s="671" t="n"/>
      <c r="Z48" s="671" t="n"/>
      <c r="AA48" s="671" t="n"/>
    </row>
    <row r="49" ht="18" customFormat="1" customHeight="1" s="53" thickBot="1">
      <c r="A49" s="673" t="n"/>
      <c r="C49" s="427">
        <f>IF('5.R&amp;D '!A8&lt;&gt;"",'5.R&amp;D '!A8,"")</f>
        <v/>
      </c>
      <c r="D49" s="407" t="inlineStr">
        <is>
          <t>Shailesh A</t>
        </is>
      </c>
      <c r="E49" s="427">
        <f>IF('5.R&amp;D '!B8&lt;&gt;"",'5.R&amp;D '!B8,"")</f>
        <v/>
      </c>
      <c r="F49" s="448">
        <f>IF('5.R&amp;D '!C8&lt;&gt;"",'5.R&amp;D '!C8,"")</f>
        <v/>
      </c>
      <c r="G49" s="448">
        <f>IF('5.R&amp;D '!D8&lt;&gt;"",'5.R&amp;D '!D8,"")</f>
        <v/>
      </c>
      <c r="H49" s="448">
        <f>IF('5.R&amp;D '!E8&lt;&gt;"",'5.R&amp;D '!E8,"")</f>
        <v/>
      </c>
      <c r="I49" s="427">
        <f>IF('5.R&amp;D '!F8&lt;&gt;"",'5.R&amp;D '!F8,"")</f>
        <v/>
      </c>
      <c r="J49" s="427">
        <f>IF('5.R&amp;D '!G8&lt;&gt;"",'5.R&amp;D '!G8,"")</f>
        <v/>
      </c>
      <c r="K49" s="550" t="inlineStr">
        <is>
          <t>Target</t>
        </is>
      </c>
      <c r="L49" s="64">
        <f>IF('5.R&amp;D '!I8&lt;&gt;"",'5.R&amp;D '!I8,"")</f>
        <v/>
      </c>
      <c r="M49" s="64">
        <f>IF('5.R&amp;D '!J8&lt;&gt;"",'5.R&amp;D '!J8,"")</f>
        <v/>
      </c>
      <c r="N49" s="64">
        <f>IF('5.R&amp;D '!K8&lt;&gt;"",'5.R&amp;D '!K8,"")</f>
        <v/>
      </c>
      <c r="O49" s="64">
        <f>IF('5.R&amp;D '!L8&lt;&gt;"",'5.R&amp;D '!L8,"")</f>
        <v/>
      </c>
      <c r="P49" s="64">
        <f>IF('5.R&amp;D '!M8&lt;&gt;"",'5.R&amp;D '!M8,"")</f>
        <v/>
      </c>
      <c r="Q49" s="64">
        <f>IF('5.R&amp;D '!N8&lt;&gt;"",'5.R&amp;D '!N8,"")</f>
        <v/>
      </c>
      <c r="R49" s="64">
        <f>IF('5.R&amp;D '!O8&lt;&gt;"",'5.R&amp;D '!O8,"")</f>
        <v/>
      </c>
      <c r="S49" s="64">
        <f>IF('5.R&amp;D '!P8&lt;&gt;"",'5.R&amp;D '!P8,"")</f>
        <v/>
      </c>
      <c r="T49" s="64">
        <f>IF('5.R&amp;D '!Q8&lt;&gt;"",'5.R&amp;D '!Q8,"")</f>
        <v/>
      </c>
      <c r="U49" s="64">
        <f>IF('5.R&amp;D '!R8&lt;&gt;"",'5.R&amp;D '!R8,"")</f>
        <v/>
      </c>
      <c r="V49" s="64">
        <f>IF('5.R&amp;D '!S8&lt;&gt;"",'5.R&amp;D '!S8,"")</f>
        <v/>
      </c>
      <c r="W49" s="81">
        <f>IF('5.R&amp;D '!T8&lt;&gt;"",'5.R&amp;D '!T8,"")</f>
        <v/>
      </c>
      <c r="X49" s="424" t="n"/>
      <c r="Y49" s="424" t="n"/>
      <c r="Z49" s="424" t="n"/>
      <c r="AA49" s="424" t="n"/>
    </row>
    <row r="50" ht="18" customFormat="1" customHeight="1" s="53" thickBot="1">
      <c r="A50" s="673" t="n"/>
      <c r="C50" s="671" t="n"/>
      <c r="D50" s="671" t="n"/>
      <c r="E50" s="671" t="n"/>
      <c r="F50" s="671" t="n"/>
      <c r="G50" s="671" t="n"/>
      <c r="H50" s="671" t="n"/>
      <c r="I50" s="671" t="n"/>
      <c r="J50" s="671" t="n"/>
      <c r="K50" s="550" t="inlineStr">
        <is>
          <t>Actual</t>
        </is>
      </c>
      <c r="L50" s="63">
        <f>IF('5.R&amp;D '!I9&lt;&gt;"",'5.R&amp;D '!I9,"")</f>
        <v/>
      </c>
      <c r="M50" s="63">
        <f>IF('5.R&amp;D '!J9&lt;&gt;"",'5.R&amp;D '!J9,"")</f>
        <v/>
      </c>
      <c r="N50" s="63">
        <f>IF('5.R&amp;D '!K9&lt;&gt;"",'5.R&amp;D '!K9,"")</f>
        <v/>
      </c>
      <c r="O50" s="63">
        <f>IF('5.R&amp;D '!L9&lt;&gt;"",'5.R&amp;D '!L9,"")</f>
        <v/>
      </c>
      <c r="P50" s="63">
        <f>IF('5.R&amp;D '!M9&lt;&gt;"",'5.R&amp;D '!M9,"")</f>
        <v/>
      </c>
      <c r="Q50" s="63">
        <f>IF('5.R&amp;D '!N9&lt;&gt;"",'5.R&amp;D '!N9,"")</f>
        <v/>
      </c>
      <c r="R50" s="63">
        <f>IF('5.R&amp;D '!O9&lt;&gt;"",'5.R&amp;D '!O9,"")</f>
        <v/>
      </c>
      <c r="S50" s="63">
        <f>IF('5.R&amp;D '!P9&lt;&gt;"",'5.R&amp;D '!P9,"")</f>
        <v/>
      </c>
      <c r="T50" s="63">
        <f>IF('5.R&amp;D '!Q9&lt;&gt;"",'5.R&amp;D '!Q9,"")</f>
        <v/>
      </c>
      <c r="U50" s="63">
        <f>IF('5.R&amp;D '!R9&lt;&gt;"",'5.R&amp;D '!R9,"")</f>
        <v/>
      </c>
      <c r="V50" s="63">
        <f>IF('5.R&amp;D '!S9&lt;&gt;"",'5.R&amp;D '!S9,"")</f>
        <v/>
      </c>
      <c r="W50" s="82">
        <f>IF('5.R&amp;D '!T9&lt;&gt;"",'5.R&amp;D '!T9,"")</f>
        <v/>
      </c>
      <c r="X50" s="671" t="n"/>
      <c r="Y50" s="671" t="n"/>
      <c r="Z50" s="671" t="n"/>
      <c r="AA50" s="671" t="n"/>
    </row>
    <row r="51" ht="18" customFormat="1" customHeight="1" s="53" thickBot="1">
      <c r="A51" s="673" t="n"/>
      <c r="C51" s="427">
        <f>IF('5.R&amp;D '!A10&lt;&gt;"",'5.R&amp;D '!A10,"")</f>
        <v/>
      </c>
      <c r="D51" s="407" t="inlineStr">
        <is>
          <t>Intekhab M</t>
        </is>
      </c>
      <c r="E51" s="427">
        <f>IF('5.R&amp;D '!B10&lt;&gt;"",'5.R&amp;D '!B10,"")</f>
        <v/>
      </c>
      <c r="F51" s="448">
        <f>IF('5.R&amp;D '!C10&lt;&gt;"",'5.R&amp;D '!C10,"")</f>
        <v/>
      </c>
      <c r="G51" s="448">
        <f>IF('5.R&amp;D '!D10&lt;&gt;"",'5.R&amp;D '!D10,"")</f>
        <v/>
      </c>
      <c r="H51" s="448">
        <f>IF('5.R&amp;D '!E10&lt;&gt;"",'5.R&amp;D '!E10,"")</f>
        <v/>
      </c>
      <c r="I51" s="427">
        <f>IF('5.R&amp;D '!F10&lt;&gt;"",'5.R&amp;D '!F10,"")</f>
        <v/>
      </c>
      <c r="J51" s="427">
        <f>IF('5.R&amp;D '!G10&lt;&gt;"",'5.R&amp;D '!G10,"")</f>
        <v/>
      </c>
      <c r="K51" s="550" t="inlineStr">
        <is>
          <t>Target</t>
        </is>
      </c>
      <c r="L51" s="64">
        <f>IF('5.R&amp;D '!I10&lt;&gt;"",'5.R&amp;D '!I10,"")</f>
        <v/>
      </c>
      <c r="M51" s="64">
        <f>IF('5.R&amp;D '!J10&lt;&gt;"",'5.R&amp;D '!J10,"")</f>
        <v/>
      </c>
      <c r="N51" s="64">
        <f>IF('5.R&amp;D '!K10&lt;&gt;"",'5.R&amp;D '!K10,"")</f>
        <v/>
      </c>
      <c r="O51" s="64">
        <f>IF('5.R&amp;D '!L10&lt;&gt;"",'5.R&amp;D '!L10,"")</f>
        <v/>
      </c>
      <c r="P51" s="64">
        <f>IF('5.R&amp;D '!M10&lt;&gt;"",'5.R&amp;D '!M10,"")</f>
        <v/>
      </c>
      <c r="Q51" s="64">
        <f>IF('5.R&amp;D '!N10&lt;&gt;"",'5.R&amp;D '!N10,"")</f>
        <v/>
      </c>
      <c r="R51" s="64">
        <f>IF('5.R&amp;D '!O10&lt;&gt;"",'5.R&amp;D '!O10,"")</f>
        <v/>
      </c>
      <c r="S51" s="64">
        <f>IF('5.R&amp;D '!P10&lt;&gt;"",'5.R&amp;D '!P10,"")</f>
        <v/>
      </c>
      <c r="T51" s="64">
        <f>IF('5.R&amp;D '!Q10&lt;&gt;"",'5.R&amp;D '!Q10,"")</f>
        <v/>
      </c>
      <c r="U51" s="64">
        <f>IF('5.R&amp;D '!R10&lt;&gt;"",'5.R&amp;D '!R10,"")</f>
        <v/>
      </c>
      <c r="V51" s="64">
        <f>IF('5.R&amp;D '!S10&lt;&gt;"",'5.R&amp;D '!S10,"")</f>
        <v/>
      </c>
      <c r="W51" s="81">
        <f>IF('5.R&amp;D '!T10&lt;&gt;"",'5.R&amp;D '!T10,"")</f>
        <v/>
      </c>
      <c r="X51" s="424" t="n"/>
      <c r="Y51" s="424" t="n"/>
      <c r="Z51" s="424" t="n"/>
      <c r="AA51" s="424" t="n"/>
    </row>
    <row r="52" ht="18" customFormat="1" customHeight="1" s="53" thickBot="1">
      <c r="A52" s="673" t="n"/>
      <c r="C52" s="671" t="n"/>
      <c r="D52" s="671" t="n"/>
      <c r="E52" s="671" t="n"/>
      <c r="F52" s="671" t="n"/>
      <c r="G52" s="671" t="n"/>
      <c r="H52" s="671" t="n"/>
      <c r="I52" s="671" t="n"/>
      <c r="J52" s="671" t="n"/>
      <c r="K52" s="550" t="inlineStr">
        <is>
          <t>Actual</t>
        </is>
      </c>
      <c r="L52" s="63">
        <f>IF('5.R&amp;D '!I11&lt;&gt;"",'5.R&amp;D '!I11,"")</f>
        <v/>
      </c>
      <c r="M52" s="63">
        <f>IF('5.R&amp;D '!J11&lt;&gt;"",'5.R&amp;D '!J11,"")</f>
        <v/>
      </c>
      <c r="N52" s="63">
        <f>IF('5.R&amp;D '!K11&lt;&gt;"",'5.R&amp;D '!K11,"")</f>
        <v/>
      </c>
      <c r="O52" s="63">
        <f>IF('5.R&amp;D '!L11&lt;&gt;"",'5.R&amp;D '!L11,"")</f>
        <v/>
      </c>
      <c r="P52" s="63">
        <f>IF('5.R&amp;D '!M11&lt;&gt;"",'5.R&amp;D '!M11,"")</f>
        <v/>
      </c>
      <c r="Q52" s="63">
        <f>IF('5.R&amp;D '!N11&lt;&gt;"",'5.R&amp;D '!N11,"")</f>
        <v/>
      </c>
      <c r="R52" s="63">
        <f>IF('5.R&amp;D '!O11&lt;&gt;"",'5.R&amp;D '!O11,"")</f>
        <v/>
      </c>
      <c r="S52" s="63">
        <f>IF('5.R&amp;D '!P11&lt;&gt;"",'5.R&amp;D '!P11,"")</f>
        <v/>
      </c>
      <c r="T52" s="63">
        <f>IF('5.R&amp;D '!Q11&lt;&gt;"",'5.R&amp;D '!Q11,"")</f>
        <v/>
      </c>
      <c r="U52" s="63">
        <f>IF('5.R&amp;D '!R11&lt;&gt;"",'5.R&amp;D '!R11,"")</f>
        <v/>
      </c>
      <c r="V52" s="63">
        <f>IF('5.R&amp;D '!S11&lt;&gt;"",'5.R&amp;D '!S11,"")</f>
        <v/>
      </c>
      <c r="W52" s="82">
        <f>IF('5.R&amp;D '!T11&lt;&gt;"",'5.R&amp;D '!T11,"")</f>
        <v/>
      </c>
      <c r="X52" s="671" t="n"/>
      <c r="Y52" s="671" t="n"/>
      <c r="Z52" s="671" t="n"/>
      <c r="AA52" s="671" t="n"/>
    </row>
    <row r="53" ht="17.85" customFormat="1" customHeight="1" s="53" thickBot="1">
      <c r="A53" s="673" t="n"/>
      <c r="C53" s="446">
        <f>IF(#REF!&lt;&gt;"",#REF!,"")</f>
        <v/>
      </c>
      <c r="D53" s="407" t="inlineStr">
        <is>
          <t>Intekhab M</t>
        </is>
      </c>
      <c r="E53" s="427">
        <f>IF(#REF!&lt;&gt;"",#REF!,"")</f>
        <v/>
      </c>
      <c r="F53" s="448">
        <f>IF(#REF!&lt;&gt;"",#REF!,"")</f>
        <v/>
      </c>
      <c r="G53" s="448">
        <f>IF(#REF!&lt;&gt;"",#REF!,"")</f>
        <v/>
      </c>
      <c r="H53" s="448">
        <f>IF(#REF!&lt;&gt;"",#REF!,"")</f>
        <v/>
      </c>
      <c r="I53" s="427">
        <f>IF(#REF!&lt;&gt;"",#REF!,"")</f>
        <v/>
      </c>
      <c r="J53" s="427">
        <f>IF(#REF!&lt;&gt;"",#REF!,"")</f>
        <v/>
      </c>
      <c r="K53" s="550" t="inlineStr">
        <is>
          <t>Target</t>
        </is>
      </c>
      <c r="L53" s="55">
        <f>IF(#REF!&lt;&gt;"",#REF!,"")</f>
        <v/>
      </c>
      <c r="M53" s="55">
        <f>IF(#REF!&lt;&gt;"",#REF!,"")</f>
        <v/>
      </c>
      <c r="N53" s="55">
        <f>IF(#REF!&lt;&gt;"",#REF!,"")</f>
        <v/>
      </c>
      <c r="O53" s="55">
        <f>IF(#REF!&lt;&gt;"",#REF!,"")</f>
        <v/>
      </c>
      <c r="P53" s="55">
        <f>IF(#REF!&lt;&gt;"",#REF!,"")</f>
        <v/>
      </c>
      <c r="Q53" s="55">
        <f>IF(#REF!&lt;&gt;"",#REF!,"")</f>
        <v/>
      </c>
      <c r="R53" s="55">
        <f>IF(#REF!&lt;&gt;"",#REF!,"")</f>
        <v/>
      </c>
      <c r="S53" s="55">
        <f>IF(#REF!&lt;&gt;"",#REF!,"")</f>
        <v/>
      </c>
      <c r="T53" s="55">
        <f>IF(#REF!&lt;&gt;"",#REF!,"")</f>
        <v/>
      </c>
      <c r="U53" s="55">
        <f>IF(#REF!&lt;&gt;"",#REF!,"")</f>
        <v/>
      </c>
      <c r="V53" s="55">
        <f>IF(#REF!&lt;&gt;"",#REF!,"")</f>
        <v/>
      </c>
      <c r="W53" s="83">
        <f>IF(#REF!&lt;&gt;"",#REF!,"")</f>
        <v/>
      </c>
      <c r="X53" s="424" t="n"/>
      <c r="Y53" s="424" t="n"/>
      <c r="Z53" s="424" t="n"/>
      <c r="AA53" s="424" t="n"/>
    </row>
    <row r="54" ht="17.85" customFormat="1" customHeight="1" s="53" thickBot="1">
      <c r="A54" s="673" t="n"/>
      <c r="C54" s="671" t="n"/>
      <c r="D54" s="671" t="n"/>
      <c r="E54" s="671" t="n"/>
      <c r="F54" s="671" t="n"/>
      <c r="G54" s="671" t="n"/>
      <c r="H54" s="671" t="n"/>
      <c r="I54" s="671" t="n"/>
      <c r="J54" s="671" t="n"/>
      <c r="K54" s="550" t="inlineStr">
        <is>
          <t>Actual</t>
        </is>
      </c>
      <c r="L54" s="56">
        <f>IF(#REF!&lt;&gt;"",#REF!,"")</f>
        <v/>
      </c>
      <c r="M54" s="56">
        <f>IF(#REF!&lt;&gt;"",#REF!,"")</f>
        <v/>
      </c>
      <c r="N54" s="56">
        <f>IF(#REF!&lt;&gt;"",#REF!,"")</f>
        <v/>
      </c>
      <c r="O54" s="56">
        <f>IF(#REF!&lt;&gt;"",#REF!,"")</f>
        <v/>
      </c>
      <c r="P54" s="56">
        <f>IF(#REF!&lt;&gt;"",#REF!,"")</f>
        <v/>
      </c>
      <c r="Q54" s="56">
        <f>IF(#REF!&lt;&gt;"",#REF!,"")</f>
        <v/>
      </c>
      <c r="R54" s="56">
        <f>IF(#REF!&lt;&gt;"",#REF!,"")</f>
        <v/>
      </c>
      <c r="S54" s="56">
        <f>IF(#REF!&lt;&gt;"",#REF!,"")</f>
        <v/>
      </c>
      <c r="T54" s="56">
        <f>IF(#REF!&lt;&gt;"",#REF!,"")</f>
        <v/>
      </c>
      <c r="U54" s="56">
        <f>IF(#REF!&lt;&gt;"",#REF!,"")</f>
        <v/>
      </c>
      <c r="V54" s="56">
        <f>IF(#REF!&lt;&gt;"",#REF!,"")</f>
        <v/>
      </c>
      <c r="W54" s="84">
        <f>IF(#REF!&lt;&gt;"",#REF!,"")</f>
        <v/>
      </c>
      <c r="X54" s="671" t="n"/>
      <c r="Y54" s="671" t="n"/>
      <c r="Z54" s="671" t="n"/>
      <c r="AA54" s="671" t="n"/>
    </row>
    <row r="55" ht="17.85" customFormat="1" customHeight="1" s="53" thickBot="1">
      <c r="A55" s="673" t="n"/>
      <c r="C55" s="446">
        <f>IF(#REF!&lt;&gt;"",#REF!,"")</f>
        <v/>
      </c>
      <c r="D55" s="407" t="inlineStr">
        <is>
          <t>Intekhab M</t>
        </is>
      </c>
      <c r="E55" s="427">
        <f>IF(#REF!&lt;&gt;"",#REF!,"")</f>
        <v/>
      </c>
      <c r="F55" s="448">
        <f>IF(#REF!&lt;&gt;"",#REF!,"")</f>
        <v/>
      </c>
      <c r="G55" s="448">
        <f>IF(#REF!&lt;&gt;"",#REF!,"")</f>
        <v/>
      </c>
      <c r="H55" s="448">
        <f>IF(#REF!&lt;&gt;"",#REF!,"")</f>
        <v/>
      </c>
      <c r="I55" s="427">
        <f>IF(#REF!&lt;&gt;"",#REF!,"")</f>
        <v/>
      </c>
      <c r="J55" s="427">
        <f>IF(#REF!&lt;&gt;"",#REF!,"")</f>
        <v/>
      </c>
      <c r="K55" s="550" t="inlineStr">
        <is>
          <t>Target</t>
        </is>
      </c>
      <c r="L55" s="64">
        <f>IF(#REF!&lt;&gt;"",#REF!,"")</f>
        <v/>
      </c>
      <c r="M55" s="64">
        <f>IF(#REF!&lt;&gt;"",#REF!,"")</f>
        <v/>
      </c>
      <c r="N55" s="64">
        <f>IF(#REF!&lt;&gt;"",#REF!,"")</f>
        <v/>
      </c>
      <c r="O55" s="64">
        <f>IF(#REF!&lt;&gt;"",#REF!,"")</f>
        <v/>
      </c>
      <c r="P55" s="64">
        <f>IF(#REF!&lt;&gt;"",#REF!,"")</f>
        <v/>
      </c>
      <c r="Q55" s="64">
        <f>IF(#REF!&lt;&gt;"",#REF!,"")</f>
        <v/>
      </c>
      <c r="R55" s="64">
        <f>IF(#REF!&lt;&gt;"",#REF!,"")</f>
        <v/>
      </c>
      <c r="S55" s="64">
        <f>IF(#REF!&lt;&gt;"",#REF!,"")</f>
        <v/>
      </c>
      <c r="T55" s="64">
        <f>IF(#REF!&lt;&gt;"",#REF!,"")</f>
        <v/>
      </c>
      <c r="U55" s="64">
        <f>IF(#REF!&lt;&gt;"",#REF!,"")</f>
        <v/>
      </c>
      <c r="V55" s="64">
        <f>IF(#REF!&lt;&gt;"",#REF!,"")</f>
        <v/>
      </c>
      <c r="W55" s="81">
        <f>IF(#REF!&lt;&gt;"",#REF!,"")</f>
        <v/>
      </c>
      <c r="X55" s="424" t="n"/>
      <c r="Y55" s="424" t="n"/>
      <c r="Z55" s="424" t="n"/>
      <c r="AA55" s="424" t="n"/>
    </row>
    <row r="56" ht="17.85" customFormat="1" customHeight="1" s="53" thickBot="1">
      <c r="A56" s="673" t="n"/>
      <c r="C56" s="671" t="n"/>
      <c r="D56" s="671" t="n"/>
      <c r="E56" s="671" t="n"/>
      <c r="F56" s="671" t="n"/>
      <c r="G56" s="671" t="n"/>
      <c r="H56" s="671" t="n"/>
      <c r="I56" s="671" t="n"/>
      <c r="J56" s="671" t="n"/>
      <c r="K56" s="550" t="inlineStr">
        <is>
          <t>Actual</t>
        </is>
      </c>
      <c r="L56" s="63">
        <f>IF(#REF!&lt;&gt;"",#REF!,"")</f>
        <v/>
      </c>
      <c r="M56" s="63">
        <f>IF(#REF!&lt;&gt;"",#REF!,"")</f>
        <v/>
      </c>
      <c r="N56" s="63">
        <f>IF(#REF!&lt;&gt;"",#REF!,"")</f>
        <v/>
      </c>
      <c r="O56" s="63">
        <f>IF(#REF!&lt;&gt;"",#REF!,"")</f>
        <v/>
      </c>
      <c r="P56" s="63">
        <f>IF(#REF!&lt;&gt;"",#REF!,"")</f>
        <v/>
      </c>
      <c r="Q56" s="63">
        <f>IF(#REF!&lt;&gt;"",#REF!,"")</f>
        <v/>
      </c>
      <c r="R56" s="63">
        <f>IF(#REF!&lt;&gt;"",#REF!,"")</f>
        <v/>
      </c>
      <c r="S56" s="63">
        <f>IF(#REF!&lt;&gt;"",#REF!,"")</f>
        <v/>
      </c>
      <c r="T56" s="63">
        <f>IF(#REF!&lt;&gt;"",#REF!,"")</f>
        <v/>
      </c>
      <c r="U56" s="63">
        <f>IF(#REF!&lt;&gt;"",#REF!,"")</f>
        <v/>
      </c>
      <c r="V56" s="63">
        <f>IF(#REF!&lt;&gt;"",#REF!,"")</f>
        <v/>
      </c>
      <c r="W56" s="82">
        <f>IF(#REF!&lt;&gt;"",#REF!,"")</f>
        <v/>
      </c>
      <c r="X56" s="671" t="n"/>
      <c r="Y56" s="671" t="n"/>
      <c r="Z56" s="671" t="n"/>
      <c r="AA56" s="671" t="n"/>
    </row>
    <row r="57" ht="18" customFormat="1" customHeight="1" s="53" thickBot="1">
      <c r="A57" s="673" t="n"/>
      <c r="C57" s="446">
        <f>IF(#REF!&lt;&gt;"",#REF!,"")</f>
        <v/>
      </c>
      <c r="D57" s="407" t="inlineStr">
        <is>
          <t>Intekhab M</t>
        </is>
      </c>
      <c r="E57" s="427">
        <f>IF(#REF!&lt;&gt;"",#REF!,"")</f>
        <v/>
      </c>
      <c r="F57" s="448">
        <f>IF(#REF!&lt;&gt;"",#REF!,"")</f>
        <v/>
      </c>
      <c r="G57" s="448">
        <f>IF(#REF!&lt;&gt;"",#REF!,"")</f>
        <v/>
      </c>
      <c r="H57" s="448">
        <f>IF(#REF!&lt;&gt;"",#REF!,"")</f>
        <v/>
      </c>
      <c r="I57" s="427">
        <f>IF(#REF!&lt;&gt;"",#REF!,"")</f>
        <v/>
      </c>
      <c r="J57" s="427">
        <f>IF(#REF!&lt;&gt;"",#REF!,"")</f>
        <v/>
      </c>
      <c r="K57" s="550" t="inlineStr">
        <is>
          <t>Target</t>
        </is>
      </c>
      <c r="L57" s="64">
        <f>IF(#REF!&lt;&gt;"",#REF!,"")</f>
        <v/>
      </c>
      <c r="M57" s="64">
        <f>IF(#REF!&lt;&gt;"",#REF!,"")</f>
        <v/>
      </c>
      <c r="N57" s="64">
        <f>IF(#REF!&lt;&gt;"",#REF!,"")</f>
        <v/>
      </c>
      <c r="O57" s="64">
        <f>IF(#REF!&lt;&gt;"",#REF!,"")</f>
        <v/>
      </c>
      <c r="P57" s="64">
        <f>IF(#REF!&lt;&gt;"",#REF!,"")</f>
        <v/>
      </c>
      <c r="Q57" s="64">
        <f>IF(#REF!&lt;&gt;"",#REF!,"")</f>
        <v/>
      </c>
      <c r="R57" s="64">
        <f>IF(#REF!&lt;&gt;"",#REF!,"")</f>
        <v/>
      </c>
      <c r="S57" s="64">
        <f>IF(#REF!&lt;&gt;"",#REF!,"")</f>
        <v/>
      </c>
      <c r="T57" s="64">
        <f>IF(#REF!&lt;&gt;"",#REF!,"")</f>
        <v/>
      </c>
      <c r="U57" s="64">
        <f>IF(#REF!&lt;&gt;"",#REF!,"")</f>
        <v/>
      </c>
      <c r="V57" s="64">
        <f>IF(#REF!&lt;&gt;"",#REF!,"")</f>
        <v/>
      </c>
      <c r="W57" s="81">
        <f>IF(#REF!&lt;&gt;"",#REF!,"")</f>
        <v/>
      </c>
      <c r="X57" s="424" t="n"/>
      <c r="Y57" s="424" t="n"/>
      <c r="Z57" s="424" t="n"/>
      <c r="AA57" s="424" t="n"/>
    </row>
    <row r="58" ht="17.85" customFormat="1" customHeight="1" s="53" thickBot="1">
      <c r="A58" s="673" t="n"/>
      <c r="C58" s="671" t="n"/>
      <c r="D58" s="671" t="n"/>
      <c r="E58" s="671" t="n"/>
      <c r="F58" s="671" t="n"/>
      <c r="G58" s="671" t="n"/>
      <c r="H58" s="671" t="n"/>
      <c r="I58" s="671" t="n"/>
      <c r="J58" s="671" t="n"/>
      <c r="K58" s="550" t="inlineStr">
        <is>
          <t>Actual</t>
        </is>
      </c>
      <c r="L58" s="63">
        <f>IF(#REF!&lt;&gt;"",#REF!,"")</f>
        <v/>
      </c>
      <c r="M58" s="63">
        <f>IF(#REF!&lt;&gt;"",#REF!,"")</f>
        <v/>
      </c>
      <c r="N58" s="63">
        <f>IF(#REF!&lt;&gt;"",#REF!,"")</f>
        <v/>
      </c>
      <c r="O58" s="63">
        <f>IF(#REF!&lt;&gt;"",#REF!,"")</f>
        <v/>
      </c>
      <c r="P58" s="63">
        <f>IF(#REF!&lt;&gt;"",#REF!,"")</f>
        <v/>
      </c>
      <c r="Q58" s="63">
        <f>IF(#REF!&lt;&gt;"",#REF!,"")</f>
        <v/>
      </c>
      <c r="R58" s="63">
        <f>IF(#REF!&lt;&gt;"",#REF!,"")</f>
        <v/>
      </c>
      <c r="S58" s="63">
        <f>IF(#REF!&lt;&gt;"",#REF!,"")</f>
        <v/>
      </c>
      <c r="T58" s="63">
        <f>IF(#REF!&lt;&gt;"",#REF!,"")</f>
        <v/>
      </c>
      <c r="U58" s="63">
        <f>IF(#REF!&lt;&gt;"",#REF!,"")</f>
        <v/>
      </c>
      <c r="V58" s="63">
        <f>IF(#REF!&lt;&gt;"",#REF!,"")</f>
        <v/>
      </c>
      <c r="W58" s="82">
        <f>IF(#REF!&lt;&gt;"",#REF!,"")</f>
        <v/>
      </c>
      <c r="X58" s="671" t="n"/>
      <c r="Y58" s="671" t="n"/>
      <c r="Z58" s="671" t="n"/>
      <c r="AA58" s="671" t="n"/>
    </row>
    <row r="59" ht="14.85" customFormat="1" customHeight="1" s="53">
      <c r="A59" s="411" t="inlineStr">
        <is>
          <t>4. Integrated
Supply Chain</t>
        </is>
      </c>
      <c r="B59" s="667" t="n"/>
      <c r="C59" s="427">
        <f>IF('3.ISC '!A6&lt;&gt;"",'3.ISC '!A6,"")</f>
        <v/>
      </c>
      <c r="D59" s="407" t="inlineStr">
        <is>
          <t>Rupali J</t>
        </is>
      </c>
      <c r="E59" s="427">
        <f>IF('3.ISC '!B6&lt;&gt;"",'3.ISC '!B6,"")</f>
        <v/>
      </c>
      <c r="F59" s="448">
        <f>IF('3.ISC '!C6&lt;&gt;"",'3.ISC '!C6,"")</f>
        <v/>
      </c>
      <c r="G59" s="448">
        <f>IF('3.ISC '!D6&lt;&gt;"",'3.ISC '!D6,"")</f>
        <v/>
      </c>
      <c r="H59" s="448">
        <f>IF('3.ISC '!E6&lt;&gt;"",'3.ISC '!E6,"")</f>
        <v/>
      </c>
      <c r="I59" s="427">
        <f>IF('3.ISC '!F6&lt;&gt;"",'3.ISC '!F6,"")</f>
        <v/>
      </c>
      <c r="J59" s="427">
        <f>IF('3.ISC '!G6&lt;&gt;"",'3.ISC '!G6,"")</f>
        <v/>
      </c>
      <c r="K59" s="550" t="inlineStr">
        <is>
          <t>Target</t>
        </is>
      </c>
      <c r="L59" s="64">
        <f>IF('3.ISC '!I6&lt;&gt;"",'3.ISC '!I6,"")</f>
        <v/>
      </c>
      <c r="M59" s="64">
        <f>IF('3.ISC '!J6&lt;&gt;"",'3.ISC '!J6,"")</f>
        <v/>
      </c>
      <c r="N59" s="64">
        <f>IF('3.ISC '!K6&lt;&gt;"",'3.ISC '!K6,"")</f>
        <v/>
      </c>
      <c r="O59" s="64">
        <f>IF('3.ISC '!L6&lt;&gt;"",'3.ISC '!L6,"")</f>
        <v/>
      </c>
      <c r="P59" s="64">
        <f>IF('3.ISC '!M6&lt;&gt;"",'3.ISC '!M6,"")</f>
        <v/>
      </c>
      <c r="Q59" s="64">
        <f>IF('3.ISC '!N6&lt;&gt;"",'3.ISC '!N6,"")</f>
        <v/>
      </c>
      <c r="R59" s="64">
        <f>IF('3.ISC '!O6&lt;&gt;"",'3.ISC '!O6,"")</f>
        <v/>
      </c>
      <c r="S59" s="64">
        <f>IF('3.ISC '!P6&lt;&gt;"",'3.ISC '!P6,"")</f>
        <v/>
      </c>
      <c r="T59" s="64">
        <f>IF('3.ISC '!Q6&lt;&gt;"",'3.ISC '!Q6,"")</f>
        <v/>
      </c>
      <c r="U59" s="64">
        <f>IF('3.ISC '!R6&lt;&gt;"",'3.ISC '!R6,"")</f>
        <v/>
      </c>
      <c r="V59" s="64">
        <f>IF('3.ISC '!S6&lt;&gt;"",'3.ISC '!S6,"")</f>
        <v/>
      </c>
      <c r="W59" s="81">
        <f>IF('3.ISC '!T6&lt;&gt;"",'3.ISC '!T6,"")</f>
        <v/>
      </c>
      <c r="X59" s="424" t="n"/>
      <c r="Y59" s="424" t="n"/>
      <c r="Z59" s="424" t="n"/>
      <c r="AA59" s="424" t="n"/>
    </row>
    <row r="60" ht="14.85" customFormat="1" customHeight="1" s="53">
      <c r="A60" s="673" t="n"/>
      <c r="C60" s="671" t="n"/>
      <c r="D60" s="671" t="n"/>
      <c r="E60" s="671" t="n"/>
      <c r="F60" s="671" t="n"/>
      <c r="G60" s="671" t="n"/>
      <c r="H60" s="671" t="n"/>
      <c r="I60" s="671" t="n"/>
      <c r="J60" s="671" t="n"/>
      <c r="K60" s="550" t="inlineStr">
        <is>
          <t>Actual</t>
        </is>
      </c>
      <c r="L60" s="63">
        <f>IF('3.ISC '!I7&lt;&gt;"",'3.ISC '!I7,"")</f>
        <v/>
      </c>
      <c r="M60" s="63">
        <f>IF('3.ISC '!J7&lt;&gt;"",'3.ISC '!J7,"")</f>
        <v/>
      </c>
      <c r="N60" s="63">
        <f>IF('3.ISC '!K7&lt;&gt;"",'3.ISC '!K7,"")</f>
        <v/>
      </c>
      <c r="O60" s="63">
        <f>IF('3.ISC '!L7&lt;&gt;"",'3.ISC '!L7,"")</f>
        <v/>
      </c>
      <c r="P60" s="63">
        <f>IF('3.ISC '!M7&lt;&gt;"",'3.ISC '!M7,"")</f>
        <v/>
      </c>
      <c r="Q60" s="63">
        <f>IF('3.ISC '!N7&lt;&gt;"",'3.ISC '!N7,"")</f>
        <v/>
      </c>
      <c r="R60" s="63">
        <f>IF('3.ISC '!O7&lt;&gt;"",'3.ISC '!O7,"")</f>
        <v/>
      </c>
      <c r="S60" s="63">
        <f>IF('3.ISC '!P7&lt;&gt;"",'3.ISC '!P7,"")</f>
        <v/>
      </c>
      <c r="T60" s="63">
        <f>IF('3.ISC '!Q7&lt;&gt;"",'3.ISC '!Q7,"")</f>
        <v/>
      </c>
      <c r="U60" s="63">
        <f>IF('3.ISC '!R7&lt;&gt;"",'3.ISC '!R7,"")</f>
        <v/>
      </c>
      <c r="V60" s="63">
        <f>IF('3.ISC '!S7&lt;&gt;"",'3.ISC '!S7,"")</f>
        <v/>
      </c>
      <c r="W60" s="82">
        <f>IF('3.ISC '!T7&lt;&gt;"",'3.ISC '!T7,"")</f>
        <v/>
      </c>
      <c r="X60" s="671" t="n"/>
      <c r="Y60" s="671" t="n"/>
      <c r="Z60" s="671" t="n"/>
      <c r="AA60" s="671" t="n"/>
    </row>
    <row r="61" ht="14.85" customFormat="1" customHeight="1" s="53">
      <c r="A61" s="673" t="n"/>
      <c r="C61" s="427">
        <f>IF('3.ISC '!A8&lt;&gt;"",'3.ISC '!A8,"")</f>
        <v/>
      </c>
      <c r="D61" s="407" t="inlineStr">
        <is>
          <t>Rupali J</t>
        </is>
      </c>
      <c r="E61" s="427">
        <f>IF('3.ISC '!B8&lt;&gt;"",'3.ISC '!B8,"")</f>
        <v/>
      </c>
      <c r="F61" s="448">
        <f>IF('3.ISC '!C8&lt;&gt;"",'3.ISC '!C8,"")</f>
        <v/>
      </c>
      <c r="G61" s="448">
        <f>IF('3.ISC '!D8&lt;&gt;"",'3.ISC '!D8,"")</f>
        <v/>
      </c>
      <c r="H61" s="448">
        <f>IF('3.ISC '!E8&lt;&gt;"",'3.ISC '!E8,"")</f>
        <v/>
      </c>
      <c r="I61" s="427">
        <f>IF('3.ISC '!F8&lt;&gt;"",'3.ISC '!F8,"")</f>
        <v/>
      </c>
      <c r="J61" s="427">
        <f>IF('3.ISC '!G8&lt;&gt;"",'3.ISC '!G8,"")</f>
        <v/>
      </c>
      <c r="K61" s="550" t="inlineStr">
        <is>
          <t>Target</t>
        </is>
      </c>
      <c r="L61" s="64">
        <f>IF('3.ISC '!I8&lt;&gt;"",'3.ISC '!I8,"")</f>
        <v/>
      </c>
      <c r="M61" s="64">
        <f>IF('3.ISC '!J8&lt;&gt;"",'3.ISC '!J8,"")</f>
        <v/>
      </c>
      <c r="N61" s="64">
        <f>IF('3.ISC '!K8&lt;&gt;"",'3.ISC '!K8,"")</f>
        <v/>
      </c>
      <c r="O61" s="64">
        <f>IF('3.ISC '!L8&lt;&gt;"",'3.ISC '!L8,"")</f>
        <v/>
      </c>
      <c r="P61" s="64">
        <f>IF('3.ISC '!M8&lt;&gt;"",'3.ISC '!M8,"")</f>
        <v/>
      </c>
      <c r="Q61" s="64">
        <f>IF('3.ISC '!N8&lt;&gt;"",'3.ISC '!N8,"")</f>
        <v/>
      </c>
      <c r="R61" s="64">
        <f>IF('3.ISC '!O8&lt;&gt;"",'3.ISC '!O8,"")</f>
        <v/>
      </c>
      <c r="S61" s="64">
        <f>IF('3.ISC '!P8&lt;&gt;"",'3.ISC '!P8,"")</f>
        <v/>
      </c>
      <c r="T61" s="64">
        <f>IF('3.ISC '!Q8&lt;&gt;"",'3.ISC '!Q8,"")</f>
        <v/>
      </c>
      <c r="U61" s="64">
        <f>IF('3.ISC '!R8&lt;&gt;"",'3.ISC '!R8,"")</f>
        <v/>
      </c>
      <c r="V61" s="64">
        <f>IF('3.ISC '!S8&lt;&gt;"",'3.ISC '!S8,"")</f>
        <v/>
      </c>
      <c r="W61" s="81">
        <f>IF('3.ISC '!T8&lt;&gt;"",'3.ISC '!T8,"")</f>
        <v/>
      </c>
      <c r="X61" s="424" t="n"/>
      <c r="Y61" s="424" t="n"/>
      <c r="Z61" s="424" t="n"/>
      <c r="AA61" s="424" t="n"/>
    </row>
    <row r="62" ht="14.85" customFormat="1" customHeight="1" s="53">
      <c r="A62" s="673" t="n"/>
      <c r="C62" s="671" t="n"/>
      <c r="D62" s="671" t="n"/>
      <c r="E62" s="671" t="n"/>
      <c r="F62" s="671" t="n"/>
      <c r="G62" s="671" t="n"/>
      <c r="H62" s="671" t="n"/>
      <c r="I62" s="671" t="n"/>
      <c r="J62" s="671" t="n"/>
      <c r="K62" s="550" t="inlineStr">
        <is>
          <t>Actual</t>
        </is>
      </c>
      <c r="L62" s="63">
        <f>IF('3.ISC '!I9&lt;&gt;"",'3.ISC '!I9,"")</f>
        <v/>
      </c>
      <c r="M62" s="63">
        <f>IF('3.ISC '!J9&lt;&gt;"",'3.ISC '!J9,"")</f>
        <v/>
      </c>
      <c r="N62" s="63">
        <f>IF('3.ISC '!K9&lt;&gt;"",'3.ISC '!K9,"")</f>
        <v/>
      </c>
      <c r="O62" s="63">
        <f>IF('3.ISC '!L9&lt;&gt;"",'3.ISC '!L9,"")</f>
        <v/>
      </c>
      <c r="P62" s="63">
        <f>IF('3.ISC '!M9&lt;&gt;"",'3.ISC '!M9,"")</f>
        <v/>
      </c>
      <c r="Q62" s="63">
        <f>IF('3.ISC '!N9&lt;&gt;"",'3.ISC '!N9,"")</f>
        <v/>
      </c>
      <c r="R62" s="63">
        <f>IF('3.ISC '!O9&lt;&gt;"",'3.ISC '!O9,"")</f>
        <v/>
      </c>
      <c r="S62" s="63">
        <f>IF('3.ISC '!P9&lt;&gt;"",'3.ISC '!P9,"")</f>
        <v/>
      </c>
      <c r="T62" s="63">
        <f>IF('3.ISC '!Q9&lt;&gt;"",'3.ISC '!Q9,"")</f>
        <v/>
      </c>
      <c r="U62" s="63">
        <f>IF('3.ISC '!R9&lt;&gt;"",'3.ISC '!R9,"")</f>
        <v/>
      </c>
      <c r="V62" s="63">
        <f>IF('3.ISC '!S9&lt;&gt;"",'3.ISC '!S9,"")</f>
        <v/>
      </c>
      <c r="W62" s="82">
        <f>IF('3.ISC '!T9&lt;&gt;"",'3.ISC '!T9,"")</f>
        <v/>
      </c>
      <c r="X62" s="671" t="n"/>
      <c r="Y62" s="671" t="n"/>
      <c r="Z62" s="671" t="n"/>
      <c r="AA62" s="671" t="n"/>
    </row>
    <row r="63" ht="14.85" customFormat="1" customHeight="1" s="53">
      <c r="A63" s="673" t="n"/>
      <c r="C63" s="427">
        <f>IF('3.ISC '!A10&lt;&gt;"",'3.ISC '!A10,"")</f>
        <v/>
      </c>
      <c r="D63" s="407" t="inlineStr">
        <is>
          <t>Rupali J</t>
        </is>
      </c>
      <c r="E63" s="427">
        <f>IF('3.ISC '!B10&lt;&gt;"",'3.ISC '!B10,"")</f>
        <v/>
      </c>
      <c r="F63" s="448">
        <f>IF('3.ISC '!C10&lt;&gt;"",'3.ISC '!C10,"")</f>
        <v/>
      </c>
      <c r="G63" s="448">
        <f>IF('3.ISC '!D10&lt;&gt;"",'3.ISC '!D10,"")</f>
        <v/>
      </c>
      <c r="H63" s="448">
        <f>IF('3.ISC '!E10&lt;&gt;"",'3.ISC '!E10,"")</f>
        <v/>
      </c>
      <c r="I63" s="427">
        <f>IF('3.ISC '!F10&lt;&gt;"",'3.ISC '!F10,"")</f>
        <v/>
      </c>
      <c r="J63" s="427">
        <f>IF('3.ISC '!G10&lt;&gt;"",'3.ISC '!G10,"")</f>
        <v/>
      </c>
      <c r="K63" s="550" t="inlineStr">
        <is>
          <t>Target</t>
        </is>
      </c>
      <c r="L63" s="64">
        <f>IF('3.ISC '!I10&lt;&gt;"",'3.ISC '!I10,"")</f>
        <v/>
      </c>
      <c r="M63" s="64">
        <f>IF('3.ISC '!J10&lt;&gt;"",'3.ISC '!J10,"")</f>
        <v/>
      </c>
      <c r="N63" s="64">
        <f>IF('3.ISC '!K10&lt;&gt;"",'3.ISC '!K10,"")</f>
        <v/>
      </c>
      <c r="O63" s="64">
        <f>IF('3.ISC '!L10&lt;&gt;"",'3.ISC '!L10,"")</f>
        <v/>
      </c>
      <c r="P63" s="64">
        <f>IF('3.ISC '!M10&lt;&gt;"",'3.ISC '!M10,"")</f>
        <v/>
      </c>
      <c r="Q63" s="64">
        <f>IF('3.ISC '!N10&lt;&gt;"",'3.ISC '!N10,"")</f>
        <v/>
      </c>
      <c r="R63" s="64">
        <f>IF('3.ISC '!O10&lt;&gt;"",'3.ISC '!O10,"")</f>
        <v/>
      </c>
      <c r="S63" s="64">
        <f>IF('3.ISC '!P10&lt;&gt;"",'3.ISC '!P10,"")</f>
        <v/>
      </c>
      <c r="T63" s="64">
        <f>IF('3.ISC '!Q10&lt;&gt;"",'3.ISC '!Q10,"")</f>
        <v/>
      </c>
      <c r="U63" s="64">
        <f>IF('3.ISC '!R10&lt;&gt;"",'3.ISC '!R10,"")</f>
        <v/>
      </c>
      <c r="V63" s="64">
        <f>IF('3.ISC '!S10&lt;&gt;"",'3.ISC '!S10,"")</f>
        <v/>
      </c>
      <c r="W63" s="81">
        <f>IF('3.ISC '!T10&lt;&gt;"",'3.ISC '!T10,"")</f>
        <v/>
      </c>
      <c r="X63" s="424" t="n"/>
      <c r="Y63" s="424" t="n"/>
      <c r="Z63" s="424" t="n"/>
      <c r="AA63" s="424" t="n"/>
    </row>
    <row r="64" ht="14.85" customFormat="1" customHeight="1" s="53">
      <c r="A64" s="673" t="n"/>
      <c r="C64" s="671" t="n"/>
      <c r="D64" s="671" t="n"/>
      <c r="E64" s="671" t="n"/>
      <c r="F64" s="671" t="n"/>
      <c r="G64" s="671" t="n"/>
      <c r="H64" s="671" t="n"/>
      <c r="I64" s="671" t="n"/>
      <c r="J64" s="671" t="n"/>
      <c r="K64" s="550" t="inlineStr">
        <is>
          <t>Actual</t>
        </is>
      </c>
      <c r="L64" s="63">
        <f>IF('3.ISC '!I11&lt;&gt;"",'3.ISC '!I11,"")</f>
        <v/>
      </c>
      <c r="M64" s="63">
        <f>IF('3.ISC '!J11&lt;&gt;"",'3.ISC '!J11,"")</f>
        <v/>
      </c>
      <c r="N64" s="63">
        <f>IF('3.ISC '!K11&lt;&gt;"",'3.ISC '!K11,"")</f>
        <v/>
      </c>
      <c r="O64" s="63">
        <f>IF('3.ISC '!L11&lt;&gt;"",'3.ISC '!L11,"")</f>
        <v/>
      </c>
      <c r="P64" s="63">
        <f>IF('3.ISC '!M11&lt;&gt;"",'3.ISC '!M11,"")</f>
        <v/>
      </c>
      <c r="Q64" s="63">
        <f>IF('3.ISC '!N11&lt;&gt;"",'3.ISC '!N11,"")</f>
        <v/>
      </c>
      <c r="R64" s="63">
        <f>IF('3.ISC '!O11&lt;&gt;"",'3.ISC '!O11,"")</f>
        <v/>
      </c>
      <c r="S64" s="63">
        <f>IF('3.ISC '!P11&lt;&gt;"",'3.ISC '!P11,"")</f>
        <v/>
      </c>
      <c r="T64" s="63">
        <f>IF('3.ISC '!Q11&lt;&gt;"",'3.ISC '!Q11,"")</f>
        <v/>
      </c>
      <c r="U64" s="63">
        <f>IF('3.ISC '!R11&lt;&gt;"",'3.ISC '!R11,"")</f>
        <v/>
      </c>
      <c r="V64" s="63">
        <f>IF('3.ISC '!S11&lt;&gt;"",'3.ISC '!S11,"")</f>
        <v/>
      </c>
      <c r="W64" s="82">
        <f>IF('3.ISC '!T11&lt;&gt;"",'3.ISC '!T11,"")</f>
        <v/>
      </c>
      <c r="X64" s="671" t="n"/>
      <c r="Y64" s="671" t="n"/>
      <c r="Z64" s="671" t="n"/>
      <c r="AA64" s="671" t="n"/>
    </row>
    <row r="65" ht="14.45" customFormat="1" customHeight="1" s="53">
      <c r="A65" s="673" t="n"/>
      <c r="C65" s="427">
        <f>IF('4.Procurement'!A6&lt;&gt;"",'4.Procurement'!A6,"")</f>
        <v/>
      </c>
      <c r="D65" s="407" t="inlineStr">
        <is>
          <t>Anand P</t>
        </is>
      </c>
      <c r="E65" s="427">
        <f>IF('4.Procurement'!B6&lt;&gt;"",'4.Procurement'!B6,"")</f>
        <v/>
      </c>
      <c r="F65" s="448">
        <f>IF('4.Procurement'!C6&lt;&gt;"",'4.Procurement'!C6,"")</f>
        <v/>
      </c>
      <c r="G65" s="448">
        <f>IF('4.Procurement'!D6&lt;&gt;"",'4.Procurement'!D6,"")</f>
        <v/>
      </c>
      <c r="H65" s="448">
        <f>IF('4.Procurement'!E6&lt;&gt;"",'4.Procurement'!E6,"")</f>
        <v/>
      </c>
      <c r="I65" s="427">
        <f>IF('4.Procurement'!F6&lt;&gt;"",'4.Procurement'!F6,"")</f>
        <v/>
      </c>
      <c r="J65" s="427">
        <f>IF('4.Procurement'!G6&lt;&gt;"",'4.Procurement'!G6,"")</f>
        <v/>
      </c>
      <c r="K65" s="550" t="inlineStr">
        <is>
          <t>Target</t>
        </is>
      </c>
      <c r="L65" s="64">
        <f>IF('4.Procurement'!I6&lt;&gt;"",'4.Procurement'!I6,"")</f>
        <v/>
      </c>
      <c r="M65" s="64">
        <f>IF('4.Procurement'!J6&lt;&gt;"",'4.Procurement'!J6,"")</f>
        <v/>
      </c>
      <c r="N65" s="64">
        <f>IF('4.Procurement'!K6&lt;&gt;"",'4.Procurement'!K6,"")</f>
        <v/>
      </c>
      <c r="O65" s="64">
        <f>IF('4.Procurement'!L6&lt;&gt;"",'4.Procurement'!L6,"")</f>
        <v/>
      </c>
      <c r="P65" s="64">
        <f>IF('4.Procurement'!M6&lt;&gt;"",'4.Procurement'!M6,"")</f>
        <v/>
      </c>
      <c r="Q65" s="64">
        <f>IF('4.Procurement'!N6&lt;&gt;"",'4.Procurement'!N6,"")</f>
        <v/>
      </c>
      <c r="R65" s="64">
        <f>IF('4.Procurement'!O6&lt;&gt;"",'4.Procurement'!O6,"")</f>
        <v/>
      </c>
      <c r="S65" s="64">
        <f>IF('4.Procurement'!P6&lt;&gt;"",'4.Procurement'!P6,"")</f>
        <v/>
      </c>
      <c r="T65" s="64">
        <f>IF('4.Procurement'!Q6&lt;&gt;"",'4.Procurement'!Q6,"")</f>
        <v/>
      </c>
      <c r="U65" s="64">
        <f>IF('4.Procurement'!R6&lt;&gt;"",'4.Procurement'!R6,"")</f>
        <v/>
      </c>
      <c r="V65" s="64">
        <f>IF('4.Procurement'!S6&lt;&gt;"",'4.Procurement'!S6,"")</f>
        <v/>
      </c>
      <c r="W65" s="81">
        <f>IF('4.Procurement'!T6&lt;&gt;"",'4.Procurement'!T6,"")</f>
        <v/>
      </c>
      <c r="X65" s="424" t="n"/>
      <c r="Y65" s="424" t="n"/>
      <c r="Z65" s="424" t="n"/>
      <c r="AA65" s="424" t="n"/>
    </row>
    <row r="66" ht="14.45" customFormat="1" customHeight="1" s="53">
      <c r="A66" s="673" t="n"/>
      <c r="C66" s="671" t="n"/>
      <c r="D66" s="671" t="n"/>
      <c r="E66" s="671" t="n"/>
      <c r="F66" s="671" t="n"/>
      <c r="G66" s="671" t="n"/>
      <c r="H66" s="671" t="n"/>
      <c r="I66" s="671" t="n"/>
      <c r="J66" s="671" t="n"/>
      <c r="K66" s="550" t="inlineStr">
        <is>
          <t>Actual</t>
        </is>
      </c>
      <c r="L66" s="63">
        <f>IF('4.Procurement'!I7&lt;&gt;"",'4.Procurement'!I7,"")</f>
        <v/>
      </c>
      <c r="M66" s="63">
        <f>IF('4.Procurement'!J7&lt;&gt;"",'4.Procurement'!J7,"")</f>
        <v/>
      </c>
      <c r="N66" s="63">
        <f>IF('4.Procurement'!K7&lt;&gt;"",'4.Procurement'!K7,"")</f>
        <v/>
      </c>
      <c r="O66" s="63">
        <f>IF('4.Procurement'!L7&lt;&gt;"",'4.Procurement'!L7,"")</f>
        <v/>
      </c>
      <c r="P66" s="63">
        <f>IF('4.Procurement'!M7&lt;&gt;"",'4.Procurement'!M7,"")</f>
        <v/>
      </c>
      <c r="Q66" s="63">
        <f>IF('4.Procurement'!N7&lt;&gt;"",'4.Procurement'!N7,"")</f>
        <v/>
      </c>
      <c r="R66" s="63">
        <f>IF('4.Procurement'!O7&lt;&gt;"",'4.Procurement'!O7,"")</f>
        <v/>
      </c>
      <c r="S66" s="63">
        <f>IF('4.Procurement'!P7&lt;&gt;"",'4.Procurement'!P7,"")</f>
        <v/>
      </c>
      <c r="T66" s="63">
        <f>IF('4.Procurement'!Q7&lt;&gt;"",'4.Procurement'!Q7,"")</f>
        <v/>
      </c>
      <c r="U66" s="63">
        <f>IF('4.Procurement'!R7&lt;&gt;"",'4.Procurement'!R7,"")</f>
        <v/>
      </c>
      <c r="V66" s="63">
        <f>IF('4.Procurement'!S7&lt;&gt;"",'4.Procurement'!S7,"")</f>
        <v/>
      </c>
      <c r="W66" s="82">
        <f>IF('4.Procurement'!T7&lt;&gt;"",'4.Procurement'!T7,"")</f>
        <v/>
      </c>
      <c r="X66" s="671" t="n"/>
      <c r="Y66" s="671" t="n"/>
      <c r="Z66" s="671" t="n"/>
      <c r="AA66" s="671" t="n"/>
    </row>
    <row r="67" ht="14.45" customFormat="1" customHeight="1" s="53">
      <c r="A67" s="673" t="n"/>
      <c r="C67" s="427">
        <f>IF('4.Procurement'!A8&lt;&gt;"",'4.Procurement'!A8,"")</f>
        <v/>
      </c>
      <c r="D67" s="407" t="inlineStr">
        <is>
          <t>Anand P</t>
        </is>
      </c>
      <c r="E67" s="427">
        <f>IF('4.Procurement'!B8&lt;&gt;"",'4.Procurement'!B8,"")</f>
        <v/>
      </c>
      <c r="F67" s="448">
        <f>IF('4.Procurement'!C8&lt;&gt;"",'4.Procurement'!C8,"")</f>
        <v/>
      </c>
      <c r="G67" s="448">
        <f>IF('4.Procurement'!D8&lt;&gt;"",'4.Procurement'!D8,"")</f>
        <v/>
      </c>
      <c r="H67" s="448">
        <f>IF('4.Procurement'!E8&lt;&gt;"",'4.Procurement'!E8,"")</f>
        <v/>
      </c>
      <c r="I67" s="427">
        <f>IF('4.Procurement'!F8&lt;&gt;"",'4.Procurement'!F8,"")</f>
        <v/>
      </c>
      <c r="J67" s="427">
        <f>IF('4.Procurement'!G8&lt;&gt;"",'4.Procurement'!G8,"")</f>
        <v/>
      </c>
      <c r="K67" s="550" t="inlineStr">
        <is>
          <t>Target</t>
        </is>
      </c>
      <c r="L67" s="55">
        <f>IF('4.Procurement'!I8&lt;&gt;"",'4.Procurement'!I8,"")</f>
        <v/>
      </c>
      <c r="M67" s="55">
        <f>IF('4.Procurement'!J8&lt;&gt;"",'4.Procurement'!J8,"")</f>
        <v/>
      </c>
      <c r="N67" s="55">
        <f>IF('4.Procurement'!K8&lt;&gt;"",'4.Procurement'!K8,"")</f>
        <v/>
      </c>
      <c r="O67" s="55">
        <f>IF('4.Procurement'!L8&lt;&gt;"",'4.Procurement'!L8,"")</f>
        <v/>
      </c>
      <c r="P67" s="55">
        <f>IF('4.Procurement'!M8&lt;&gt;"",'4.Procurement'!M8,"")</f>
        <v/>
      </c>
      <c r="Q67" s="55">
        <f>IF('4.Procurement'!N8&lt;&gt;"",'4.Procurement'!N8,"")</f>
        <v/>
      </c>
      <c r="R67" s="55">
        <f>IF('4.Procurement'!O8&lt;&gt;"",'4.Procurement'!O8,"")</f>
        <v/>
      </c>
      <c r="S67" s="55">
        <f>IF('4.Procurement'!P8&lt;&gt;"",'4.Procurement'!P8,"")</f>
        <v/>
      </c>
      <c r="T67" s="55">
        <f>IF('4.Procurement'!Q8&lt;&gt;"",'4.Procurement'!Q8,"")</f>
        <v/>
      </c>
      <c r="U67" s="55">
        <f>IF('4.Procurement'!R8&lt;&gt;"",'4.Procurement'!R8,"")</f>
        <v/>
      </c>
      <c r="V67" s="55">
        <f>IF('4.Procurement'!S8&lt;&gt;"",'4.Procurement'!S8,"")</f>
        <v/>
      </c>
      <c r="W67" s="83">
        <f>IF('4.Procurement'!T8&lt;&gt;"",'4.Procurement'!T8,"")</f>
        <v/>
      </c>
      <c r="X67" s="424" t="n"/>
      <c r="Y67" s="424" t="n"/>
      <c r="Z67" s="424" t="n"/>
      <c r="AA67" s="424" t="n"/>
    </row>
    <row r="68" ht="14.45" customFormat="1" customHeight="1" s="53">
      <c r="A68" s="673" t="n"/>
      <c r="C68" s="671" t="n"/>
      <c r="D68" s="671" t="n"/>
      <c r="E68" s="671" t="n"/>
      <c r="F68" s="671" t="n"/>
      <c r="G68" s="671" t="n"/>
      <c r="H68" s="671" t="n"/>
      <c r="I68" s="671" t="n"/>
      <c r="J68" s="671" t="n"/>
      <c r="K68" s="550" t="inlineStr">
        <is>
          <t>Actual</t>
        </is>
      </c>
      <c r="L68" s="56">
        <f>IF('4.Procurement'!I9&lt;&gt;"",'4.Procurement'!I9,"")</f>
        <v/>
      </c>
      <c r="M68" s="56">
        <f>IF('4.Procurement'!J9&lt;&gt;"",'4.Procurement'!J9,"")</f>
        <v/>
      </c>
      <c r="N68" s="56">
        <f>IF('4.Procurement'!K9&lt;&gt;"",'4.Procurement'!K9,"")</f>
        <v/>
      </c>
      <c r="O68" s="56">
        <f>IF('4.Procurement'!L9&lt;&gt;"",'4.Procurement'!L9,"")</f>
        <v/>
      </c>
      <c r="P68" s="56">
        <f>IF('4.Procurement'!M9&lt;&gt;"",'4.Procurement'!M9,"")</f>
        <v/>
      </c>
      <c r="Q68" s="56">
        <f>IF('4.Procurement'!N9&lt;&gt;"",'4.Procurement'!N9,"")</f>
        <v/>
      </c>
      <c r="R68" s="56">
        <f>IF('4.Procurement'!O9&lt;&gt;"",'4.Procurement'!O9,"")</f>
        <v/>
      </c>
      <c r="S68" s="56">
        <f>IF('4.Procurement'!P9&lt;&gt;"",'4.Procurement'!P9,"")</f>
        <v/>
      </c>
      <c r="T68" s="56">
        <f>IF('4.Procurement'!Q9&lt;&gt;"",'4.Procurement'!Q9,"")</f>
        <v/>
      </c>
      <c r="U68" s="56">
        <f>IF('4.Procurement'!R9&lt;&gt;"",'4.Procurement'!R9,"")</f>
        <v/>
      </c>
      <c r="V68" s="56">
        <f>IF('4.Procurement'!S9&lt;&gt;"",'4.Procurement'!S9,"")</f>
        <v/>
      </c>
      <c r="W68" s="84">
        <f>IF('4.Procurement'!T9&lt;&gt;"",'4.Procurement'!T9,"")</f>
        <v/>
      </c>
      <c r="X68" s="671" t="n"/>
      <c r="Y68" s="671" t="n"/>
      <c r="Z68" s="671" t="n"/>
      <c r="AA68" s="671" t="n"/>
    </row>
    <row r="69" ht="14.45" customFormat="1" customHeight="1" s="53">
      <c r="A69" s="673" t="n"/>
      <c r="C69" s="427">
        <f>IF('4.Procurement'!A10&lt;&gt;"",'4.Procurement'!A10,"")</f>
        <v/>
      </c>
      <c r="D69" s="407" t="inlineStr">
        <is>
          <t>Anand P</t>
        </is>
      </c>
      <c r="E69" s="427">
        <f>IF('4.Procurement'!B10&lt;&gt;"",'4.Procurement'!B10,"")</f>
        <v/>
      </c>
      <c r="F69" s="448">
        <f>IF('4.Procurement'!C10&lt;&gt;"",'4.Procurement'!C10,"")</f>
        <v/>
      </c>
      <c r="G69" s="448">
        <f>IF('4.Procurement'!D10&lt;&gt;"",'4.Procurement'!D10,"")</f>
        <v/>
      </c>
      <c r="H69" s="448">
        <f>IF('4.Procurement'!E10&lt;&gt;"",'4.Procurement'!E10,"")</f>
        <v/>
      </c>
      <c r="I69" s="427">
        <f>IF('4.Procurement'!F10&lt;&gt;"",'4.Procurement'!F10,"")</f>
        <v/>
      </c>
      <c r="J69" s="427">
        <f>IF('4.Procurement'!G10&lt;&gt;"",'4.Procurement'!G10,"")</f>
        <v/>
      </c>
      <c r="K69" s="550" t="inlineStr">
        <is>
          <t>Target</t>
        </is>
      </c>
      <c r="L69" s="64">
        <f>IF('4.Procurement'!I10&lt;&gt;"",'4.Procurement'!I10,"")</f>
        <v/>
      </c>
      <c r="M69" s="64">
        <f>IF('4.Procurement'!J10&lt;&gt;"",'4.Procurement'!J10,"")</f>
        <v/>
      </c>
      <c r="N69" s="64">
        <f>IF('4.Procurement'!K10&lt;&gt;"",'4.Procurement'!K10,"")</f>
        <v/>
      </c>
      <c r="O69" s="64">
        <f>IF('4.Procurement'!L10&lt;&gt;"",'4.Procurement'!L10,"")</f>
        <v/>
      </c>
      <c r="P69" s="64">
        <f>IF('4.Procurement'!M10&lt;&gt;"",'4.Procurement'!M10,"")</f>
        <v/>
      </c>
      <c r="Q69" s="64">
        <f>IF('4.Procurement'!N10&lt;&gt;"",'4.Procurement'!N10,"")</f>
        <v/>
      </c>
      <c r="R69" s="64">
        <f>IF('4.Procurement'!O10&lt;&gt;"",'4.Procurement'!O10,"")</f>
        <v/>
      </c>
      <c r="S69" s="64">
        <f>IF('4.Procurement'!P10&lt;&gt;"",'4.Procurement'!P10,"")</f>
        <v/>
      </c>
      <c r="T69" s="64">
        <f>IF('4.Procurement'!Q10&lt;&gt;"",'4.Procurement'!Q10,"")</f>
        <v/>
      </c>
      <c r="U69" s="64">
        <f>IF('4.Procurement'!R10&lt;&gt;"",'4.Procurement'!R10,"")</f>
        <v/>
      </c>
      <c r="V69" s="64">
        <f>IF('4.Procurement'!S10&lt;&gt;"",'4.Procurement'!S10,"")</f>
        <v/>
      </c>
      <c r="W69" s="81">
        <f>IF('4.Procurement'!T10&lt;&gt;"",'4.Procurement'!T10,"")</f>
        <v/>
      </c>
      <c r="X69" s="424" t="n"/>
      <c r="Y69" s="424" t="n"/>
      <c r="Z69" s="424" t="n"/>
      <c r="AA69" s="424" t="n"/>
    </row>
    <row r="70" customFormat="1" s="53" thickBot="1">
      <c r="A70" s="673" t="n"/>
      <c r="C70" s="671" t="n"/>
      <c r="D70" s="671" t="n"/>
      <c r="E70" s="671" t="n"/>
      <c r="F70" s="671" t="n"/>
      <c r="G70" s="671" t="n"/>
      <c r="H70" s="671" t="n"/>
      <c r="I70" s="671" t="n"/>
      <c r="J70" s="671" t="n"/>
      <c r="K70" s="550" t="inlineStr">
        <is>
          <t>Actual</t>
        </is>
      </c>
      <c r="L70" s="63">
        <f>IF('4.Procurement'!I11&lt;&gt;"",'4.Procurement'!I11,"")</f>
        <v/>
      </c>
      <c r="M70" s="63">
        <f>IF('4.Procurement'!J11&lt;&gt;"",'4.Procurement'!J11,"")</f>
        <v/>
      </c>
      <c r="N70" s="63">
        <f>IF('4.Procurement'!K11&lt;&gt;"",'4.Procurement'!K11,"")</f>
        <v/>
      </c>
      <c r="O70" s="63">
        <f>IF('4.Procurement'!L11&lt;&gt;"",'4.Procurement'!L11,"")</f>
        <v/>
      </c>
      <c r="P70" s="63">
        <f>IF('4.Procurement'!M11&lt;&gt;"",'4.Procurement'!M11,"")</f>
        <v/>
      </c>
      <c r="Q70" s="63">
        <f>IF('4.Procurement'!N11&lt;&gt;"",'4.Procurement'!N11,"")</f>
        <v/>
      </c>
      <c r="R70" s="63">
        <f>IF('4.Procurement'!O11&lt;&gt;"",'4.Procurement'!O11,"")</f>
        <v/>
      </c>
      <c r="S70" s="63">
        <f>IF('4.Procurement'!P11&lt;&gt;"",'4.Procurement'!P11,"")</f>
        <v/>
      </c>
      <c r="T70" s="63">
        <f>IF('4.Procurement'!Q11&lt;&gt;"",'4.Procurement'!Q11,"")</f>
        <v/>
      </c>
      <c r="U70" s="63">
        <f>IF('4.Procurement'!R11&lt;&gt;"",'4.Procurement'!R11,"")</f>
        <v/>
      </c>
      <c r="V70" s="63">
        <f>IF('4.Procurement'!S11&lt;&gt;"",'4.Procurement'!S11,"")</f>
        <v/>
      </c>
      <c r="W70" s="82">
        <f>IF('4.Procurement'!T11&lt;&gt;"",'4.Procurement'!T11,"")</f>
        <v/>
      </c>
      <c r="X70" s="671" t="n"/>
      <c r="Y70" s="671" t="n"/>
      <c r="Z70" s="671" t="n"/>
      <c r="AA70" s="671" t="n"/>
    </row>
    <row r="71" ht="14.85" customFormat="1" customHeight="1" s="53">
      <c r="A71" s="675" t="inlineStr">
        <is>
          <t>5. Improve Profitability</t>
        </is>
      </c>
      <c r="B71" s="667" t="n"/>
      <c r="C71" s="447">
        <f>IF('12.FINANCE'!A6&lt;&gt;"",'12.FINANCE'!A6,"")</f>
        <v/>
      </c>
      <c r="D71" s="447" t="inlineStr">
        <is>
          <t>Chetan</t>
        </is>
      </c>
      <c r="E71" s="427">
        <f>IF('12.FINANCE'!B6&lt;&gt;"",'12.FINANCE'!B6,"")</f>
        <v/>
      </c>
      <c r="F71" s="448">
        <f>IF('12.FINANCE'!C6&lt;&gt;"",'12.FINANCE'!C6,"")</f>
        <v/>
      </c>
      <c r="G71" s="448">
        <f>IF('12.FINANCE'!D6&lt;&gt;"",'12.FINANCE'!D6,"")</f>
        <v/>
      </c>
      <c r="H71" s="448">
        <f>IF('12.FINANCE'!E6&lt;&gt;"",'12.FINANCE'!E6,"")</f>
        <v/>
      </c>
      <c r="I71" s="427">
        <f>IF('12.FINANCE'!F6&lt;&gt;"",'12.FINANCE'!F6,"")</f>
        <v/>
      </c>
      <c r="J71" s="427">
        <f>IF('12.FINANCE'!G6&lt;&gt;"",'12.FINANCE'!G6,"")</f>
        <v/>
      </c>
      <c r="K71" s="550" t="inlineStr">
        <is>
          <t>Target</t>
        </is>
      </c>
      <c r="L71" s="64">
        <f>IF('12.FINANCE'!I6&lt;&gt;"",'12.FINANCE'!I6,"")</f>
        <v/>
      </c>
      <c r="M71" s="64">
        <f>IF('12.FINANCE'!J6&lt;&gt;"",'12.FINANCE'!J6,"")</f>
        <v/>
      </c>
      <c r="N71" s="64">
        <f>IF('12.FINANCE'!K6&lt;&gt;"",'12.FINANCE'!K6,"")</f>
        <v/>
      </c>
      <c r="O71" s="64">
        <f>IF('12.FINANCE'!L6&lt;&gt;"",'12.FINANCE'!L6,"")</f>
        <v/>
      </c>
      <c r="P71" s="64">
        <f>IF('12.FINANCE'!M6&lt;&gt;"",'12.FINANCE'!M6,"")</f>
        <v/>
      </c>
      <c r="Q71" s="64">
        <f>IF('12.FINANCE'!N6&lt;&gt;"",'12.FINANCE'!N6,"")</f>
        <v/>
      </c>
      <c r="R71" s="64">
        <f>IF('12.FINANCE'!O6&lt;&gt;"",'12.FINANCE'!O6,"")</f>
        <v/>
      </c>
      <c r="S71" s="64">
        <f>IF('12.FINANCE'!P6&lt;&gt;"",'12.FINANCE'!P6,"")</f>
        <v/>
      </c>
      <c r="T71" s="64">
        <f>IF('12.FINANCE'!Q6&lt;&gt;"",'12.FINANCE'!Q6,"")</f>
        <v/>
      </c>
      <c r="U71" s="64">
        <f>IF('12.FINANCE'!R6&lt;&gt;"",'12.FINANCE'!R6,"")</f>
        <v/>
      </c>
      <c r="V71" s="64">
        <f>IF('12.FINANCE'!S6&lt;&gt;"",'12.FINANCE'!S6,"")</f>
        <v/>
      </c>
      <c r="W71" s="81">
        <f>IF('12.FINANCE'!T6&lt;&gt;"",'12.FINANCE'!T6,"")</f>
        <v/>
      </c>
      <c r="X71" s="424" t="n"/>
      <c r="Y71" s="424" t="n"/>
      <c r="Z71" s="424" t="n"/>
      <c r="AA71" s="424" t="n"/>
    </row>
    <row r="72" ht="14.45" customFormat="1" customHeight="1" s="53">
      <c r="A72" s="673" t="n"/>
      <c r="C72" s="671" t="n"/>
      <c r="D72" s="671" t="n"/>
      <c r="E72" s="671" t="n"/>
      <c r="F72" s="671" t="n"/>
      <c r="G72" s="671" t="n"/>
      <c r="H72" s="671" t="n"/>
      <c r="I72" s="671" t="n"/>
      <c r="J72" s="671" t="n"/>
      <c r="K72" s="550" t="inlineStr">
        <is>
          <t>Actual</t>
        </is>
      </c>
      <c r="L72" s="63">
        <f>IF('12.FINANCE'!I7&lt;&gt;"",'12.FINANCE'!I7,"")</f>
        <v/>
      </c>
      <c r="M72" s="63">
        <f>IF('12.FINANCE'!J7&lt;&gt;"",'12.FINANCE'!J7,"")</f>
        <v/>
      </c>
      <c r="N72" s="63">
        <f>IF('12.FINANCE'!K7&lt;&gt;"",'12.FINANCE'!K7,"")</f>
        <v/>
      </c>
      <c r="O72" s="63">
        <f>IF('12.FINANCE'!L7&lt;&gt;"",'12.FINANCE'!L7,"")</f>
        <v/>
      </c>
      <c r="P72" s="63">
        <f>IF('12.FINANCE'!M7&lt;&gt;"",'12.FINANCE'!M7,"")</f>
        <v/>
      </c>
      <c r="Q72" s="63">
        <f>IF('12.FINANCE'!N7&lt;&gt;"",'12.FINANCE'!N7,"")</f>
        <v/>
      </c>
      <c r="R72" s="63">
        <f>IF('12.FINANCE'!O7&lt;&gt;"",'12.FINANCE'!O7,"")</f>
        <v/>
      </c>
      <c r="S72" s="63">
        <f>IF('12.FINANCE'!P7&lt;&gt;"",'12.FINANCE'!P7,"")</f>
        <v/>
      </c>
      <c r="T72" s="63">
        <f>IF('12.FINANCE'!Q7&lt;&gt;"",'12.FINANCE'!Q7,"")</f>
        <v/>
      </c>
      <c r="U72" s="63">
        <f>IF('12.FINANCE'!R7&lt;&gt;"",'12.FINANCE'!R7,"")</f>
        <v/>
      </c>
      <c r="V72" s="63">
        <f>IF('12.FINANCE'!S7&lt;&gt;"",'12.FINANCE'!S7,"")</f>
        <v/>
      </c>
      <c r="W72" s="82">
        <f>IF('12.FINANCE'!T7&lt;&gt;"",'12.FINANCE'!T7,"")</f>
        <v/>
      </c>
      <c r="X72" s="671" t="n"/>
      <c r="Y72" s="671" t="n"/>
      <c r="Z72" s="671" t="n"/>
      <c r="AA72" s="671" t="n"/>
    </row>
    <row r="73" ht="14.45" customFormat="1" customHeight="1" s="53">
      <c r="A73" s="673" t="n"/>
      <c r="C73" s="447">
        <f>IF('12.FINANCE'!A8&lt;&gt;"",'12.FINANCE'!A8,"")</f>
        <v/>
      </c>
      <c r="D73" s="447" t="inlineStr">
        <is>
          <t>Chetan</t>
        </is>
      </c>
      <c r="E73" s="427">
        <f>IF('12.FINANCE'!B8&lt;&gt;"",'12.FINANCE'!B8,"")</f>
        <v/>
      </c>
      <c r="F73" s="448">
        <f>IF('12.FINANCE'!C8&lt;&gt;"",'12.FINANCE'!C8,"")</f>
        <v/>
      </c>
      <c r="G73" s="448">
        <f>IF('12.FINANCE'!D8&lt;&gt;"",'12.FINANCE'!D8,"")</f>
        <v/>
      </c>
      <c r="H73" s="448">
        <f>IF('12.FINANCE'!E8&lt;&gt;"",'12.FINANCE'!E8,"")</f>
        <v/>
      </c>
      <c r="I73" s="427">
        <f>IF('12.FINANCE'!F8&lt;&gt;"",'12.FINANCE'!F8,"")</f>
        <v/>
      </c>
      <c r="J73" s="427">
        <f>IF('12.FINANCE'!G8&lt;&gt;"",'12.FINANCE'!G8,"")</f>
        <v/>
      </c>
      <c r="K73" s="550" t="inlineStr">
        <is>
          <t>Target</t>
        </is>
      </c>
      <c r="L73" s="64">
        <f>IF('12.FINANCE'!I8&lt;&gt;"",'12.FINANCE'!I8,"")</f>
        <v/>
      </c>
      <c r="M73" s="64">
        <f>IF('12.FINANCE'!J8&lt;&gt;"",'12.FINANCE'!J8,"")</f>
        <v/>
      </c>
      <c r="N73" s="64">
        <f>IF('12.FINANCE'!K8&lt;&gt;"",'12.FINANCE'!K8,"")</f>
        <v/>
      </c>
      <c r="O73" s="64">
        <f>IF('12.FINANCE'!L8&lt;&gt;"",'12.FINANCE'!L8,"")</f>
        <v/>
      </c>
      <c r="P73" s="64">
        <f>IF('12.FINANCE'!M8&lt;&gt;"",'12.FINANCE'!M8,"")</f>
        <v/>
      </c>
      <c r="Q73" s="64">
        <f>IF('12.FINANCE'!N8&lt;&gt;"",'12.FINANCE'!N8,"")</f>
        <v/>
      </c>
      <c r="R73" s="64">
        <f>IF('12.FINANCE'!O8&lt;&gt;"",'12.FINANCE'!O8,"")</f>
        <v/>
      </c>
      <c r="S73" s="64">
        <f>IF('12.FINANCE'!P8&lt;&gt;"",'12.FINANCE'!P8,"")</f>
        <v/>
      </c>
      <c r="T73" s="64">
        <f>IF('12.FINANCE'!Q8&lt;&gt;"",'12.FINANCE'!Q8,"")</f>
        <v/>
      </c>
      <c r="U73" s="64">
        <f>IF('12.FINANCE'!R8&lt;&gt;"",'12.FINANCE'!R8,"")</f>
        <v/>
      </c>
      <c r="V73" s="64">
        <f>IF('12.FINANCE'!S8&lt;&gt;"",'12.FINANCE'!S8,"")</f>
        <v/>
      </c>
      <c r="W73" s="81">
        <f>IF('12.FINANCE'!T8&lt;&gt;"",'12.FINANCE'!T8,"")</f>
        <v/>
      </c>
      <c r="X73" s="424" t="n"/>
      <c r="Y73" s="424" t="n"/>
      <c r="Z73" s="424" t="n"/>
      <c r="AA73" s="424" t="n"/>
    </row>
    <row r="74" ht="14.45" customFormat="1" customHeight="1" s="53">
      <c r="A74" s="673" t="n"/>
      <c r="C74" s="671" t="n"/>
      <c r="D74" s="671" t="n"/>
      <c r="E74" s="671" t="n"/>
      <c r="F74" s="671" t="n"/>
      <c r="G74" s="671" t="n"/>
      <c r="H74" s="671" t="n"/>
      <c r="I74" s="671" t="n"/>
      <c r="J74" s="671" t="n"/>
      <c r="K74" s="550" t="inlineStr">
        <is>
          <t>Actual</t>
        </is>
      </c>
      <c r="L74" s="63">
        <f>IF('12.FINANCE'!I9&lt;&gt;"",'12.FINANCE'!I9,"")</f>
        <v/>
      </c>
      <c r="M74" s="63">
        <f>IF('12.FINANCE'!J9&lt;&gt;"",'12.FINANCE'!J9,"")</f>
        <v/>
      </c>
      <c r="N74" s="63">
        <f>IF('12.FINANCE'!K9&lt;&gt;"",'12.FINANCE'!K9,"")</f>
        <v/>
      </c>
      <c r="O74" s="63">
        <f>IF('12.FINANCE'!L9&lt;&gt;"",'12.FINANCE'!L9,"")</f>
        <v/>
      </c>
      <c r="P74" s="63">
        <f>IF('12.FINANCE'!M9&lt;&gt;"",'12.FINANCE'!M9,"")</f>
        <v/>
      </c>
      <c r="Q74" s="63">
        <f>IF('12.FINANCE'!N9&lt;&gt;"",'12.FINANCE'!N9,"")</f>
        <v/>
      </c>
      <c r="R74" s="63">
        <f>IF('12.FINANCE'!O9&lt;&gt;"",'12.FINANCE'!O9,"")</f>
        <v/>
      </c>
      <c r="S74" s="63">
        <f>IF('12.FINANCE'!P9&lt;&gt;"",'12.FINANCE'!P9,"")</f>
        <v/>
      </c>
      <c r="T74" s="63">
        <f>IF('12.FINANCE'!Q9&lt;&gt;"",'12.FINANCE'!Q9,"")</f>
        <v/>
      </c>
      <c r="U74" s="63">
        <f>IF('12.FINANCE'!R9&lt;&gt;"",'12.FINANCE'!R9,"")</f>
        <v/>
      </c>
      <c r="V74" s="63">
        <f>IF('12.FINANCE'!S9&lt;&gt;"",'12.FINANCE'!S9,"")</f>
        <v/>
      </c>
      <c r="W74" s="82">
        <f>IF('12.FINANCE'!T9&lt;&gt;"",'12.FINANCE'!T9,"")</f>
        <v/>
      </c>
      <c r="X74" s="671" t="n"/>
      <c r="Y74" s="671" t="n"/>
      <c r="Z74" s="671" t="n"/>
      <c r="AA74" s="671" t="n"/>
    </row>
    <row r="75" ht="14.45" customFormat="1" customHeight="1" s="53">
      <c r="A75" s="673" t="n"/>
      <c r="C75" s="447">
        <f>IF('12.FINANCE'!A10&lt;&gt;"",'12.FINANCE'!A10,"")</f>
        <v/>
      </c>
      <c r="D75" s="447" t="inlineStr">
        <is>
          <t>Chetan</t>
        </is>
      </c>
      <c r="E75" s="427">
        <f>IF('12.FINANCE'!B10&lt;&gt;"",'12.FINANCE'!B10,"")</f>
        <v/>
      </c>
      <c r="F75" s="448">
        <f>IF('12.FINANCE'!C10&lt;&gt;"",'12.FINANCE'!C10,"")</f>
        <v/>
      </c>
      <c r="G75" s="448">
        <f>IF('12.FINANCE'!D10&lt;&gt;"",'12.FINANCE'!D10,"")</f>
        <v/>
      </c>
      <c r="H75" s="448">
        <f>IF('12.FINANCE'!E10&lt;&gt;"",'12.FINANCE'!E10,"")</f>
        <v/>
      </c>
      <c r="I75" s="427">
        <f>IF('12.FINANCE'!F10&lt;&gt;"",'12.FINANCE'!F10,"")</f>
        <v/>
      </c>
      <c r="J75" s="427">
        <f>IF('12.FINANCE'!G10&lt;&gt;"",'12.FINANCE'!G10,"")</f>
        <v/>
      </c>
      <c r="K75" s="550" t="inlineStr">
        <is>
          <t>Target</t>
        </is>
      </c>
      <c r="L75" s="64">
        <f>IF('12.FINANCE'!I10&lt;&gt;"",'12.FINANCE'!I10,"")</f>
        <v/>
      </c>
      <c r="M75" s="64">
        <f>IF('12.FINANCE'!J10&lt;&gt;"",'12.FINANCE'!J10,"")</f>
        <v/>
      </c>
      <c r="N75" s="64">
        <f>IF('12.FINANCE'!K10&lt;&gt;"",'12.FINANCE'!K10,"")</f>
        <v/>
      </c>
      <c r="O75" s="64">
        <f>IF('12.FINANCE'!L10&lt;&gt;"",'12.FINANCE'!L10,"")</f>
        <v/>
      </c>
      <c r="P75" s="64">
        <f>IF('12.FINANCE'!M10&lt;&gt;"",'12.FINANCE'!M10,"")</f>
        <v/>
      </c>
      <c r="Q75" s="64">
        <f>IF('12.FINANCE'!N10&lt;&gt;"",'12.FINANCE'!N10,"")</f>
        <v/>
      </c>
      <c r="R75" s="64">
        <f>IF('12.FINANCE'!O10&lt;&gt;"",'12.FINANCE'!O10,"")</f>
        <v/>
      </c>
      <c r="S75" s="64">
        <f>IF('12.FINANCE'!P10&lt;&gt;"",'12.FINANCE'!P10,"")</f>
        <v/>
      </c>
      <c r="T75" s="64">
        <f>IF('12.FINANCE'!Q10&lt;&gt;"",'12.FINANCE'!Q10,"")</f>
        <v/>
      </c>
      <c r="U75" s="64">
        <f>IF('12.FINANCE'!R10&lt;&gt;"",'12.FINANCE'!R10,"")</f>
        <v/>
      </c>
      <c r="V75" s="64">
        <f>IF('12.FINANCE'!S10&lt;&gt;"",'12.FINANCE'!S10,"")</f>
        <v/>
      </c>
      <c r="W75" s="81">
        <f>IF('12.FINANCE'!T10&lt;&gt;"",'12.FINANCE'!T10,"")</f>
        <v/>
      </c>
      <c r="X75" s="424" t="n"/>
      <c r="Y75" s="424" t="n"/>
      <c r="Z75" s="424" t="n"/>
      <c r="AA75" s="424" t="n"/>
    </row>
    <row r="76" customFormat="1" s="53" thickBot="1">
      <c r="A76" s="676" t="n"/>
      <c r="B76" s="677" t="n"/>
      <c r="C76" s="671" t="n"/>
      <c r="D76" s="671" t="n"/>
      <c r="E76" s="671" t="n"/>
      <c r="F76" s="671" t="n"/>
      <c r="G76" s="671" t="n"/>
      <c r="H76" s="671" t="n"/>
      <c r="I76" s="671" t="n"/>
      <c r="J76" s="671" t="n"/>
      <c r="K76" s="550" t="inlineStr">
        <is>
          <t>Actual</t>
        </is>
      </c>
      <c r="L76" s="63">
        <f>IF('12.FINANCE'!I11&lt;&gt;"",'12.FINANCE'!I11,"")</f>
        <v/>
      </c>
      <c r="M76" s="63">
        <f>IF('12.FINANCE'!J11&lt;&gt;"",'12.FINANCE'!J11,"")</f>
        <v/>
      </c>
      <c r="N76" s="63">
        <f>IF('12.FINANCE'!K11&lt;&gt;"",'12.FINANCE'!K11,"")</f>
        <v/>
      </c>
      <c r="O76" s="63">
        <f>IF('12.FINANCE'!L11&lt;&gt;"",'12.FINANCE'!L11,"")</f>
        <v/>
      </c>
      <c r="P76" s="63">
        <f>IF('12.FINANCE'!M11&lt;&gt;"",'12.FINANCE'!M11,"")</f>
        <v/>
      </c>
      <c r="Q76" s="63">
        <f>IF('12.FINANCE'!N11&lt;&gt;"",'12.FINANCE'!N11,"")</f>
        <v/>
      </c>
      <c r="R76" s="63">
        <f>IF('12.FINANCE'!O11&lt;&gt;"",'12.FINANCE'!O11,"")</f>
        <v/>
      </c>
      <c r="S76" s="63">
        <f>IF('12.FINANCE'!P11&lt;&gt;"",'12.FINANCE'!P11,"")</f>
        <v/>
      </c>
      <c r="T76" s="63">
        <f>IF('12.FINANCE'!Q11&lt;&gt;"",'12.FINANCE'!Q11,"")</f>
        <v/>
      </c>
      <c r="U76" s="63">
        <f>IF('12.FINANCE'!R11&lt;&gt;"",'12.FINANCE'!R11,"")</f>
        <v/>
      </c>
      <c r="V76" s="63">
        <f>IF('12.FINANCE'!S11&lt;&gt;"",'12.FINANCE'!S11,"")</f>
        <v/>
      </c>
      <c r="W76" s="82">
        <f>IF('12.FINANCE'!T11&lt;&gt;"",'12.FINANCE'!T11,"")</f>
        <v/>
      </c>
      <c r="X76" s="671" t="n"/>
      <c r="Y76" s="671" t="n"/>
      <c r="Z76" s="671" t="n"/>
      <c r="AA76" s="671" t="n"/>
    </row>
    <row r="77" ht="23.25" customFormat="1" customHeight="1" s="53">
      <c r="A77" s="411" t="inlineStr">
        <is>
          <t>6. Impact
W Care</t>
        </is>
      </c>
      <c r="B77" s="667" t="n"/>
      <c r="C77" s="447" t="inlineStr">
        <is>
          <t>EES</t>
        </is>
      </c>
      <c r="D77" s="407" t="inlineStr">
        <is>
          <t>Kiran P</t>
        </is>
      </c>
      <c r="E77" s="427" t="n"/>
      <c r="F77" s="448" t="n"/>
      <c r="G77" s="448" t="n"/>
      <c r="H77" s="448" t="n"/>
      <c r="I77" s="427" t="n"/>
      <c r="J77" s="427" t="inlineStr">
        <is>
          <t>Half yearly</t>
        </is>
      </c>
      <c r="K77" s="550" t="inlineStr">
        <is>
          <t>Target</t>
        </is>
      </c>
      <c r="L77" s="64" t="n"/>
      <c r="M77" s="64" t="n"/>
      <c r="N77" s="64" t="n"/>
      <c r="O77" s="64" t="n"/>
      <c r="P77" s="64" t="n"/>
      <c r="Q77" s="65" t="n"/>
      <c r="R77" s="65" t="n"/>
      <c r="S77" s="65" t="n"/>
      <c r="T77" s="65" t="n"/>
      <c r="U77" s="65" t="n"/>
      <c r="V77" s="66" t="n"/>
      <c r="W77" s="87" t="n"/>
      <c r="X77" s="424" t="n"/>
      <c r="Y77" s="424" t="n"/>
      <c r="Z77" s="424" t="n"/>
      <c r="AA77" s="424" t="n"/>
    </row>
    <row r="78" ht="21.75" customFormat="1" customHeight="1" s="53" thickBot="1">
      <c r="A78" s="673" t="n"/>
      <c r="C78" s="671" t="n"/>
      <c r="D78" s="671" t="n"/>
      <c r="E78" s="671" t="n"/>
      <c r="F78" s="671" t="n"/>
      <c r="G78" s="671" t="n"/>
      <c r="H78" s="671" t="n"/>
      <c r="I78" s="671" t="n"/>
      <c r="J78" s="671" t="n"/>
      <c r="K78" s="550" t="inlineStr">
        <is>
          <t>Actual</t>
        </is>
      </c>
      <c r="L78" s="63" t="n"/>
      <c r="M78" s="63" t="n"/>
      <c r="N78" s="63" t="n"/>
      <c r="O78" s="63" t="n"/>
      <c r="P78" s="63" t="n"/>
      <c r="Q78" s="63" t="n"/>
      <c r="R78" s="63" t="n"/>
      <c r="S78" s="63" t="n"/>
      <c r="T78" s="63" t="n"/>
      <c r="U78" s="63" t="n"/>
      <c r="V78" s="63" t="n"/>
      <c r="W78" s="82" t="n"/>
      <c r="X78" s="671" t="n"/>
      <c r="Y78" s="671" t="n"/>
      <c r="Z78" s="671" t="n"/>
      <c r="AA78" s="671" t="n"/>
    </row>
    <row r="79" ht="14.85" customFormat="1" customHeight="1" s="53">
      <c r="A79" s="678" t="inlineStr">
        <is>
          <t>7. Customer
Service</t>
        </is>
      </c>
      <c r="B79" s="679" t="n"/>
      <c r="C79" s="427">
        <f>IF('7.Customer Service'!A6&lt;&gt;"",'7.Customer Service'!A6,"")</f>
        <v/>
      </c>
      <c r="D79" s="407" t="inlineStr">
        <is>
          <t>Sangram T</t>
        </is>
      </c>
      <c r="E79" s="427">
        <f>IF('7.Customer Service'!B6&lt;&gt;"",'7.Customer Service'!B6,"")</f>
        <v/>
      </c>
      <c r="F79" s="448">
        <f>IF('7.Customer Service'!C6&lt;&gt;"",'7.Customer Service'!C6,"")</f>
        <v/>
      </c>
      <c r="G79" s="448">
        <f>IF('7.Customer Service'!D6&lt;&gt;"",'7.Customer Service'!D6,"")</f>
        <v/>
      </c>
      <c r="H79" s="448">
        <f>IF('7.Customer Service'!E6&lt;&gt;"",'7.Customer Service'!E6,"")</f>
        <v/>
      </c>
      <c r="I79" s="427">
        <f>IF('7.Customer Service'!F6&lt;&gt;"",'7.Customer Service'!F6,"")</f>
        <v/>
      </c>
      <c r="J79" s="427">
        <f>IF('7.Customer Service'!G6&lt;&gt;"",'7.Customer Service'!G6,"")</f>
        <v/>
      </c>
      <c r="K79" s="550" t="inlineStr">
        <is>
          <t>Target</t>
        </is>
      </c>
      <c r="L79" s="64">
        <f>IF('7.Customer Service'!I6&lt;&gt;"",'7.Customer Service'!I6,"")</f>
        <v/>
      </c>
      <c r="M79" s="64">
        <f>IF('7.Customer Service'!J6&lt;&gt;"",'7.Customer Service'!J6,"")</f>
        <v/>
      </c>
      <c r="N79" s="64">
        <f>IF('7.Customer Service'!K6&lt;&gt;"",'7.Customer Service'!K6,"")</f>
        <v/>
      </c>
      <c r="O79" s="64">
        <f>IF('7.Customer Service'!L6&lt;&gt;"",'7.Customer Service'!L6,"")</f>
        <v/>
      </c>
      <c r="P79" s="64">
        <f>IF('7.Customer Service'!M6&lt;&gt;"",'7.Customer Service'!M6,"")</f>
        <v/>
      </c>
      <c r="Q79" s="64">
        <f>IF('7.Customer Service'!N6&lt;&gt;"",'7.Customer Service'!N6,"")</f>
        <v/>
      </c>
      <c r="R79" s="64">
        <f>IF('7.Customer Service'!O6&lt;&gt;"",'7.Customer Service'!O6,"")</f>
        <v/>
      </c>
      <c r="S79" s="64">
        <f>IF('7.Customer Service'!P6&lt;&gt;"",'7.Customer Service'!P6,"")</f>
        <v/>
      </c>
      <c r="T79" s="64">
        <f>IF('7.Customer Service'!Q6&lt;&gt;"",'7.Customer Service'!Q6,"")</f>
        <v/>
      </c>
      <c r="U79" s="64">
        <f>IF('7.Customer Service'!R6&lt;&gt;"",'7.Customer Service'!R6,"")</f>
        <v/>
      </c>
      <c r="V79" s="64">
        <f>IF('7.Customer Service'!S6&lt;&gt;"",'7.Customer Service'!S6,"")</f>
        <v/>
      </c>
      <c r="W79" s="81">
        <f>IF('7.Customer Service'!T6&lt;&gt;"",'7.Customer Service'!T6,"")</f>
        <v/>
      </c>
      <c r="X79" s="424" t="n"/>
      <c r="Y79" s="424" t="n"/>
      <c r="Z79" s="424" t="n"/>
      <c r="AA79" s="424" t="n"/>
    </row>
    <row r="80" ht="14.45" customFormat="1" customHeight="1" s="53">
      <c r="A80" s="673" t="n"/>
      <c r="B80" s="680" t="n"/>
      <c r="C80" s="671" t="n"/>
      <c r="D80" s="671" t="n"/>
      <c r="E80" s="671" t="n"/>
      <c r="F80" s="671" t="n"/>
      <c r="G80" s="671" t="n"/>
      <c r="H80" s="671" t="n"/>
      <c r="I80" s="671" t="n"/>
      <c r="J80" s="671" t="n"/>
      <c r="K80" s="550" t="inlineStr">
        <is>
          <t>Actual</t>
        </is>
      </c>
      <c r="L80" s="63">
        <f>IF('7.Customer Service'!I7&lt;&gt;"",'7.Customer Service'!I7,"")</f>
        <v/>
      </c>
      <c r="M80" s="63">
        <f>IF('7.Customer Service'!J7&lt;&gt;"",'7.Customer Service'!J7,"")</f>
        <v/>
      </c>
      <c r="N80" s="63">
        <f>IF('7.Customer Service'!K7&lt;&gt;"",'7.Customer Service'!K7,"")</f>
        <v/>
      </c>
      <c r="O80" s="63">
        <f>IF('7.Customer Service'!L7&lt;&gt;"",'7.Customer Service'!L7,"")</f>
        <v/>
      </c>
      <c r="P80" s="63">
        <f>IF('7.Customer Service'!M7&lt;&gt;"",'7.Customer Service'!M7,"")</f>
        <v/>
      </c>
      <c r="Q80" s="63">
        <f>IF('7.Customer Service'!N7&lt;&gt;"",'7.Customer Service'!N7,"")</f>
        <v/>
      </c>
      <c r="R80" s="63">
        <f>IF('7.Customer Service'!O7&lt;&gt;"",'7.Customer Service'!O7,"")</f>
        <v/>
      </c>
      <c r="S80" s="63">
        <f>IF('7.Customer Service'!P7&lt;&gt;"",'7.Customer Service'!P7,"")</f>
        <v/>
      </c>
      <c r="T80" s="63">
        <f>IF('7.Customer Service'!Q7&lt;&gt;"",'7.Customer Service'!Q7,"")</f>
        <v/>
      </c>
      <c r="U80" s="63">
        <f>IF('7.Customer Service'!R7&lt;&gt;"",'7.Customer Service'!R7,"")</f>
        <v/>
      </c>
      <c r="V80" s="63">
        <f>IF('7.Customer Service'!S7&lt;&gt;"",'7.Customer Service'!S7,"")</f>
        <v/>
      </c>
      <c r="W80" s="82">
        <f>IF('7.Customer Service'!T7&lt;&gt;"",'7.Customer Service'!T7,"")</f>
        <v/>
      </c>
      <c r="X80" s="671" t="n"/>
      <c r="Y80" s="671" t="n"/>
      <c r="Z80" s="671" t="n"/>
      <c r="AA80" s="671" t="n"/>
    </row>
    <row r="81" ht="14.45" customFormat="1" customHeight="1" s="53">
      <c r="A81" s="673" t="n"/>
      <c r="B81" s="680" t="n"/>
      <c r="C81" s="427">
        <f>IF('7.Customer Service'!A8&lt;&gt;"",'7.Customer Service'!A8,"")</f>
        <v/>
      </c>
      <c r="D81" s="407" t="inlineStr">
        <is>
          <t>Sangram T</t>
        </is>
      </c>
      <c r="E81" s="427">
        <f>IF('7.Customer Service'!B8&lt;&gt;"",'7.Customer Service'!B8,"")</f>
        <v/>
      </c>
      <c r="F81" s="448">
        <f>IF('7.Customer Service'!C8&lt;&gt;"",'7.Customer Service'!C8,"")</f>
        <v/>
      </c>
      <c r="G81" s="448">
        <f>IF('7.Customer Service'!D8&lt;&gt;"",'7.Customer Service'!D8,"")</f>
        <v/>
      </c>
      <c r="H81" s="448">
        <f>IF('7.Customer Service'!E8&lt;&gt;"",'7.Customer Service'!E8,"")</f>
        <v/>
      </c>
      <c r="I81" s="427">
        <f>IF('7.Customer Service'!F8&lt;&gt;"",'7.Customer Service'!F8,"")</f>
        <v/>
      </c>
      <c r="J81" s="427">
        <f>IF('7.Customer Service'!G8&lt;&gt;"",'7.Customer Service'!G8,"")</f>
        <v/>
      </c>
      <c r="K81" s="550" t="inlineStr">
        <is>
          <t>Target</t>
        </is>
      </c>
      <c r="L81" s="64">
        <f>IF('7.Customer Service'!I8&lt;&gt;"",'7.Customer Service'!I8,"")</f>
        <v/>
      </c>
      <c r="M81" s="64">
        <f>IF('7.Customer Service'!J8&lt;&gt;"",'7.Customer Service'!J8,"")</f>
        <v/>
      </c>
      <c r="N81" s="64">
        <f>IF('7.Customer Service'!K8&lt;&gt;"",'7.Customer Service'!K8,"")</f>
        <v/>
      </c>
      <c r="O81" s="64">
        <f>IF('7.Customer Service'!L8&lt;&gt;"",'7.Customer Service'!L8,"")</f>
        <v/>
      </c>
      <c r="P81" s="64">
        <f>IF('7.Customer Service'!M8&lt;&gt;"",'7.Customer Service'!M8,"")</f>
        <v/>
      </c>
      <c r="Q81" s="64">
        <f>IF('7.Customer Service'!N8&lt;&gt;"",'7.Customer Service'!N8,"")</f>
        <v/>
      </c>
      <c r="R81" s="64">
        <f>IF('7.Customer Service'!O8&lt;&gt;"",'7.Customer Service'!O8,"")</f>
        <v/>
      </c>
      <c r="S81" s="64">
        <f>IF('7.Customer Service'!P8&lt;&gt;"",'7.Customer Service'!P8,"")</f>
        <v/>
      </c>
      <c r="T81" s="64">
        <f>IF('7.Customer Service'!Q8&lt;&gt;"",'7.Customer Service'!Q8,"")</f>
        <v/>
      </c>
      <c r="U81" s="64">
        <f>IF('7.Customer Service'!R8&lt;&gt;"",'7.Customer Service'!R8,"")</f>
        <v/>
      </c>
      <c r="V81" s="64">
        <f>IF('7.Customer Service'!S8&lt;&gt;"",'7.Customer Service'!S8,"")</f>
        <v/>
      </c>
      <c r="W81" s="81">
        <f>IF('7.Customer Service'!T8&lt;&gt;"",'7.Customer Service'!T8,"")</f>
        <v/>
      </c>
      <c r="X81" s="424" t="n"/>
      <c r="Y81" s="424" t="n"/>
      <c r="Z81" s="424" t="n"/>
      <c r="AA81" s="424" t="n"/>
    </row>
    <row r="82" ht="14.45" customFormat="1" customHeight="1" s="53">
      <c r="A82" s="673" t="n"/>
      <c r="B82" s="680" t="n"/>
      <c r="C82" s="671" t="n"/>
      <c r="D82" s="671" t="n"/>
      <c r="E82" s="671" t="n"/>
      <c r="F82" s="671" t="n"/>
      <c r="G82" s="671" t="n"/>
      <c r="H82" s="671" t="n"/>
      <c r="I82" s="671" t="n"/>
      <c r="J82" s="671" t="n"/>
      <c r="K82" s="550" t="inlineStr">
        <is>
          <t>Actual</t>
        </is>
      </c>
      <c r="L82" s="63">
        <f>IF('7.Customer Service'!I9&lt;&gt;"",'7.Customer Service'!I9,"")</f>
        <v/>
      </c>
      <c r="M82" s="63">
        <f>IF('7.Customer Service'!J9&lt;&gt;"",'7.Customer Service'!J9,"")</f>
        <v/>
      </c>
      <c r="N82" s="63">
        <f>IF('7.Customer Service'!K9&lt;&gt;"",'7.Customer Service'!K9,"")</f>
        <v/>
      </c>
      <c r="O82" s="63">
        <f>IF('7.Customer Service'!L9&lt;&gt;"",'7.Customer Service'!L9,"")</f>
        <v/>
      </c>
      <c r="P82" s="63">
        <f>IF('7.Customer Service'!M9&lt;&gt;"",'7.Customer Service'!M9,"")</f>
        <v/>
      </c>
      <c r="Q82" s="63">
        <f>IF('7.Customer Service'!N9&lt;&gt;"",'7.Customer Service'!N9,"")</f>
        <v/>
      </c>
      <c r="R82" s="63">
        <f>IF('7.Customer Service'!O9&lt;&gt;"",'7.Customer Service'!O9,"")</f>
        <v/>
      </c>
      <c r="S82" s="63">
        <f>IF('7.Customer Service'!P9&lt;&gt;"",'7.Customer Service'!P9,"")</f>
        <v/>
      </c>
      <c r="T82" s="63">
        <f>IF('7.Customer Service'!Q9&lt;&gt;"",'7.Customer Service'!Q9,"")</f>
        <v/>
      </c>
      <c r="U82" s="63">
        <f>IF('7.Customer Service'!R9&lt;&gt;"",'7.Customer Service'!R9,"")</f>
        <v/>
      </c>
      <c r="V82" s="63">
        <f>IF('7.Customer Service'!S9&lt;&gt;"",'7.Customer Service'!S9,"")</f>
        <v/>
      </c>
      <c r="W82" s="82">
        <f>IF('7.Customer Service'!T9&lt;&gt;"",'7.Customer Service'!T9,"")</f>
        <v/>
      </c>
      <c r="X82" s="671" t="n"/>
      <c r="Y82" s="671" t="n"/>
      <c r="Z82" s="671" t="n"/>
      <c r="AA82" s="671" t="n"/>
    </row>
    <row r="83" ht="15" customFormat="1" customHeight="1" s="53">
      <c r="A83" s="673" t="n"/>
      <c r="B83" s="680" t="n"/>
      <c r="C83" s="427">
        <f>IF('7.Customer Service'!A10&lt;&gt;"",'7.Customer Service'!A10,"")</f>
        <v/>
      </c>
      <c r="D83" s="407" t="inlineStr">
        <is>
          <t>Sangram T</t>
        </is>
      </c>
      <c r="E83" s="427">
        <f>IF('7.Customer Service'!B10&lt;&gt;"",'7.Customer Service'!B10,"")</f>
        <v/>
      </c>
      <c r="F83" s="448">
        <f>IF('7.Customer Service'!C10&lt;&gt;"",'7.Customer Service'!C10,"")</f>
        <v/>
      </c>
      <c r="G83" s="448">
        <f>IF('7.Customer Service'!D10&lt;&gt;"",'7.Customer Service'!D10,"")</f>
        <v/>
      </c>
      <c r="H83" s="448">
        <f>IF('7.Customer Service'!E10&lt;&gt;"",'7.Customer Service'!E10,"")</f>
        <v/>
      </c>
      <c r="I83" s="427">
        <f>IF('7.Customer Service'!F10&lt;&gt;"",'7.Customer Service'!F10,"")</f>
        <v/>
      </c>
      <c r="J83" s="427">
        <f>IF('7.Customer Service'!G10&lt;&gt;"",'7.Customer Service'!G10,"")</f>
        <v/>
      </c>
      <c r="K83" s="550" t="inlineStr">
        <is>
          <t>Target</t>
        </is>
      </c>
      <c r="L83" s="64">
        <f>IF('7.Customer Service'!I10&lt;&gt;"",'7.Customer Service'!I10,"")</f>
        <v/>
      </c>
      <c r="M83" s="64">
        <f>IF('7.Customer Service'!J10&lt;&gt;"",'7.Customer Service'!J10,"")</f>
        <v/>
      </c>
      <c r="N83" s="64">
        <f>IF('7.Customer Service'!K10&lt;&gt;"",'7.Customer Service'!K10,"")</f>
        <v/>
      </c>
      <c r="O83" s="64">
        <f>IF('7.Customer Service'!L10&lt;&gt;"",'7.Customer Service'!L10,"")</f>
        <v/>
      </c>
      <c r="P83" s="64">
        <f>IF('7.Customer Service'!M10&lt;&gt;"",'7.Customer Service'!M10,"")</f>
        <v/>
      </c>
      <c r="Q83" s="64">
        <f>IF('7.Customer Service'!N10&lt;&gt;"",'7.Customer Service'!N10,"")</f>
        <v/>
      </c>
      <c r="R83" s="64">
        <f>IF('7.Customer Service'!O10&lt;&gt;"",'7.Customer Service'!O10,"")</f>
        <v/>
      </c>
      <c r="S83" s="64">
        <f>IF('7.Customer Service'!P10&lt;&gt;"",'7.Customer Service'!P10,"")</f>
        <v/>
      </c>
      <c r="T83" s="64">
        <f>IF('7.Customer Service'!Q10&lt;&gt;"",'7.Customer Service'!Q10,"")</f>
        <v/>
      </c>
      <c r="U83" s="64">
        <f>IF('7.Customer Service'!R10&lt;&gt;"",'7.Customer Service'!R10,"")</f>
        <v/>
      </c>
      <c r="V83" s="64">
        <f>IF('7.Customer Service'!S10&lt;&gt;"",'7.Customer Service'!S10,"")</f>
        <v/>
      </c>
      <c r="W83" s="81">
        <f>IF('7.Customer Service'!T10&lt;&gt;"",'7.Customer Service'!T10,"")</f>
        <v/>
      </c>
      <c r="X83" s="424" t="n"/>
      <c r="Y83" s="424" t="n"/>
      <c r="Z83" s="424" t="n"/>
      <c r="AA83" s="424" t="n"/>
    </row>
    <row r="84" ht="14.45" customFormat="1" customHeight="1" s="53">
      <c r="A84" s="673" t="n"/>
      <c r="B84" s="680" t="n"/>
      <c r="C84" s="671" t="n"/>
      <c r="D84" s="671" t="n"/>
      <c r="E84" s="671" t="n"/>
      <c r="F84" s="671" t="n"/>
      <c r="G84" s="671" t="n"/>
      <c r="H84" s="671" t="n"/>
      <c r="I84" s="671" t="n"/>
      <c r="J84" s="671" t="n"/>
      <c r="K84" s="550" t="inlineStr">
        <is>
          <t>Actual</t>
        </is>
      </c>
      <c r="L84" s="63">
        <f>IF('7.Customer Service'!I11&lt;&gt;"",'7.Customer Service'!I11,"")</f>
        <v/>
      </c>
      <c r="M84" s="63">
        <f>IF('7.Customer Service'!J11&lt;&gt;"",'7.Customer Service'!J11,"")</f>
        <v/>
      </c>
      <c r="N84" s="63">
        <f>IF('7.Customer Service'!K11&lt;&gt;"",'7.Customer Service'!K11,"")</f>
        <v/>
      </c>
      <c r="O84" s="63">
        <f>IF('7.Customer Service'!L11&lt;&gt;"",'7.Customer Service'!L11,"")</f>
        <v/>
      </c>
      <c r="P84" s="63">
        <f>IF('7.Customer Service'!M11&lt;&gt;"",'7.Customer Service'!M11,"")</f>
        <v/>
      </c>
      <c r="Q84" s="63">
        <f>IF('7.Customer Service'!N11&lt;&gt;"",'7.Customer Service'!N11,"")</f>
        <v/>
      </c>
      <c r="R84" s="63">
        <f>IF('7.Customer Service'!O11&lt;&gt;"",'7.Customer Service'!O11,"")</f>
        <v/>
      </c>
      <c r="S84" s="63">
        <f>IF('7.Customer Service'!P11&lt;&gt;"",'7.Customer Service'!P11,"")</f>
        <v/>
      </c>
      <c r="T84" s="63">
        <f>IF('7.Customer Service'!Q11&lt;&gt;"",'7.Customer Service'!Q11,"")</f>
        <v/>
      </c>
      <c r="U84" s="63">
        <f>IF('7.Customer Service'!R11&lt;&gt;"",'7.Customer Service'!R11,"")</f>
        <v/>
      </c>
      <c r="V84" s="63">
        <f>IF('7.Customer Service'!S11&lt;&gt;"",'7.Customer Service'!S11,"")</f>
        <v/>
      </c>
      <c r="W84" s="82">
        <f>IF('7.Customer Service'!T11&lt;&gt;"",'7.Customer Service'!T11,"")</f>
        <v/>
      </c>
      <c r="X84" s="671" t="n"/>
      <c r="Y84" s="671" t="n"/>
      <c r="Z84" s="671" t="n"/>
      <c r="AA84" s="671" t="n"/>
    </row>
    <row r="85" hidden="1" ht="14.85" customFormat="1" customHeight="1" s="53">
      <c r="A85" s="673" t="n"/>
      <c r="B85" s="680" t="n"/>
      <c r="C85" s="77" t="inlineStr">
        <is>
          <t>Customer Escalations Closure</t>
        </is>
      </c>
      <c r="D85" s="69" t="n"/>
      <c r="E85" s="78" t="inlineStr">
        <is>
          <t>Customer escalations closure&lt;= 90 days</t>
        </is>
      </c>
      <c r="F85" s="515" t="n"/>
      <c r="G85" s="515" t="inlineStr">
        <is>
          <t>&gt;=90%</t>
        </is>
      </c>
      <c r="H85" s="515" t="inlineStr">
        <is>
          <t>No.</t>
        </is>
      </c>
      <c r="I85" s="80" t="n"/>
      <c r="J85" s="516" t="inlineStr">
        <is>
          <t>Monthly</t>
        </is>
      </c>
      <c r="K85" s="550" t="inlineStr">
        <is>
          <t>Target</t>
        </is>
      </c>
      <c r="L85" s="57" t="n">
        <v>0.9</v>
      </c>
      <c r="M85" s="57" t="n">
        <v>0.9</v>
      </c>
      <c r="N85" s="57" t="n">
        <v>0.9</v>
      </c>
      <c r="O85" s="57" t="n">
        <v>0.9</v>
      </c>
      <c r="P85" s="57" t="n">
        <v>0.9</v>
      </c>
      <c r="Q85" s="57" t="n">
        <v>0.9</v>
      </c>
      <c r="R85" s="57" t="n">
        <v>0.9</v>
      </c>
      <c r="S85" s="57" t="n">
        <v>0.9</v>
      </c>
      <c r="T85" s="57" t="n">
        <v>0.9</v>
      </c>
      <c r="U85" s="57" t="n">
        <v>0.9</v>
      </c>
      <c r="V85" s="58" t="n">
        <v>0.9</v>
      </c>
      <c r="W85" s="58" t="n"/>
      <c r="X85" s="72" t="n"/>
      <c r="Y85" s="72" t="n"/>
      <c r="Z85" s="72" t="n"/>
      <c r="AA85" s="72" t="n"/>
    </row>
    <row r="86" hidden="1" ht="15" customFormat="1" customHeight="1" s="53">
      <c r="A86" s="676" t="n"/>
      <c r="B86" s="681" t="n"/>
      <c r="C86" s="70" t="n"/>
      <c r="D86" s="70" t="n"/>
      <c r="E86" s="68" t="n"/>
      <c r="F86" s="71" t="n"/>
      <c r="G86" s="71" t="n"/>
      <c r="H86" s="71" t="n"/>
      <c r="I86" s="60" t="n"/>
      <c r="J86" s="59" t="n"/>
      <c r="K86" s="59" t="inlineStr">
        <is>
          <t>Actual</t>
        </is>
      </c>
      <c r="L86" s="61" t="n">
        <v>0.9778</v>
      </c>
      <c r="M86" s="61" t="n">
        <v>0.9798</v>
      </c>
      <c r="N86" s="61" t="n">
        <v>0.97</v>
      </c>
      <c r="O86" s="61" t="n">
        <v>0.96</v>
      </c>
      <c r="P86" s="61" t="n">
        <v>0.95</v>
      </c>
      <c r="Q86" s="61" t="n">
        <v>0.95</v>
      </c>
      <c r="R86" s="61" t="n">
        <v>0.95</v>
      </c>
      <c r="S86" s="61" t="n">
        <v>0.9399999999999999</v>
      </c>
      <c r="T86" s="61" t="n">
        <v>0.9399999999999999</v>
      </c>
      <c r="U86" s="61" t="n">
        <v>0.9399999999999999</v>
      </c>
      <c r="V86" s="62" t="n">
        <v>0.93</v>
      </c>
      <c r="W86" s="62" t="n"/>
      <c r="X86" s="73" t="n"/>
      <c r="Y86" s="73" t="n"/>
      <c r="Z86" s="73" t="n"/>
      <c r="AA86" s="73" t="n"/>
    </row>
  </sheetData>
  <mergeCells count="502">
    <mergeCell ref="Z75:Z76"/>
    <mergeCell ref="D21:D22"/>
    <mergeCell ref="Z25:Z26"/>
    <mergeCell ref="I57:I58"/>
    <mergeCell ref="H39:H40"/>
    <mergeCell ref="E65:E66"/>
    <mergeCell ref="Y51:Y52"/>
    <mergeCell ref="J55:J56"/>
    <mergeCell ref="G65:G66"/>
    <mergeCell ref="Z37:Z38"/>
    <mergeCell ref="F13:F14"/>
    <mergeCell ref="X45:X46"/>
    <mergeCell ref="H13:H14"/>
    <mergeCell ref="C27:C28"/>
    <mergeCell ref="H15:H16"/>
    <mergeCell ref="J71:J72"/>
    <mergeCell ref="F57:F58"/>
    <mergeCell ref="E25:E26"/>
    <mergeCell ref="Z65:Z66"/>
    <mergeCell ref="Y33:Y34"/>
    <mergeCell ref="J73:J74"/>
    <mergeCell ref="H23:H24"/>
    <mergeCell ref="J23:J24"/>
    <mergeCell ref="E13:E14"/>
    <mergeCell ref="J77:J78"/>
    <mergeCell ref="G13:G14"/>
    <mergeCell ref="D17:D18"/>
    <mergeCell ref="G7:G8"/>
    <mergeCell ref="H41:H42"/>
    <mergeCell ref="C45:C46"/>
    <mergeCell ref="D11:D12"/>
    <mergeCell ref="AA15:AA16"/>
    <mergeCell ref="I7:I8"/>
    <mergeCell ref="D77:D78"/>
    <mergeCell ref="X19:X20"/>
    <mergeCell ref="AA57:AA58"/>
    <mergeCell ref="I71:I72"/>
    <mergeCell ref="C47:C48"/>
    <mergeCell ref="F75:F76"/>
    <mergeCell ref="D75:D76"/>
    <mergeCell ref="X83:X84"/>
    <mergeCell ref="Z83:Z84"/>
    <mergeCell ref="X33:X34"/>
    <mergeCell ref="Z33:Z34"/>
    <mergeCell ref="G73:G74"/>
    <mergeCell ref="I73:I74"/>
    <mergeCell ref="E27:E28"/>
    <mergeCell ref="C51:C52"/>
    <mergeCell ref="Z13:Z14"/>
    <mergeCell ref="D37:D38"/>
    <mergeCell ref="J21:J22"/>
    <mergeCell ref="G25:G26"/>
    <mergeCell ref="Z15:Z16"/>
    <mergeCell ref="Y75:Y76"/>
    <mergeCell ref="E81:E82"/>
    <mergeCell ref="Z55:Z56"/>
    <mergeCell ref="A79:B86"/>
    <mergeCell ref="H29:H30"/>
    <mergeCell ref="D65:D66"/>
    <mergeCell ref="F65:F66"/>
    <mergeCell ref="A71:B76"/>
    <mergeCell ref="H31:H32"/>
    <mergeCell ref="AA5:AA6"/>
    <mergeCell ref="C59:C60"/>
    <mergeCell ref="E59:E60"/>
    <mergeCell ref="Z81:Z82"/>
    <mergeCell ref="E15:E16"/>
    <mergeCell ref="G15:G16"/>
    <mergeCell ref="G79:G80"/>
    <mergeCell ref="Y65:Y66"/>
    <mergeCell ref="AA65:AA66"/>
    <mergeCell ref="I79:I80"/>
    <mergeCell ref="D83:D84"/>
    <mergeCell ref="I23:I24"/>
    <mergeCell ref="AA31:AA32"/>
    <mergeCell ref="X41:X42"/>
    <mergeCell ref="X35:X36"/>
    <mergeCell ref="G81:G82"/>
    <mergeCell ref="F49:F50"/>
    <mergeCell ref="Z35:Z36"/>
    <mergeCell ref="I81:I82"/>
    <mergeCell ref="X43:X44"/>
    <mergeCell ref="C77:C78"/>
    <mergeCell ref="J29:J30"/>
    <mergeCell ref="F15:F16"/>
    <mergeCell ref="E43:E44"/>
    <mergeCell ref="G43:G44"/>
    <mergeCell ref="Y83:Y84"/>
    <mergeCell ref="J37:J38"/>
    <mergeCell ref="Z21:Z22"/>
    <mergeCell ref="H73:H74"/>
    <mergeCell ref="AA49:AA50"/>
    <mergeCell ref="Y35:Y36"/>
    <mergeCell ref="I21:I22"/>
    <mergeCell ref="AA53:AA54"/>
    <mergeCell ref="I5:I6"/>
    <mergeCell ref="G29:G30"/>
    <mergeCell ref="C67:C68"/>
    <mergeCell ref="D33:D34"/>
    <mergeCell ref="C61:C62"/>
    <mergeCell ref="E61:E62"/>
    <mergeCell ref="AA55:AA56"/>
    <mergeCell ref="I69:I70"/>
    <mergeCell ref="Z49:Z50"/>
    <mergeCell ref="J17:J18"/>
    <mergeCell ref="G31:G32"/>
    <mergeCell ref="D35:D36"/>
    <mergeCell ref="J19:J20"/>
    <mergeCell ref="D59:D60"/>
    <mergeCell ref="E39:E40"/>
    <mergeCell ref="D61:D62"/>
    <mergeCell ref="F79:F80"/>
    <mergeCell ref="AA63:AA64"/>
    <mergeCell ref="H79:H80"/>
    <mergeCell ref="I17:I18"/>
    <mergeCell ref="H45:H46"/>
    <mergeCell ref="J45:J46"/>
    <mergeCell ref="F81:F82"/>
    <mergeCell ref="E49:E50"/>
    <mergeCell ref="Z29:Z30"/>
    <mergeCell ref="H81:H82"/>
    <mergeCell ref="G49:G50"/>
    <mergeCell ref="F31:F32"/>
    <mergeCell ref="Z39:Z40"/>
    <mergeCell ref="C57:C58"/>
    <mergeCell ref="H47:H48"/>
    <mergeCell ref="J47:J48"/>
    <mergeCell ref="I29:I30"/>
    <mergeCell ref="C69:C70"/>
    <mergeCell ref="I31:I32"/>
    <mergeCell ref="J51:J52"/>
    <mergeCell ref="F7:F8"/>
    <mergeCell ref="F63:F64"/>
    <mergeCell ref="AA81:AA82"/>
    <mergeCell ref="H63:H64"/>
    <mergeCell ref="O5:O6"/>
    <mergeCell ref="I45:I46"/>
    <mergeCell ref="D49:D50"/>
    <mergeCell ref="Q5:Q6"/>
    <mergeCell ref="X57:X58"/>
    <mergeCell ref="Z57:Z58"/>
    <mergeCell ref="F5:F6"/>
    <mergeCell ref="G39:G40"/>
    <mergeCell ref="J27:J28"/>
    <mergeCell ref="H69:H70"/>
    <mergeCell ref="F33:F34"/>
    <mergeCell ref="Y7:Y8"/>
    <mergeCell ref="AA7:AA8"/>
    <mergeCell ref="J35:J36"/>
    <mergeCell ref="Y49:Y50"/>
    <mergeCell ref="G63:G64"/>
    <mergeCell ref="AA71:AA72"/>
    <mergeCell ref="C17:C18"/>
    <mergeCell ref="X75:X76"/>
    <mergeCell ref="I19:I20"/>
    <mergeCell ref="E57:E58"/>
    <mergeCell ref="C19:C20"/>
    <mergeCell ref="D39:D40"/>
    <mergeCell ref="G75:G76"/>
    <mergeCell ref="G27:G28"/>
    <mergeCell ref="C83:C84"/>
    <mergeCell ref="E83:E84"/>
    <mergeCell ref="AA77:AA78"/>
    <mergeCell ref="Z45:Z46"/>
    <mergeCell ref="C73:C74"/>
    <mergeCell ref="X47:X48"/>
    <mergeCell ref="Z47:Z48"/>
    <mergeCell ref="Y29:Y30"/>
    <mergeCell ref="Y39:Y40"/>
    <mergeCell ref="G53:G54"/>
    <mergeCell ref="F21:F22"/>
    <mergeCell ref="AA39:AA40"/>
    <mergeCell ref="I53:I54"/>
    <mergeCell ref="D57:D58"/>
    <mergeCell ref="I47:I48"/>
    <mergeCell ref="X65:X66"/>
    <mergeCell ref="Y31:Y32"/>
    <mergeCell ref="G55:G56"/>
    <mergeCell ref="F23:F24"/>
    <mergeCell ref="AA59:AA60"/>
    <mergeCell ref="Y13:Y14"/>
    <mergeCell ref="X73:X74"/>
    <mergeCell ref="AA61:AA62"/>
    <mergeCell ref="C7:C8"/>
    <mergeCell ref="F39:F40"/>
    <mergeCell ref="E7:E8"/>
    <mergeCell ref="I63:I64"/>
    <mergeCell ref="J43:J44"/>
    <mergeCell ref="P5:P6"/>
    <mergeCell ref="H67:H68"/>
    <mergeCell ref="R5:R6"/>
    <mergeCell ref="AA21:AA22"/>
    <mergeCell ref="J67:J68"/>
    <mergeCell ref="E71:E72"/>
    <mergeCell ref="Y57:Y58"/>
    <mergeCell ref="X25:X26"/>
    <mergeCell ref="J61:J62"/>
    <mergeCell ref="G71:G72"/>
    <mergeCell ref="H5:H6"/>
    <mergeCell ref="J5:J6"/>
    <mergeCell ref="Y23:Y24"/>
    <mergeCell ref="AA23:AA24"/>
    <mergeCell ref="I27:I28"/>
    <mergeCell ref="C33:C34"/>
    <mergeCell ref="X13:X14"/>
    <mergeCell ref="E33:E34"/>
    <mergeCell ref="X7:X8"/>
    <mergeCell ref="H21:H22"/>
    <mergeCell ref="Z7:Z8"/>
    <mergeCell ref="I41:I42"/>
    <mergeCell ref="C35:C36"/>
    <mergeCell ref="X15:X16"/>
    <mergeCell ref="E35:E36"/>
    <mergeCell ref="Z71:Z72"/>
    <mergeCell ref="Z73:Z74"/>
    <mergeCell ref="F27:F28"/>
    <mergeCell ref="H27:H28"/>
    <mergeCell ref="I55:I56"/>
    <mergeCell ref="Y45:Y46"/>
    <mergeCell ref="G59:G60"/>
    <mergeCell ref="I59:I60"/>
    <mergeCell ref="AA67:AA68"/>
    <mergeCell ref="C13:C14"/>
    <mergeCell ref="AA11:AA12"/>
    <mergeCell ref="Y47:Y48"/>
    <mergeCell ref="AA47:AA48"/>
    <mergeCell ref="C15:C16"/>
    <mergeCell ref="F53:F54"/>
    <mergeCell ref="H53:H54"/>
    <mergeCell ref="C79:C80"/>
    <mergeCell ref="AA27:AA28"/>
    <mergeCell ref="H9:H10"/>
    <mergeCell ref="E79:E80"/>
    <mergeCell ref="J9:J10"/>
    <mergeCell ref="J69:J70"/>
    <mergeCell ref="E73:E74"/>
    <mergeCell ref="C29:C30"/>
    <mergeCell ref="F55:F56"/>
    <mergeCell ref="E23:E24"/>
    <mergeCell ref="H55:H56"/>
    <mergeCell ref="H11:H12"/>
    <mergeCell ref="J11:J12"/>
    <mergeCell ref="J83:J84"/>
    <mergeCell ref="D13:D14"/>
    <mergeCell ref="C41:C42"/>
    <mergeCell ref="D7:D8"/>
    <mergeCell ref="I43:I44"/>
    <mergeCell ref="D15:D16"/>
    <mergeCell ref="I67:I68"/>
    <mergeCell ref="C43:C44"/>
    <mergeCell ref="D71:D72"/>
    <mergeCell ref="F71:F72"/>
    <mergeCell ref="G5:G6"/>
    <mergeCell ref="X79:X80"/>
    <mergeCell ref="Z79:Z80"/>
    <mergeCell ref="G51:G52"/>
    <mergeCell ref="I51:I52"/>
    <mergeCell ref="X29:X30"/>
    <mergeCell ref="F37:F38"/>
    <mergeCell ref="Z23:Z24"/>
    <mergeCell ref="H37:H38"/>
    <mergeCell ref="D73:D74"/>
    <mergeCell ref="X21:X22"/>
    <mergeCell ref="F73:F74"/>
    <mergeCell ref="X81:X82"/>
    <mergeCell ref="A47:B58"/>
    <mergeCell ref="X31:X32"/>
    <mergeCell ref="Z31:Z32"/>
    <mergeCell ref="E21:E22"/>
    <mergeCell ref="G21:G22"/>
    <mergeCell ref="AA29:AA30"/>
    <mergeCell ref="J57:J58"/>
    <mergeCell ref="Y15:Y16"/>
    <mergeCell ref="Y71:Y72"/>
    <mergeCell ref="G23:G24"/>
    <mergeCell ref="H43:H44"/>
    <mergeCell ref="AA19:AA20"/>
    <mergeCell ref="Y55:Y56"/>
    <mergeCell ref="Y79:Y80"/>
    <mergeCell ref="AA37:AA38"/>
    <mergeCell ref="Y73:Y74"/>
    <mergeCell ref="AA73:AA74"/>
    <mergeCell ref="C65:C66"/>
    <mergeCell ref="X49:X50"/>
    <mergeCell ref="H17:H18"/>
    <mergeCell ref="C31:C32"/>
    <mergeCell ref="E31:E32"/>
    <mergeCell ref="X5:X6"/>
    <mergeCell ref="Z67:Z68"/>
    <mergeCell ref="H19:H20"/>
    <mergeCell ref="Z5:Z6"/>
    <mergeCell ref="J25:J26"/>
    <mergeCell ref="F61:F62"/>
    <mergeCell ref="X69:X70"/>
    <mergeCell ref="Z69:Z70"/>
    <mergeCell ref="D25:D26"/>
    <mergeCell ref="G9:G10"/>
    <mergeCell ref="D79:D80"/>
    <mergeCell ref="I9:I10"/>
    <mergeCell ref="AA17:AA18"/>
    <mergeCell ref="D23:D24"/>
    <mergeCell ref="G77:G78"/>
    <mergeCell ref="G11:G12"/>
    <mergeCell ref="I77:I78"/>
    <mergeCell ref="I11:I12"/>
    <mergeCell ref="C49:C50"/>
    <mergeCell ref="D81:D82"/>
    <mergeCell ref="W5:W6"/>
    <mergeCell ref="Y67:Y68"/>
    <mergeCell ref="X39:X40"/>
    <mergeCell ref="Y5:Y6"/>
    <mergeCell ref="I75:I76"/>
    <mergeCell ref="E29:E30"/>
    <mergeCell ref="AA33:AA34"/>
    <mergeCell ref="X37:X38"/>
    <mergeCell ref="J65:J66"/>
    <mergeCell ref="F51:F52"/>
    <mergeCell ref="H51:H52"/>
    <mergeCell ref="Z17:Z18"/>
    <mergeCell ref="G37:G38"/>
    <mergeCell ref="I37:I38"/>
    <mergeCell ref="AA45:AA46"/>
    <mergeCell ref="Y81:Y82"/>
    <mergeCell ref="Z19:Z20"/>
    <mergeCell ref="C39:C40"/>
    <mergeCell ref="D29:D30"/>
    <mergeCell ref="F29:F30"/>
    <mergeCell ref="AA51:AA52"/>
    <mergeCell ref="I65:I66"/>
    <mergeCell ref="H33:H34"/>
    <mergeCell ref="J33:J34"/>
    <mergeCell ref="X77:X78"/>
    <mergeCell ref="D31:D32"/>
    <mergeCell ref="Z77:Z78"/>
    <mergeCell ref="X27:X28"/>
    <mergeCell ref="Y63:Y64"/>
    <mergeCell ref="H35:H36"/>
    <mergeCell ref="J13:J14"/>
    <mergeCell ref="E17:E18"/>
    <mergeCell ref="G17:G18"/>
    <mergeCell ref="J15:J16"/>
    <mergeCell ref="E19:E20"/>
    <mergeCell ref="G19:G20"/>
    <mergeCell ref="C75:C76"/>
    <mergeCell ref="I25:I26"/>
    <mergeCell ref="J79:J80"/>
    <mergeCell ref="Y69:Y70"/>
    <mergeCell ref="G83:G84"/>
    <mergeCell ref="C25:C26"/>
    <mergeCell ref="AA69:AA70"/>
    <mergeCell ref="I83:I84"/>
    <mergeCell ref="A77:B78"/>
    <mergeCell ref="AA41:AA42"/>
    <mergeCell ref="AA35:AA36"/>
    <mergeCell ref="X63:X64"/>
    <mergeCell ref="Z63:Z64"/>
    <mergeCell ref="I13:I14"/>
    <mergeCell ref="J41:J42"/>
    <mergeCell ref="F77:F78"/>
    <mergeCell ref="E45:E46"/>
    <mergeCell ref="H77:H78"/>
    <mergeCell ref="G45:G46"/>
    <mergeCell ref="C81:C82"/>
    <mergeCell ref="C53:C54"/>
    <mergeCell ref="D19:D20"/>
    <mergeCell ref="H25:H26"/>
    <mergeCell ref="E53:E54"/>
    <mergeCell ref="F19:F20"/>
    <mergeCell ref="E47:E48"/>
    <mergeCell ref="Z27:Z28"/>
    <mergeCell ref="G47:G48"/>
    <mergeCell ref="F59:F60"/>
    <mergeCell ref="H59:H60"/>
    <mergeCell ref="C63:C64"/>
    <mergeCell ref="J59:J60"/>
    <mergeCell ref="E63:E64"/>
    <mergeCell ref="D45:D46"/>
    <mergeCell ref="L5:L6"/>
    <mergeCell ref="F45:F46"/>
    <mergeCell ref="N5:N6"/>
    <mergeCell ref="X53:X54"/>
    <mergeCell ref="Y19:Y20"/>
    <mergeCell ref="Z53:Z54"/>
    <mergeCell ref="C71:C72"/>
    <mergeCell ref="H61:H62"/>
    <mergeCell ref="D47:D48"/>
    <mergeCell ref="F47:F48"/>
    <mergeCell ref="X55:X56"/>
    <mergeCell ref="AA83:AA84"/>
    <mergeCell ref="H65:H66"/>
    <mergeCell ref="G33:G34"/>
    <mergeCell ref="Y77:Y78"/>
    <mergeCell ref="E41:E42"/>
    <mergeCell ref="J31:J32"/>
    <mergeCell ref="G41:G42"/>
    <mergeCell ref="C4:AA4"/>
    <mergeCell ref="G35:G36"/>
    <mergeCell ref="I35:I36"/>
    <mergeCell ref="D63:D64"/>
    <mergeCell ref="X71:X72"/>
    <mergeCell ref="A59:B70"/>
    <mergeCell ref="I15:I16"/>
    <mergeCell ref="D27:D28"/>
    <mergeCell ref="F83:F84"/>
    <mergeCell ref="E55:E56"/>
    <mergeCell ref="H83:H84"/>
    <mergeCell ref="A5:B6"/>
    <mergeCell ref="Y21:Y22"/>
    <mergeCell ref="Z41:Z42"/>
    <mergeCell ref="H49:H50"/>
    <mergeCell ref="J49:J50"/>
    <mergeCell ref="F35:F36"/>
    <mergeCell ref="Z43:Z44"/>
    <mergeCell ref="I33:I34"/>
    <mergeCell ref="D53:D54"/>
    <mergeCell ref="D9:D10"/>
    <mergeCell ref="A7:B22"/>
    <mergeCell ref="Y27:Y28"/>
    <mergeCell ref="F9:F10"/>
    <mergeCell ref="D55:D56"/>
    <mergeCell ref="H75:H76"/>
    <mergeCell ref="X59:X60"/>
    <mergeCell ref="F11:F12"/>
    <mergeCell ref="Z59:Z60"/>
    <mergeCell ref="X61:X62"/>
    <mergeCell ref="Z61:Z62"/>
    <mergeCell ref="J39:J40"/>
    <mergeCell ref="K5:K6"/>
    <mergeCell ref="C5:C6"/>
    <mergeCell ref="E67:E68"/>
    <mergeCell ref="M5:M6"/>
    <mergeCell ref="E5:E6"/>
    <mergeCell ref="Y53:Y54"/>
    <mergeCell ref="G67:G68"/>
    <mergeCell ref="G61:G62"/>
    <mergeCell ref="Y9:Y10"/>
    <mergeCell ref="I61:I62"/>
    <mergeCell ref="AA9:AA10"/>
    <mergeCell ref="E51:E52"/>
    <mergeCell ref="E69:E70"/>
    <mergeCell ref="X23:X24"/>
    <mergeCell ref="G69:G70"/>
    <mergeCell ref="Y11:Y12"/>
    <mergeCell ref="A23:B46"/>
    <mergeCell ref="F17:F18"/>
    <mergeCell ref="AA75:AA76"/>
    <mergeCell ref="C21:C22"/>
    <mergeCell ref="D41:D42"/>
    <mergeCell ref="F41:F42"/>
    <mergeCell ref="H57:H58"/>
    <mergeCell ref="C23:C24"/>
    <mergeCell ref="I39:I40"/>
    <mergeCell ref="D43:D44"/>
    <mergeCell ref="J75:J76"/>
    <mergeCell ref="F43:F44"/>
    <mergeCell ref="X51:X52"/>
    <mergeCell ref="AA79:AA80"/>
    <mergeCell ref="Z51:Z52"/>
    <mergeCell ref="X9:X10"/>
    <mergeCell ref="Y37:Y38"/>
    <mergeCell ref="Y41:Y42"/>
    <mergeCell ref="T5:T6"/>
    <mergeCell ref="J81:J82"/>
    <mergeCell ref="I49:I50"/>
    <mergeCell ref="X67:X68"/>
    <mergeCell ref="V5:V6"/>
    <mergeCell ref="J53:J54"/>
    <mergeCell ref="Y43:Y44"/>
    <mergeCell ref="G57:G58"/>
    <mergeCell ref="F25:F26"/>
    <mergeCell ref="AA43:AA44"/>
    <mergeCell ref="C9:C10"/>
    <mergeCell ref="E9:E10"/>
    <mergeCell ref="Y17:Y18"/>
    <mergeCell ref="C55:C56"/>
    <mergeCell ref="C11:C12"/>
    <mergeCell ref="H7:H8"/>
    <mergeCell ref="E77:E78"/>
    <mergeCell ref="E11:E12"/>
    <mergeCell ref="Y59:Y60"/>
    <mergeCell ref="J63:J64"/>
    <mergeCell ref="J7:J8"/>
    <mergeCell ref="S5:S6"/>
    <mergeCell ref="U5:U6"/>
    <mergeCell ref="Y25:Y26"/>
    <mergeCell ref="H71:H72"/>
    <mergeCell ref="AA25:AA26"/>
    <mergeCell ref="E75:E76"/>
    <mergeCell ref="Y61:Y62"/>
    <mergeCell ref="D67:D68"/>
    <mergeCell ref="D5:D6"/>
    <mergeCell ref="F67:F68"/>
    <mergeCell ref="Z9:Z10"/>
    <mergeCell ref="D51:D52"/>
    <mergeCell ref="C37:C38"/>
    <mergeCell ref="AA13:AA14"/>
    <mergeCell ref="D69:D70"/>
    <mergeCell ref="X17:X18"/>
    <mergeCell ref="F69:F70"/>
    <mergeCell ref="E37:E38"/>
    <mergeCell ref="X11:X12"/>
    <mergeCell ref="Z11:Z12"/>
  </mergeCells>
  <conditionalFormatting sqref="C7 C9 C11 C13 C15 C17 C19 C21 C23 C25 C27 C29 C31 C33 C35 C37 C39 C41 C43 C45 C47 C49 C51 C53 C55 C57 C59 C61 C63 C65 C67 C69 C71 C73 C75 C77 C79 C81 C83 E7:J7 E9:J9 E11:J11 E13:J13 E15:J15 E17:J17 E19:J19 E21:J21 E23:J23 E25:J25 E27:J27 E29:J29 E31:J31 E33:J33 E35:J35 E37:J37 E39:J39 E41:J41 E43:J43 E45:J45 E47:J47 E49:J49 E51:J51 E53:J53 E55:J55 E57:J57 E59:J59 E61:J61 E63:J63 E65:J65 E67:J67 E69:J69 E71:J71 E73:J73 E75:J75 E77:J77 E79:J79 E81:J81 E83:J83">
    <cfRule type="containsBlanks" priority="75" dxfId="3">
      <formula>LEN(TRIM(C7))=0</formula>
    </cfRule>
  </conditionalFormatting>
  <conditionalFormatting sqref="D7:D73">
    <cfRule type="containsBlanks" priority="2" dxfId="3">
      <formula>LEN(TRIM(D7))=0</formula>
    </cfRule>
  </conditionalFormatting>
  <conditionalFormatting sqref="D75:D84">
    <cfRule type="containsBlanks" priority="1" dxfId="3">
      <formula>LEN(TRIM(D75))=0</formula>
    </cfRule>
  </conditionalFormatting>
  <conditionalFormatting sqref="I85:I86">
    <cfRule type="expression" priority="126" dxfId="691">
      <formula>I85&lt;Q85</formula>
    </cfRule>
    <cfRule type="expression" priority="127" dxfId="690">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priority="5" dxfId="3">
      <formula>LEN(TRIM(L8))=0</formula>
    </cfRule>
    <cfRule type="expression" priority="22" dxfId="1">
      <formula>AND(OR($I7="Higher the better", $I7="Higher the Better"), L8&gt;=L7)</formula>
    </cfRule>
    <cfRule type="expression" priority="23" dxfId="0">
      <formula>AND(OR($I7="Higher the better", $I7="Higher the Better"), L8&lt;L7)</formula>
    </cfRule>
    <cfRule type="expression" priority="24" dxfId="1">
      <formula>AND(OR($I7="Lower the better", $I7="Lower the Better"), L8&lt;=L7)</formula>
    </cfRule>
    <cfRule type="expression" priority="25" dxfId="0">
      <formula>AND(OR($I7="Lower the better", $I7="Lower the Better"), L8&gt;L7)</formula>
    </cfRule>
  </conditionalFormatting>
  <conditionalFormatting sqref="L86:W86">
    <cfRule type="containsBlanks" priority="77" dxfId="2">
      <formula>LEN(TRIM(L86))=0</formula>
    </cfRule>
    <cfRule type="expression" priority="78" dxfId="683">
      <formula>L86&gt;=L85</formula>
    </cfRule>
    <cfRule type="expression" priority="79" dxfId="682">
      <formula>L86&lt;L85</formula>
    </cfRule>
  </conditionalFormatting>
  <dataValidations count="4">
    <dataValidation sqref="D2" showDropDown="0" showInputMessage="1" showErrorMessage="1" allowBlank="1" type="list">
      <formula1>"Jan-2026, Feb-2026, Mar-2026, Apr-2026, May-2026, Jun-2026, Jul-2026, Aug-2026, Sep-2026, Oct-2026, Nov-2026, Dec-2026"</formula1>
    </dataValidation>
    <dataValidation sqref="H77:H78" showDropDown="0" showInputMessage="1" showErrorMessage="1" allowBlank="1" type="list">
      <formula1>"%, Mn, No., "</formula1>
    </dataValidation>
    <dataValidation sqref="J77:J78" showDropDown="0" showInputMessage="1" showErrorMessage="1" allowBlank="1" type="list">
      <formula1>"Monthly, Quarterly, Half yearly"</formula1>
    </dataValidation>
    <dataValidation sqref="I77:I78" showDropDown="0" showInputMessage="1" showErrorMessage="1" allowBlank="1" type="list">
      <formula1>"Higher the better, Lower the better"</formula1>
    </dataValidation>
  </dataValidations>
  <pageMargins left="0.7" right="0.7" top="0.75" bottom="0.75" header="0.3" footer="0.3"/>
  <pageSetup orientation="portrait"/>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156"/>
  <sheetViews>
    <sheetView workbookViewId="0">
      <pane xSplit="1" topLeftCell="B1" activePane="topRight" state="frozen"/>
      <selection pane="topRight" activeCell="A1" sqref="A1"/>
    </sheetView>
  </sheetViews>
  <sheetFormatPr baseColWidth="8" defaultRowHeight="14.45"/>
  <cols>
    <col width="42.5703125" bestFit="1" customWidth="1" min="1" max="1"/>
    <col width="35.5703125" customWidth="1" min="2" max="2"/>
    <col width="11" customWidth="1" min="3" max="3"/>
    <col width="9.5703125" customWidth="1" min="4" max="4"/>
    <col width="17.42578125" customWidth="1" min="6" max="6"/>
    <col width="11.5703125" customWidth="1" min="7" max="7"/>
    <col width="14.42578125" customWidth="1" min="8" max="8"/>
    <col width="10.42578125" customWidth="1" min="9" max="9"/>
    <col width="10.5703125" customWidth="1" min="10" max="11"/>
    <col width="10.42578125" customWidth="1" min="12" max="12"/>
    <col width="10.5703125" customWidth="1" min="13" max="13"/>
    <col width="10.42578125" customWidth="1" min="14" max="14"/>
    <col width="9.5703125" customWidth="1" min="15" max="15"/>
    <col width="10.5703125" customWidth="1" min="16" max="17"/>
    <col width="10.42578125" customWidth="1" min="18" max="18"/>
    <col width="10.5703125" customWidth="1" min="19" max="20"/>
  </cols>
  <sheetData>
    <row r="1" ht="18.6" customHeight="1">
      <c r="A1" s="263" t="inlineStr">
        <is>
          <t>Mastersheet</t>
        </is>
      </c>
    </row>
    <row r="3" ht="15" customHeight="1">
      <c r="A3" s="13" t="inlineStr">
        <is>
          <t>Quality DMB</t>
        </is>
      </c>
    </row>
    <row r="4">
      <c r="A4" t="inlineStr">
        <is>
          <t>KPI Name</t>
        </is>
      </c>
      <c r="B4" t="inlineStr">
        <is>
          <t>KPI  Definition</t>
        </is>
      </c>
      <c r="C4" t="inlineStr">
        <is>
          <t>Operators</t>
        </is>
      </c>
      <c r="D4" t="inlineStr">
        <is>
          <t>Target AOP 2026</t>
        </is>
      </c>
      <c r="E4" t="inlineStr">
        <is>
          <t>Units</t>
        </is>
      </c>
      <c r="F4" t="inlineStr">
        <is>
          <t>Metric nature</t>
        </is>
      </c>
      <c r="G4" t="inlineStr">
        <is>
          <t>Frequency</t>
        </is>
      </c>
      <c r="H4" t="inlineStr">
        <is>
          <t>Target/ Actual</t>
        </is>
      </c>
      <c r="I4" t="inlineStr">
        <is>
          <t>Jan-2026</t>
        </is>
      </c>
      <c r="J4" t="inlineStr">
        <is>
          <t>Feb-2026</t>
        </is>
      </c>
      <c r="K4" t="inlineStr">
        <is>
          <t>Mar-2026</t>
        </is>
      </c>
      <c r="L4" t="inlineStr">
        <is>
          <t>Apr-2026</t>
        </is>
      </c>
      <c r="M4" t="inlineStr">
        <is>
          <t>May-2026</t>
        </is>
      </c>
      <c r="N4" t="inlineStr">
        <is>
          <t>Jun-2026</t>
        </is>
      </c>
      <c r="O4" t="inlineStr">
        <is>
          <t>Jul-2026</t>
        </is>
      </c>
      <c r="P4" t="inlineStr">
        <is>
          <t>Aug-2026</t>
        </is>
      </c>
      <c r="Q4" t="inlineStr">
        <is>
          <t>Sep-2026</t>
        </is>
      </c>
      <c r="R4" t="inlineStr">
        <is>
          <t>Oct-2026</t>
        </is>
      </c>
      <c r="S4" t="inlineStr">
        <is>
          <t>Nov-2026</t>
        </is>
      </c>
      <c r="T4" t="inlineStr">
        <is>
          <t>Dec-2026</t>
        </is>
      </c>
    </row>
    <row r="5" ht="15" customHeight="1">
      <c r="A5">
        <f>'1.Quality'!A20</f>
        <v/>
      </c>
      <c r="B5">
        <f>'1.Quality'!B20</f>
        <v/>
      </c>
      <c r="C5">
        <f>'1.Quality'!C20</f>
        <v/>
      </c>
      <c r="D5">
        <f>'1.Quality'!D20</f>
        <v/>
      </c>
      <c r="E5">
        <f>'1.Quality'!E20</f>
        <v/>
      </c>
      <c r="F5">
        <f>'1.Quality'!F20</f>
        <v/>
      </c>
      <c r="G5">
        <f>'1.Quality'!G20</f>
        <v/>
      </c>
      <c r="H5">
        <f>IF('1.Quality'!H20="","",'1.Quality'!H20)</f>
        <v/>
      </c>
      <c r="I5" s="264">
        <f>IF('1.Quality'!I20="","",'1.Quality'!I20)</f>
        <v/>
      </c>
      <c r="J5" s="264">
        <f>IF('1.Quality'!J20="","",'1.Quality'!J20)</f>
        <v/>
      </c>
      <c r="K5" s="264">
        <f>IF('1.Quality'!K20="","",'1.Quality'!K20)</f>
        <v/>
      </c>
      <c r="L5" s="264">
        <f>IF('1.Quality'!L20="","",'1.Quality'!L20)</f>
        <v/>
      </c>
      <c r="M5" s="264">
        <f>IF('1.Quality'!M20="","",'1.Quality'!M20)</f>
        <v/>
      </c>
      <c r="N5" s="264">
        <f>IF('1.Quality'!N20="","",'1.Quality'!N20)</f>
        <v/>
      </c>
      <c r="O5" s="264">
        <f>IF('1.Quality'!O20="","",'1.Quality'!O20)</f>
        <v/>
      </c>
      <c r="P5" s="264">
        <f>IF('1.Quality'!P20="","",'1.Quality'!P20)</f>
        <v/>
      </c>
      <c r="Q5" s="264">
        <f>IF('1.Quality'!Q20="","",'1.Quality'!Q20)</f>
        <v/>
      </c>
      <c r="R5" s="264">
        <f>IF('1.Quality'!R20="","",'1.Quality'!R20)</f>
        <v/>
      </c>
      <c r="S5" s="264">
        <f>IF('1.Quality'!S20="","",'1.Quality'!S20)</f>
        <v/>
      </c>
      <c r="T5" s="264">
        <f>IF('1.Quality'!T20="","",'1.Quality'!T20)</f>
        <v/>
      </c>
    </row>
    <row r="6">
      <c r="A6">
        <f>'1.Quality'!A20</f>
        <v/>
      </c>
      <c r="B6">
        <f>'1.Quality'!B20</f>
        <v/>
      </c>
      <c r="C6">
        <f>'1.Quality'!C20</f>
        <v/>
      </c>
      <c r="D6">
        <f>'1.Quality'!D20</f>
        <v/>
      </c>
      <c r="E6">
        <f>'1.Quality'!E20</f>
        <v/>
      </c>
      <c r="F6">
        <f>'1.Quality'!F20</f>
        <v/>
      </c>
      <c r="G6">
        <f>'1.Quality'!G20</f>
        <v/>
      </c>
      <c r="H6">
        <f>IF('1.Quality'!H21="","",'1.Quality'!H21)</f>
        <v/>
      </c>
      <c r="I6" s="264">
        <f>IF('1.Quality'!I21="","",'1.Quality'!I21)</f>
        <v/>
      </c>
      <c r="J6" s="264">
        <f>IF('1.Quality'!J21="","",'1.Quality'!J21)</f>
        <v/>
      </c>
      <c r="K6" s="264">
        <f>IF('1.Quality'!K21="","",'1.Quality'!K21)</f>
        <v/>
      </c>
      <c r="L6" s="264">
        <f>IF('1.Quality'!L21="","",'1.Quality'!L21)</f>
        <v/>
      </c>
      <c r="M6" s="264">
        <f>IF('1.Quality'!M21="","",'1.Quality'!M21)</f>
        <v/>
      </c>
      <c r="N6" s="264">
        <f>IF('1.Quality'!N21="","",'1.Quality'!N21)</f>
        <v/>
      </c>
      <c r="O6" s="264">
        <f>IF('1.Quality'!O21="","",'1.Quality'!O21)</f>
        <v/>
      </c>
      <c r="P6" s="264">
        <f>IF('1.Quality'!P21="","",'1.Quality'!P21)</f>
        <v/>
      </c>
      <c r="Q6" s="264">
        <f>IF('1.Quality'!Q21="","",'1.Quality'!Q21)</f>
        <v/>
      </c>
      <c r="R6" s="264">
        <f>IF('1.Quality'!R21="","",'1.Quality'!R21)</f>
        <v/>
      </c>
      <c r="S6" s="264">
        <f>IF('1.Quality'!S21="","",'1.Quality'!S21)</f>
        <v/>
      </c>
      <c r="T6" s="264">
        <f>IF('1.Quality'!T21="","",'1.Quality'!T21)</f>
        <v/>
      </c>
    </row>
    <row r="7" ht="15" customHeight="1">
      <c r="A7">
        <f>'1.Quality'!A22</f>
        <v/>
      </c>
      <c r="B7">
        <f>'1.Quality'!B22</f>
        <v/>
      </c>
      <c r="C7">
        <f>'1.Quality'!C22</f>
        <v/>
      </c>
      <c r="D7">
        <f>'1.Quality'!D22</f>
        <v/>
      </c>
      <c r="E7">
        <f>'1.Quality'!E22</f>
        <v/>
      </c>
      <c r="F7">
        <f>'1.Quality'!F22</f>
        <v/>
      </c>
      <c r="G7">
        <f>'1.Quality'!G22</f>
        <v/>
      </c>
      <c r="H7">
        <f>IF('1.Quality'!H22="","",'1.Quality'!H22)</f>
        <v/>
      </c>
      <c r="I7">
        <f>IF('1.Quality'!I22="","",'1.Quality'!I22)</f>
        <v/>
      </c>
      <c r="J7">
        <f>IF('1.Quality'!J22="","",'1.Quality'!J22)</f>
        <v/>
      </c>
      <c r="K7">
        <f>IF('1.Quality'!K22="","",'1.Quality'!K22)</f>
        <v/>
      </c>
      <c r="L7">
        <f>IF('1.Quality'!L22="","",'1.Quality'!L22)</f>
        <v/>
      </c>
      <c r="M7">
        <f>IF('1.Quality'!M22="","",'1.Quality'!M22)</f>
        <v/>
      </c>
      <c r="N7">
        <f>IF('1.Quality'!N22="","",'1.Quality'!N22)</f>
        <v/>
      </c>
      <c r="O7">
        <f>IF('1.Quality'!O22="","",'1.Quality'!O22)</f>
        <v/>
      </c>
      <c r="P7">
        <f>IF('1.Quality'!P22="","",'1.Quality'!P22)</f>
        <v/>
      </c>
      <c r="Q7">
        <f>IF('1.Quality'!Q22="","",'1.Quality'!Q22)</f>
        <v/>
      </c>
      <c r="R7">
        <f>IF('1.Quality'!R22="","",'1.Quality'!R22)</f>
        <v/>
      </c>
      <c r="S7">
        <f>IF('1.Quality'!S22="","",'1.Quality'!S22)</f>
        <v/>
      </c>
      <c r="T7">
        <f>IF('1.Quality'!T22="","",'1.Quality'!T22)</f>
        <v/>
      </c>
    </row>
    <row r="8">
      <c r="A8">
        <f>'1.Quality'!A22</f>
        <v/>
      </c>
      <c r="B8">
        <f>'1.Quality'!B22</f>
        <v/>
      </c>
      <c r="C8">
        <f>'1.Quality'!C22</f>
        <v/>
      </c>
      <c r="D8">
        <f>'1.Quality'!D22</f>
        <v/>
      </c>
      <c r="E8">
        <f>'1.Quality'!E22</f>
        <v/>
      </c>
      <c r="F8">
        <f>'1.Quality'!F22</f>
        <v/>
      </c>
      <c r="G8">
        <f>'1.Quality'!G22</f>
        <v/>
      </c>
      <c r="H8">
        <f>IF('1.Quality'!H23="","",'1.Quality'!H23)</f>
        <v/>
      </c>
      <c r="I8">
        <f>IF('1.Quality'!I23="","",'1.Quality'!I23)</f>
        <v/>
      </c>
      <c r="J8">
        <f>IF('1.Quality'!J23="","",'1.Quality'!J23)</f>
        <v/>
      </c>
      <c r="K8">
        <f>IF('1.Quality'!K23="","",'1.Quality'!K23)</f>
        <v/>
      </c>
      <c r="L8">
        <f>IF('1.Quality'!L23="","",'1.Quality'!L23)</f>
        <v/>
      </c>
      <c r="M8">
        <f>IF('1.Quality'!M23="","",'1.Quality'!M23)</f>
        <v/>
      </c>
      <c r="N8">
        <f>IF('1.Quality'!N23="","",'1.Quality'!N23)</f>
        <v/>
      </c>
      <c r="O8">
        <f>IF('1.Quality'!O23="","",'1.Quality'!O23)</f>
        <v/>
      </c>
      <c r="P8">
        <f>IF('1.Quality'!P23="","",'1.Quality'!P23)</f>
        <v/>
      </c>
      <c r="Q8">
        <f>IF('1.Quality'!Q23="","",'1.Quality'!Q23)</f>
        <v/>
      </c>
      <c r="R8">
        <f>IF('1.Quality'!R23="","",'1.Quality'!R23)</f>
        <v/>
      </c>
      <c r="S8">
        <f>IF('1.Quality'!S23="","",'1.Quality'!S23)</f>
        <v/>
      </c>
      <c r="T8">
        <f>IF('1.Quality'!T23="","",'1.Quality'!T23)</f>
        <v/>
      </c>
    </row>
    <row r="9" ht="15" customHeight="1">
      <c r="A9">
        <f>'1.Quality'!#REF!</f>
        <v/>
      </c>
      <c r="B9">
        <f>'1.Quality'!#REF!</f>
        <v/>
      </c>
      <c r="C9">
        <f>'1.Quality'!#REF!</f>
        <v/>
      </c>
      <c r="D9">
        <f>'1.Quality'!#REF!</f>
        <v/>
      </c>
      <c r="E9">
        <f>'1.Quality'!#REF!</f>
        <v/>
      </c>
      <c r="F9">
        <f>'1.Quality'!#REF!</f>
        <v/>
      </c>
      <c r="G9">
        <f>'1.Quality'!#REF!</f>
        <v/>
      </c>
      <c r="H9">
        <f>IF('1.Quality'!#REF!="","",'1.Quality'!#REF!)</f>
        <v/>
      </c>
      <c r="I9">
        <f>IF('1.Quality'!#REF!="","",'1.Quality'!#REF!)</f>
        <v/>
      </c>
      <c r="J9">
        <f>IF('1.Quality'!#REF!="","",'1.Quality'!#REF!)</f>
        <v/>
      </c>
      <c r="K9">
        <f>IF('1.Quality'!#REF!="","",'1.Quality'!#REF!)</f>
        <v/>
      </c>
      <c r="L9">
        <f>IF('1.Quality'!#REF!="","",'1.Quality'!#REF!)</f>
        <v/>
      </c>
      <c r="M9">
        <f>IF('1.Quality'!#REF!="","",'1.Quality'!#REF!)</f>
        <v/>
      </c>
      <c r="N9">
        <f>IF('1.Quality'!#REF!="","",'1.Quality'!#REF!)</f>
        <v/>
      </c>
      <c r="O9">
        <f>IF('1.Quality'!#REF!="","",'1.Quality'!#REF!)</f>
        <v/>
      </c>
      <c r="P9">
        <f>IF('1.Quality'!#REF!="","",'1.Quality'!#REF!)</f>
        <v/>
      </c>
      <c r="Q9">
        <f>IF('1.Quality'!#REF!="","",'1.Quality'!#REF!)</f>
        <v/>
      </c>
      <c r="R9">
        <f>IF('1.Quality'!#REF!="","",'1.Quality'!#REF!)</f>
        <v/>
      </c>
      <c r="S9">
        <f>IF('1.Quality'!#REF!="","",'1.Quality'!#REF!)</f>
        <v/>
      </c>
      <c r="T9">
        <f>IF('1.Quality'!#REF!="","",'1.Quality'!#REF!)</f>
        <v/>
      </c>
    </row>
    <row r="10">
      <c r="A10">
        <f>'1.Quality'!#REF!</f>
        <v/>
      </c>
      <c r="B10">
        <f>'1.Quality'!#REF!</f>
        <v/>
      </c>
      <c r="C10">
        <f>'1.Quality'!#REF!</f>
        <v/>
      </c>
      <c r="D10">
        <f>'1.Quality'!#REF!</f>
        <v/>
      </c>
      <c r="E10">
        <f>'1.Quality'!#REF!</f>
        <v/>
      </c>
      <c r="F10">
        <f>'1.Quality'!#REF!</f>
        <v/>
      </c>
      <c r="G10">
        <f>'1.Quality'!#REF!</f>
        <v/>
      </c>
      <c r="H10">
        <f>IF('1.Quality'!#REF!="","",'1.Quality'!#REF!)</f>
        <v/>
      </c>
      <c r="I10">
        <f>IF('1.Quality'!#REF!="","",'1.Quality'!#REF!)</f>
        <v/>
      </c>
      <c r="J10">
        <f>IF('1.Quality'!#REF!="","",'1.Quality'!#REF!)</f>
        <v/>
      </c>
      <c r="K10">
        <f>IF('1.Quality'!#REF!="","",'1.Quality'!#REF!)</f>
        <v/>
      </c>
      <c r="L10">
        <f>IF('1.Quality'!#REF!="","",'1.Quality'!#REF!)</f>
        <v/>
      </c>
      <c r="M10">
        <f>IF('1.Quality'!#REF!="","",'1.Quality'!#REF!)</f>
        <v/>
      </c>
      <c r="N10">
        <f>IF('1.Quality'!#REF!="","",'1.Quality'!#REF!)</f>
        <v/>
      </c>
      <c r="O10">
        <f>IF('1.Quality'!#REF!="","",'1.Quality'!#REF!)</f>
        <v/>
      </c>
      <c r="P10">
        <f>IF('1.Quality'!#REF!="","",'1.Quality'!#REF!)</f>
        <v/>
      </c>
      <c r="Q10">
        <f>IF('1.Quality'!#REF!="","",'1.Quality'!#REF!)</f>
        <v/>
      </c>
      <c r="R10">
        <f>IF('1.Quality'!#REF!="","",'1.Quality'!#REF!)</f>
        <v/>
      </c>
      <c r="S10">
        <f>IF('1.Quality'!#REF!="","",'1.Quality'!#REF!)</f>
        <v/>
      </c>
      <c r="T10">
        <f>IF('1.Quality'!#REF!="","",'1.Quality'!#REF!)</f>
        <v/>
      </c>
    </row>
    <row r="11">
      <c r="A11">
        <f>'1.Quality'!#REF!</f>
        <v/>
      </c>
      <c r="B11">
        <f>'1.Quality'!#REF!</f>
        <v/>
      </c>
      <c r="C11">
        <f>'1.Quality'!#REF!</f>
        <v/>
      </c>
      <c r="D11">
        <f>'1.Quality'!#REF!</f>
        <v/>
      </c>
      <c r="E11">
        <f>'1.Quality'!#REF!</f>
        <v/>
      </c>
      <c r="F11">
        <f>'1.Quality'!#REF!</f>
        <v/>
      </c>
      <c r="G11">
        <f>'1.Quality'!#REF!</f>
        <v/>
      </c>
      <c r="H11">
        <f>IF('1.Quality'!#REF!="","",'1.Quality'!#REF!)</f>
        <v/>
      </c>
      <c r="I11" s="264">
        <f>IF('1.Quality'!#REF!="","",'1.Quality'!#REF!)</f>
        <v/>
      </c>
      <c r="J11" s="264">
        <f>IF('1.Quality'!#REF!="","",'1.Quality'!#REF!)</f>
        <v/>
      </c>
      <c r="K11" s="264">
        <f>IF('1.Quality'!#REF!="","",'1.Quality'!#REF!)</f>
        <v/>
      </c>
      <c r="L11" s="264">
        <f>IF('1.Quality'!#REF!="","",'1.Quality'!#REF!)</f>
        <v/>
      </c>
      <c r="M11" s="264">
        <f>IF('1.Quality'!#REF!="","",'1.Quality'!#REF!)</f>
        <v/>
      </c>
      <c r="N11" s="264">
        <f>IF('1.Quality'!#REF!="","",'1.Quality'!#REF!)</f>
        <v/>
      </c>
      <c r="O11" s="264">
        <f>IF('1.Quality'!#REF!="","",'1.Quality'!#REF!)</f>
        <v/>
      </c>
      <c r="P11" s="264">
        <f>IF('1.Quality'!#REF!="","",'1.Quality'!#REF!)</f>
        <v/>
      </c>
      <c r="Q11" s="264">
        <f>IF('1.Quality'!#REF!="","",'1.Quality'!#REF!)</f>
        <v/>
      </c>
      <c r="R11" s="264">
        <f>IF('1.Quality'!#REF!="","",'1.Quality'!#REF!)</f>
        <v/>
      </c>
      <c r="S11" s="264">
        <f>IF('1.Quality'!#REF!="","",'1.Quality'!#REF!)</f>
        <v/>
      </c>
      <c r="T11" s="264">
        <f>IF('1.Quality'!#REF!="","",'1.Quality'!#REF!)</f>
        <v/>
      </c>
    </row>
    <row r="12">
      <c r="A12">
        <f>'1.Quality'!#REF!</f>
        <v/>
      </c>
      <c r="B12">
        <f>'1.Quality'!#REF!</f>
        <v/>
      </c>
      <c r="C12">
        <f>'1.Quality'!#REF!</f>
        <v/>
      </c>
      <c r="D12">
        <f>'1.Quality'!#REF!</f>
        <v/>
      </c>
      <c r="E12">
        <f>'1.Quality'!#REF!</f>
        <v/>
      </c>
      <c r="F12">
        <f>'1.Quality'!#REF!</f>
        <v/>
      </c>
      <c r="G12">
        <f>'1.Quality'!#REF!</f>
        <v/>
      </c>
      <c r="H12">
        <f>IF('1.Quality'!#REF!="","",'1.Quality'!#REF!)</f>
        <v/>
      </c>
      <c r="I12" s="264">
        <f>IF('1.Quality'!#REF!="","",'1.Quality'!#REF!)</f>
        <v/>
      </c>
      <c r="J12" s="264">
        <f>IF('1.Quality'!#REF!="","",'1.Quality'!#REF!)</f>
        <v/>
      </c>
      <c r="K12" s="264">
        <f>IF('1.Quality'!#REF!="","",'1.Quality'!#REF!)</f>
        <v/>
      </c>
      <c r="L12" s="264">
        <f>IF('1.Quality'!#REF!="","",'1.Quality'!#REF!)</f>
        <v/>
      </c>
      <c r="M12" s="264">
        <f>IF('1.Quality'!#REF!="","",'1.Quality'!#REF!)</f>
        <v/>
      </c>
      <c r="N12" s="264">
        <f>IF('1.Quality'!#REF!="","",'1.Quality'!#REF!)</f>
        <v/>
      </c>
      <c r="O12" s="264">
        <f>IF('1.Quality'!#REF!="","",'1.Quality'!#REF!)</f>
        <v/>
      </c>
      <c r="P12" s="264">
        <f>IF('1.Quality'!#REF!="","",'1.Quality'!#REF!)</f>
        <v/>
      </c>
      <c r="Q12" s="264">
        <f>IF('1.Quality'!#REF!="","",'1.Quality'!#REF!)</f>
        <v/>
      </c>
      <c r="R12" s="264">
        <f>IF('1.Quality'!#REF!="","",'1.Quality'!#REF!)</f>
        <v/>
      </c>
      <c r="S12" s="264">
        <f>IF('1.Quality'!#REF!="","",'1.Quality'!#REF!)</f>
        <v/>
      </c>
      <c r="T12" s="264">
        <f>IF('1.Quality'!#REF!="","",'1.Quality'!#REF!)</f>
        <v/>
      </c>
    </row>
    <row r="13">
      <c r="A13">
        <f>'1.Quality'!A24</f>
        <v/>
      </c>
      <c r="B13">
        <f>'1.Quality'!B24</f>
        <v/>
      </c>
      <c r="C13">
        <f>'1.Quality'!C24</f>
        <v/>
      </c>
      <c r="D13">
        <f>'1.Quality'!D24</f>
        <v/>
      </c>
      <c r="E13">
        <f>'1.Quality'!E24</f>
        <v/>
      </c>
      <c r="F13">
        <f>'1.Quality'!F24</f>
        <v/>
      </c>
      <c r="G13">
        <f>'1.Quality'!G24</f>
        <v/>
      </c>
      <c r="H13">
        <f>IF('1.Quality'!H24="","",'1.Quality'!H24)</f>
        <v/>
      </c>
      <c r="I13">
        <f>IF('1.Quality'!I24="","",'1.Quality'!I24)</f>
        <v/>
      </c>
      <c r="J13">
        <f>IF('1.Quality'!J24="","",'1.Quality'!J24)</f>
        <v/>
      </c>
      <c r="K13">
        <f>IF('1.Quality'!K24="","",'1.Quality'!K24)</f>
        <v/>
      </c>
      <c r="L13">
        <f>IF('1.Quality'!L24="","",'1.Quality'!L24)</f>
        <v/>
      </c>
      <c r="M13">
        <f>IF('1.Quality'!M24="","",'1.Quality'!M24)</f>
        <v/>
      </c>
      <c r="N13">
        <f>IF('1.Quality'!N24="","",'1.Quality'!N24)</f>
        <v/>
      </c>
      <c r="O13">
        <f>IF('1.Quality'!O24="","",'1.Quality'!O24)</f>
        <v/>
      </c>
      <c r="P13">
        <f>IF('1.Quality'!P24="","",'1.Quality'!P24)</f>
        <v/>
      </c>
      <c r="Q13">
        <f>IF('1.Quality'!Q24="","",'1.Quality'!Q24)</f>
        <v/>
      </c>
      <c r="R13">
        <f>IF('1.Quality'!R24="","",'1.Quality'!R24)</f>
        <v/>
      </c>
      <c r="S13">
        <f>IF('1.Quality'!S24="","",'1.Quality'!S24)</f>
        <v/>
      </c>
      <c r="T13">
        <f>IF('1.Quality'!T24="","",'1.Quality'!T24)</f>
        <v/>
      </c>
    </row>
    <row r="14">
      <c r="A14">
        <f>'1.Quality'!A24</f>
        <v/>
      </c>
      <c r="B14">
        <f>'1.Quality'!B24</f>
        <v/>
      </c>
      <c r="C14">
        <f>'1.Quality'!C24</f>
        <v/>
      </c>
      <c r="D14">
        <f>'1.Quality'!D24</f>
        <v/>
      </c>
      <c r="E14">
        <f>'1.Quality'!E24</f>
        <v/>
      </c>
      <c r="F14">
        <f>'1.Quality'!F24</f>
        <v/>
      </c>
      <c r="G14">
        <f>'1.Quality'!G24</f>
        <v/>
      </c>
      <c r="H14">
        <f>IF('1.Quality'!H25="","",'1.Quality'!H25)</f>
        <v/>
      </c>
      <c r="I14">
        <f>IF('1.Quality'!I25="","",'1.Quality'!I25)</f>
        <v/>
      </c>
      <c r="J14">
        <f>IF('1.Quality'!J25="","",'1.Quality'!J25)</f>
        <v/>
      </c>
      <c r="K14">
        <f>IF('1.Quality'!K25="","",'1.Quality'!K25)</f>
        <v/>
      </c>
      <c r="L14">
        <f>IF('1.Quality'!L25="","",'1.Quality'!L25)</f>
        <v/>
      </c>
      <c r="M14">
        <f>IF('1.Quality'!M25="","",'1.Quality'!M25)</f>
        <v/>
      </c>
      <c r="N14">
        <f>IF('1.Quality'!N25="","",'1.Quality'!N25)</f>
        <v/>
      </c>
      <c r="O14">
        <f>IF('1.Quality'!O25="","",'1.Quality'!O25)</f>
        <v/>
      </c>
      <c r="P14">
        <f>IF('1.Quality'!P25="","",'1.Quality'!P25)</f>
        <v/>
      </c>
      <c r="Q14">
        <f>IF('1.Quality'!Q25="","",'1.Quality'!Q25)</f>
        <v/>
      </c>
      <c r="R14">
        <f>IF('1.Quality'!R25="","",'1.Quality'!R25)</f>
        <v/>
      </c>
      <c r="S14">
        <f>IF('1.Quality'!S25="","",'1.Quality'!S25)</f>
        <v/>
      </c>
      <c r="T14">
        <f>IF('1.Quality'!T25="","",'1.Quality'!T25)</f>
        <v/>
      </c>
    </row>
    <row r="16">
      <c r="A16" s="13" t="inlineStr">
        <is>
          <t>Regulatory</t>
        </is>
      </c>
    </row>
    <row r="17">
      <c r="A17" t="inlineStr">
        <is>
          <t>KPI Name</t>
        </is>
      </c>
      <c r="B17" t="inlineStr">
        <is>
          <t>KPI  Definition</t>
        </is>
      </c>
      <c r="C17" t="inlineStr">
        <is>
          <t>Operators</t>
        </is>
      </c>
      <c r="D17" t="inlineStr">
        <is>
          <t>Target AOP 2026</t>
        </is>
      </c>
      <c r="E17" t="inlineStr">
        <is>
          <t>Units</t>
        </is>
      </c>
      <c r="F17" t="inlineStr">
        <is>
          <t>Metric nature</t>
        </is>
      </c>
      <c r="G17" t="inlineStr">
        <is>
          <t>Frequency</t>
        </is>
      </c>
      <c r="H17" t="inlineStr">
        <is>
          <t>Target/ Actual</t>
        </is>
      </c>
      <c r="I17" t="inlineStr">
        <is>
          <t>Jan-2026</t>
        </is>
      </c>
      <c r="J17" t="inlineStr">
        <is>
          <t>Feb-2026</t>
        </is>
      </c>
      <c r="K17" t="inlineStr">
        <is>
          <t>Mar-2026</t>
        </is>
      </c>
      <c r="L17" t="inlineStr">
        <is>
          <t>Apr-2026</t>
        </is>
      </c>
      <c r="M17" t="inlineStr">
        <is>
          <t>May-2026</t>
        </is>
      </c>
      <c r="N17" t="inlineStr">
        <is>
          <t>Jun-2026</t>
        </is>
      </c>
      <c r="O17" t="inlineStr">
        <is>
          <t>Jul-2026</t>
        </is>
      </c>
      <c r="P17" t="inlineStr">
        <is>
          <t>Aug-2026</t>
        </is>
      </c>
      <c r="Q17" t="inlineStr">
        <is>
          <t>Sep-2026</t>
        </is>
      </c>
      <c r="R17" t="inlineStr">
        <is>
          <t>Oct-2026</t>
        </is>
      </c>
      <c r="S17" t="inlineStr">
        <is>
          <t>Nov-2026</t>
        </is>
      </c>
      <c r="T17" t="inlineStr">
        <is>
          <t>Dec-2026</t>
        </is>
      </c>
    </row>
    <row r="18">
      <c r="A18">
        <f>'2.Regulatory'!A14</f>
        <v/>
      </c>
      <c r="B18">
        <f>'2.Regulatory'!B14</f>
        <v/>
      </c>
      <c r="C18">
        <f>'2.Regulatory'!C14</f>
        <v/>
      </c>
      <c r="D18">
        <f>'2.Regulatory'!D14</f>
        <v/>
      </c>
      <c r="E18">
        <f>'2.Regulatory'!E14</f>
        <v/>
      </c>
      <c r="F18">
        <f>'2.Regulatory'!F14</f>
        <v/>
      </c>
      <c r="G18">
        <f>'2.Regulatory'!G14</f>
        <v/>
      </c>
      <c r="H18">
        <f>IF('2.Regulatory'!H14="","",'2.Regulatory'!H14)</f>
        <v/>
      </c>
      <c r="I18">
        <f>IF('2.Regulatory'!I14="","",'2.Regulatory'!I14)</f>
        <v/>
      </c>
      <c r="J18" s="264">
        <f>IF('2.Regulatory'!J14="","",'2.Regulatory'!J14)</f>
        <v/>
      </c>
      <c r="K18" s="264">
        <f>IF('2.Regulatory'!K14="","",'2.Regulatory'!K14)</f>
        <v/>
      </c>
      <c r="L18" s="264">
        <f>IF('2.Regulatory'!L14="","",'2.Regulatory'!L14)</f>
        <v/>
      </c>
      <c r="M18" s="264">
        <f>IF('2.Regulatory'!M14="","",'2.Regulatory'!M14)</f>
        <v/>
      </c>
      <c r="N18" s="264">
        <f>IF('2.Regulatory'!N14="","",'2.Regulatory'!N14)</f>
        <v/>
      </c>
      <c r="O18" s="264">
        <f>IF('2.Regulatory'!O14="","",'2.Regulatory'!O14)</f>
        <v/>
      </c>
      <c r="P18" s="264">
        <f>IF('2.Regulatory'!P14="","",'2.Regulatory'!P14)</f>
        <v/>
      </c>
      <c r="Q18" s="264">
        <f>IF('2.Regulatory'!Q14="","",'2.Regulatory'!Q14)</f>
        <v/>
      </c>
      <c r="R18" s="264">
        <f>IF('2.Regulatory'!R14="","",'2.Regulatory'!R14)</f>
        <v/>
      </c>
      <c r="S18" s="264">
        <f>IF('2.Regulatory'!S14="","",'2.Regulatory'!S14)</f>
        <v/>
      </c>
      <c r="T18" s="264">
        <f>IF('2.Regulatory'!T14="","",'2.Regulatory'!T14)</f>
        <v/>
      </c>
    </row>
    <row r="19">
      <c r="A19">
        <f>'2.Regulatory'!A14</f>
        <v/>
      </c>
      <c r="B19">
        <f>'2.Regulatory'!B14</f>
        <v/>
      </c>
      <c r="C19">
        <f>'2.Regulatory'!C14</f>
        <v/>
      </c>
      <c r="D19">
        <f>'2.Regulatory'!D14</f>
        <v/>
      </c>
      <c r="E19">
        <f>'2.Regulatory'!E14</f>
        <v/>
      </c>
      <c r="F19">
        <f>'2.Regulatory'!F14</f>
        <v/>
      </c>
      <c r="G19">
        <f>'2.Regulatory'!G14</f>
        <v/>
      </c>
      <c r="H19">
        <f>IF('2.Regulatory'!H15="","",'2.Regulatory'!H15)</f>
        <v/>
      </c>
      <c r="I19">
        <f>IF('2.Regulatory'!I15="","",'2.Regulatory'!I15)</f>
        <v/>
      </c>
      <c r="J19" s="264">
        <f>IF('2.Regulatory'!J15="","",'2.Regulatory'!J15)</f>
        <v/>
      </c>
      <c r="K19" s="264">
        <f>IF('2.Regulatory'!K15="","",'2.Regulatory'!K15)</f>
        <v/>
      </c>
      <c r="L19" s="264">
        <f>IF('2.Regulatory'!L15="","",'2.Regulatory'!L15)</f>
        <v/>
      </c>
      <c r="M19" s="264">
        <f>IF('2.Regulatory'!M15="","",'2.Regulatory'!M15)</f>
        <v/>
      </c>
      <c r="N19" s="264">
        <f>IF('2.Regulatory'!N15="","",'2.Regulatory'!N15)</f>
        <v/>
      </c>
      <c r="O19" s="264">
        <f>IF('2.Regulatory'!O15="","",'2.Regulatory'!O15)</f>
        <v/>
      </c>
      <c r="P19" s="264">
        <f>IF('2.Regulatory'!P15="","",'2.Regulatory'!P15)</f>
        <v/>
      </c>
      <c r="Q19" s="264">
        <f>IF('2.Regulatory'!Q15="","",'2.Regulatory'!Q15)</f>
        <v/>
      </c>
      <c r="R19" s="264">
        <f>IF('2.Regulatory'!R15="","",'2.Regulatory'!R15)</f>
        <v/>
      </c>
      <c r="S19" s="264">
        <f>IF('2.Regulatory'!S15="","",'2.Regulatory'!S15)</f>
        <v/>
      </c>
      <c r="T19" s="264">
        <f>IF('2.Regulatory'!T15="","",'2.Regulatory'!T15)</f>
        <v/>
      </c>
    </row>
    <row r="20">
      <c r="A20">
        <f>'2.Regulatory'!A16</f>
        <v/>
      </c>
      <c r="B20">
        <f>'2.Regulatory'!B16</f>
        <v/>
      </c>
      <c r="C20">
        <f>'2.Regulatory'!C16</f>
        <v/>
      </c>
      <c r="D20">
        <f>'2.Regulatory'!D16</f>
        <v/>
      </c>
      <c r="E20">
        <f>'2.Regulatory'!E16</f>
        <v/>
      </c>
      <c r="F20">
        <f>'2.Regulatory'!F16</f>
        <v/>
      </c>
      <c r="G20">
        <f>'2.Regulatory'!G16</f>
        <v/>
      </c>
      <c r="H20">
        <f>IF('2.Regulatory'!H16="","",'2.Regulatory'!H16)</f>
        <v/>
      </c>
      <c r="I20">
        <f>IF('2.Regulatory'!I16="","",'2.Regulatory'!I16)</f>
        <v/>
      </c>
      <c r="J20" s="264">
        <f>IF('2.Regulatory'!J16="","",'2.Regulatory'!J16)</f>
        <v/>
      </c>
      <c r="K20" s="264">
        <f>IF('2.Regulatory'!K16="","",'2.Regulatory'!K16)</f>
        <v/>
      </c>
      <c r="L20" s="264">
        <f>IF('2.Regulatory'!L16="","",'2.Regulatory'!L16)</f>
        <v/>
      </c>
      <c r="M20" s="264">
        <f>IF('2.Regulatory'!M16="","",'2.Regulatory'!M16)</f>
        <v/>
      </c>
      <c r="N20" s="264">
        <f>IF('2.Regulatory'!N16="","",'2.Regulatory'!N16)</f>
        <v/>
      </c>
      <c r="O20" s="264">
        <f>IF('2.Regulatory'!O16="","",'2.Regulatory'!O16)</f>
        <v/>
      </c>
      <c r="P20" s="264">
        <f>IF('2.Regulatory'!P16="","",'2.Regulatory'!P16)</f>
        <v/>
      </c>
      <c r="Q20" s="264">
        <f>IF('2.Regulatory'!Q16="","",'2.Regulatory'!Q16)</f>
        <v/>
      </c>
      <c r="R20" s="264">
        <f>IF('2.Regulatory'!R16="","",'2.Regulatory'!R16)</f>
        <v/>
      </c>
      <c r="S20" s="264">
        <f>IF('2.Regulatory'!S16="","",'2.Regulatory'!S16)</f>
        <v/>
      </c>
      <c r="T20" s="264">
        <f>IF('2.Regulatory'!T16="","",'2.Regulatory'!T16)</f>
        <v/>
      </c>
    </row>
    <row r="21">
      <c r="A21">
        <f>'2.Regulatory'!A16</f>
        <v/>
      </c>
      <c r="B21">
        <f>'2.Regulatory'!B16</f>
        <v/>
      </c>
      <c r="C21">
        <f>'2.Regulatory'!C16</f>
        <v/>
      </c>
      <c r="D21">
        <f>'2.Regulatory'!D16</f>
        <v/>
      </c>
      <c r="E21">
        <f>'2.Regulatory'!E16</f>
        <v/>
      </c>
      <c r="F21">
        <f>'2.Regulatory'!F16</f>
        <v/>
      </c>
      <c r="G21">
        <f>'2.Regulatory'!G16</f>
        <v/>
      </c>
      <c r="H21">
        <f>IF('2.Regulatory'!H17="","",'2.Regulatory'!H17)</f>
        <v/>
      </c>
      <c r="I21">
        <f>IF('2.Regulatory'!I17="","",'2.Regulatory'!I17)</f>
        <v/>
      </c>
      <c r="J21" s="264">
        <f>IF('2.Regulatory'!J17="","",'2.Regulatory'!J17)</f>
        <v/>
      </c>
      <c r="K21" s="264">
        <f>IF('2.Regulatory'!K17="","",'2.Regulatory'!K17)</f>
        <v/>
      </c>
      <c r="L21" s="264">
        <f>IF('2.Regulatory'!L17="","",'2.Regulatory'!L17)</f>
        <v/>
      </c>
      <c r="M21" s="264">
        <f>IF('2.Regulatory'!M17="","",'2.Regulatory'!M17)</f>
        <v/>
      </c>
      <c r="N21" s="264">
        <f>IF('2.Regulatory'!N17="","",'2.Regulatory'!N17)</f>
        <v/>
      </c>
      <c r="O21" s="264">
        <f>IF('2.Regulatory'!O17="","",'2.Regulatory'!O17)</f>
        <v/>
      </c>
      <c r="P21" s="264">
        <f>IF('2.Regulatory'!P17="","",'2.Regulatory'!P17)</f>
        <v/>
      </c>
      <c r="Q21" s="264">
        <f>IF('2.Regulatory'!Q17="","",'2.Regulatory'!Q17)</f>
        <v/>
      </c>
      <c r="R21" s="264">
        <f>IF('2.Regulatory'!R17="","",'2.Regulatory'!R17)</f>
        <v/>
      </c>
      <c r="S21" s="264">
        <f>IF('2.Regulatory'!S17="","",'2.Regulatory'!S17)</f>
        <v/>
      </c>
      <c r="T21" s="264">
        <f>IF('2.Regulatory'!T17="","",'2.Regulatory'!T17)</f>
        <v/>
      </c>
    </row>
    <row r="22">
      <c r="A22">
        <f>'2.Regulatory'!A18</f>
        <v/>
      </c>
      <c r="B22">
        <f>'2.Regulatory'!B18</f>
        <v/>
      </c>
      <c r="C22">
        <f>'2.Regulatory'!C18</f>
        <v/>
      </c>
      <c r="D22">
        <f>'2.Regulatory'!D18</f>
        <v/>
      </c>
      <c r="E22">
        <f>'2.Regulatory'!E18</f>
        <v/>
      </c>
      <c r="F22">
        <f>'2.Regulatory'!F18</f>
        <v/>
      </c>
      <c r="G22">
        <f>'2.Regulatory'!G18</f>
        <v/>
      </c>
      <c r="H22">
        <f>IF('2.Regulatory'!H18="","",'2.Regulatory'!H18)</f>
        <v/>
      </c>
      <c r="I22">
        <f>IF('2.Regulatory'!I18="","",'2.Regulatory'!I18)</f>
        <v/>
      </c>
      <c r="J22" s="264">
        <f>IF('2.Regulatory'!J18="","",'2.Regulatory'!J18)</f>
        <v/>
      </c>
      <c r="K22" s="264">
        <f>IF('2.Regulatory'!K18="","",'2.Regulatory'!K18)</f>
        <v/>
      </c>
      <c r="L22" s="264">
        <f>IF('2.Regulatory'!L18="","",'2.Regulatory'!L18)</f>
        <v/>
      </c>
      <c r="M22" s="264">
        <f>IF('2.Regulatory'!M18="","",'2.Regulatory'!M18)</f>
        <v/>
      </c>
      <c r="N22" s="264">
        <f>IF('2.Regulatory'!N18="","",'2.Regulatory'!N18)</f>
        <v/>
      </c>
      <c r="O22" s="264">
        <f>IF('2.Regulatory'!O18="","",'2.Regulatory'!O18)</f>
        <v/>
      </c>
      <c r="P22" s="264">
        <f>IF('2.Regulatory'!P18="","",'2.Regulatory'!P18)</f>
        <v/>
      </c>
      <c r="Q22" s="264">
        <f>IF('2.Regulatory'!Q18="","",'2.Regulatory'!Q18)</f>
        <v/>
      </c>
      <c r="R22" s="264">
        <f>IF('2.Regulatory'!R18="","",'2.Regulatory'!R18)</f>
        <v/>
      </c>
      <c r="S22" s="264">
        <f>IF('2.Regulatory'!S18="","",'2.Regulatory'!S18)</f>
        <v/>
      </c>
      <c r="T22" s="264">
        <f>IF('2.Regulatory'!T18="","",'2.Regulatory'!T18)</f>
        <v/>
      </c>
    </row>
    <row r="23">
      <c r="A23">
        <f>'2.Regulatory'!A18</f>
        <v/>
      </c>
      <c r="B23">
        <f>'2.Regulatory'!B18</f>
        <v/>
      </c>
      <c r="C23">
        <f>'2.Regulatory'!C18</f>
        <v/>
      </c>
      <c r="D23">
        <f>'2.Regulatory'!D18</f>
        <v/>
      </c>
      <c r="E23">
        <f>'2.Regulatory'!E18</f>
        <v/>
      </c>
      <c r="F23">
        <f>'2.Regulatory'!F18</f>
        <v/>
      </c>
      <c r="G23">
        <f>'2.Regulatory'!G18</f>
        <v/>
      </c>
      <c r="H23">
        <f>IF('2.Regulatory'!H19="","",'2.Regulatory'!H19)</f>
        <v/>
      </c>
      <c r="I23">
        <f>IF('2.Regulatory'!I19="","",'2.Regulatory'!I19)</f>
        <v/>
      </c>
      <c r="J23" s="264">
        <f>IF('2.Regulatory'!J19="","",'2.Regulatory'!J19)</f>
        <v/>
      </c>
      <c r="K23" s="264">
        <f>IF('2.Regulatory'!K19="","",'2.Regulatory'!K19)</f>
        <v/>
      </c>
      <c r="L23" s="264">
        <f>IF('2.Regulatory'!L19="","",'2.Regulatory'!L19)</f>
        <v/>
      </c>
      <c r="M23" s="264">
        <f>IF('2.Regulatory'!M19="","",'2.Regulatory'!M19)</f>
        <v/>
      </c>
      <c r="N23" s="264">
        <f>IF('2.Regulatory'!N19="","",'2.Regulatory'!N19)</f>
        <v/>
      </c>
      <c r="O23" s="264">
        <f>IF('2.Regulatory'!O19="","",'2.Regulatory'!O19)</f>
        <v/>
      </c>
      <c r="P23" s="264">
        <f>IF('2.Regulatory'!P19="","",'2.Regulatory'!P19)</f>
        <v/>
      </c>
      <c r="Q23" s="264">
        <f>IF('2.Regulatory'!Q19="","",'2.Regulatory'!Q19)</f>
        <v/>
      </c>
      <c r="R23" s="264">
        <f>IF('2.Regulatory'!R19="","",'2.Regulatory'!R19)</f>
        <v/>
      </c>
      <c r="S23" s="264">
        <f>IF('2.Regulatory'!S19="","",'2.Regulatory'!S19)</f>
        <v/>
      </c>
      <c r="T23" s="264">
        <f>IF('2.Regulatory'!T19="","",'2.Regulatory'!T19)</f>
        <v/>
      </c>
    </row>
    <row r="24">
      <c r="A24">
        <f>'2.Regulatory'!A20</f>
        <v/>
      </c>
      <c r="B24">
        <f>'2.Regulatory'!B20</f>
        <v/>
      </c>
      <c r="C24">
        <f>'2.Regulatory'!C20</f>
        <v/>
      </c>
      <c r="D24">
        <f>'2.Regulatory'!D20</f>
        <v/>
      </c>
      <c r="E24">
        <f>'2.Regulatory'!E20</f>
        <v/>
      </c>
      <c r="F24">
        <f>'2.Regulatory'!F20</f>
        <v/>
      </c>
      <c r="G24">
        <f>'2.Regulatory'!G20</f>
        <v/>
      </c>
      <c r="H24">
        <f>IF('2.Regulatory'!H20="","",'2.Regulatory'!H20)</f>
        <v/>
      </c>
      <c r="I24">
        <f>IF('2.Regulatory'!I20="","",'2.Regulatory'!I20)</f>
        <v/>
      </c>
      <c r="J24" s="264">
        <f>IF('2.Regulatory'!J20="","",'2.Regulatory'!J20)</f>
        <v/>
      </c>
      <c r="K24" s="264">
        <f>IF('2.Regulatory'!K20="","",'2.Regulatory'!K20)</f>
        <v/>
      </c>
      <c r="L24" s="264">
        <f>IF('2.Regulatory'!L20="","",'2.Regulatory'!L20)</f>
        <v/>
      </c>
      <c r="M24" s="264">
        <f>IF('2.Regulatory'!M20="","",'2.Regulatory'!M20)</f>
        <v/>
      </c>
      <c r="N24" s="264">
        <f>IF('2.Regulatory'!N20="","",'2.Regulatory'!N20)</f>
        <v/>
      </c>
      <c r="O24" s="264">
        <f>IF('2.Regulatory'!O20="","",'2.Regulatory'!O20)</f>
        <v/>
      </c>
      <c r="P24" s="264">
        <f>IF('2.Regulatory'!P20="","",'2.Regulatory'!P20)</f>
        <v/>
      </c>
      <c r="Q24" s="264">
        <f>IF('2.Regulatory'!Q20="","",'2.Regulatory'!Q20)</f>
        <v/>
      </c>
      <c r="R24" s="264">
        <f>IF('2.Regulatory'!R20="","",'2.Regulatory'!R20)</f>
        <v/>
      </c>
      <c r="S24" s="264">
        <f>IF('2.Regulatory'!S20="","",'2.Regulatory'!S20)</f>
        <v/>
      </c>
      <c r="T24" s="264">
        <f>IF('2.Regulatory'!T20="","",'2.Regulatory'!T20)</f>
        <v/>
      </c>
    </row>
    <row r="25">
      <c r="A25">
        <f>'2.Regulatory'!A20</f>
        <v/>
      </c>
      <c r="B25">
        <f>'2.Regulatory'!B20</f>
        <v/>
      </c>
      <c r="C25">
        <f>'2.Regulatory'!C20</f>
        <v/>
      </c>
      <c r="D25">
        <f>'2.Regulatory'!D20</f>
        <v/>
      </c>
      <c r="E25">
        <f>'2.Regulatory'!E20</f>
        <v/>
      </c>
      <c r="F25">
        <f>'2.Regulatory'!F20</f>
        <v/>
      </c>
      <c r="G25">
        <f>'2.Regulatory'!G20</f>
        <v/>
      </c>
      <c r="H25">
        <f>IF('2.Regulatory'!H21="","",'2.Regulatory'!H21)</f>
        <v/>
      </c>
      <c r="I25">
        <f>IF('2.Regulatory'!I21="","",'2.Regulatory'!I21)</f>
        <v/>
      </c>
      <c r="J25" s="264">
        <f>IF('2.Regulatory'!J21="","",'2.Regulatory'!J21)</f>
        <v/>
      </c>
      <c r="K25" s="264">
        <f>IF('2.Regulatory'!K21="","",'2.Regulatory'!K21)</f>
        <v/>
      </c>
      <c r="L25" s="264">
        <f>IF('2.Regulatory'!L21="","",'2.Regulatory'!L21)</f>
        <v/>
      </c>
      <c r="M25" s="264">
        <f>IF('2.Regulatory'!M21="","",'2.Regulatory'!M21)</f>
        <v/>
      </c>
      <c r="N25" s="264">
        <f>IF('2.Regulatory'!N21="","",'2.Regulatory'!N21)</f>
        <v/>
      </c>
      <c r="O25" s="264">
        <f>IF('2.Regulatory'!O21="","",'2.Regulatory'!O21)</f>
        <v/>
      </c>
      <c r="P25" s="264">
        <f>IF('2.Regulatory'!P21="","",'2.Regulatory'!P21)</f>
        <v/>
      </c>
      <c r="Q25" s="264">
        <f>IF('2.Regulatory'!Q21="","",'2.Regulatory'!Q21)</f>
        <v/>
      </c>
      <c r="R25" s="264">
        <f>IF('2.Regulatory'!R21="","",'2.Regulatory'!R21)</f>
        <v/>
      </c>
      <c r="S25" s="264">
        <f>IF('2.Regulatory'!S21="","",'2.Regulatory'!S21)</f>
        <v/>
      </c>
      <c r="T25" s="264">
        <f>IF('2.Regulatory'!T21="","",'2.Regulatory'!T21)</f>
        <v/>
      </c>
    </row>
    <row r="27">
      <c r="A27" s="13" t="inlineStr">
        <is>
          <t>ISC</t>
        </is>
      </c>
    </row>
    <row r="28">
      <c r="A28" t="inlineStr">
        <is>
          <t>KPI Name</t>
        </is>
      </c>
      <c r="B28" t="inlineStr">
        <is>
          <t>KPI  Definition</t>
        </is>
      </c>
      <c r="C28" t="inlineStr">
        <is>
          <t>Operators</t>
        </is>
      </c>
      <c r="D28" t="inlineStr">
        <is>
          <t>Target AOP 2026</t>
        </is>
      </c>
      <c r="E28" t="inlineStr">
        <is>
          <t>Units</t>
        </is>
      </c>
      <c r="F28" t="inlineStr">
        <is>
          <t>Metric nature</t>
        </is>
      </c>
      <c r="G28" t="inlineStr">
        <is>
          <t>Frequency</t>
        </is>
      </c>
      <c r="H28" t="inlineStr">
        <is>
          <t>Target/ Actual</t>
        </is>
      </c>
      <c r="I28" t="inlineStr">
        <is>
          <t>Jan-2026</t>
        </is>
      </c>
      <c r="J28" t="inlineStr">
        <is>
          <t>Feb-2026</t>
        </is>
      </c>
      <c r="K28" t="inlineStr">
        <is>
          <t>Mar-2026</t>
        </is>
      </c>
      <c r="L28" t="inlineStr">
        <is>
          <t>Apr-2026</t>
        </is>
      </c>
      <c r="M28" t="inlineStr">
        <is>
          <t>May-2026</t>
        </is>
      </c>
      <c r="N28" t="inlineStr">
        <is>
          <t>Jun-2026</t>
        </is>
      </c>
      <c r="O28" t="inlineStr">
        <is>
          <t>Jul-2026</t>
        </is>
      </c>
      <c r="P28" t="inlineStr">
        <is>
          <t>Aug-2026</t>
        </is>
      </c>
      <c r="Q28" t="inlineStr">
        <is>
          <t>Sep-2026</t>
        </is>
      </c>
      <c r="R28" t="inlineStr">
        <is>
          <t>Oct-2026</t>
        </is>
      </c>
      <c r="S28" t="inlineStr">
        <is>
          <t>Nov-2026</t>
        </is>
      </c>
      <c r="T28" t="inlineStr">
        <is>
          <t>Dec-2026</t>
        </is>
      </c>
    </row>
    <row r="29">
      <c r="A29">
        <f>'3.ISC '!A14</f>
        <v/>
      </c>
      <c r="B29">
        <f>'3.ISC '!B14</f>
        <v/>
      </c>
      <c r="C29">
        <f>'3.ISC '!C14</f>
        <v/>
      </c>
      <c r="D29">
        <f>'3.ISC '!D14</f>
        <v/>
      </c>
      <c r="E29">
        <f>'3.ISC '!E14</f>
        <v/>
      </c>
      <c r="F29">
        <f>'3.ISC '!F14</f>
        <v/>
      </c>
      <c r="G29">
        <f>'3.ISC '!G14</f>
        <v/>
      </c>
      <c r="H29">
        <f>IF('3.ISC '!H14="","",'3.ISC '!H14)</f>
        <v/>
      </c>
      <c r="I29">
        <f>IF('3.ISC '!I14="","",'3.ISC '!I14)</f>
        <v/>
      </c>
      <c r="J29" s="264">
        <f>IF('3.ISC '!J14="","",'3.ISC '!J14)</f>
        <v/>
      </c>
      <c r="K29" s="264">
        <f>IF('3.ISC '!K14="","",'3.ISC '!K14)</f>
        <v/>
      </c>
      <c r="L29" s="264">
        <f>IF('3.ISC '!L14="","",'3.ISC '!L14)</f>
        <v/>
      </c>
      <c r="M29" s="264">
        <f>IF('3.ISC '!M14="","",'3.ISC '!M14)</f>
        <v/>
      </c>
      <c r="N29" s="264">
        <f>IF('3.ISC '!N14="","",'3.ISC '!N14)</f>
        <v/>
      </c>
      <c r="O29" s="264">
        <f>IF('3.ISC '!O14="","",'3.ISC '!O14)</f>
        <v/>
      </c>
      <c r="P29" s="264">
        <f>IF('3.ISC '!P14="","",'3.ISC '!P14)</f>
        <v/>
      </c>
      <c r="Q29" s="264">
        <f>IF('3.ISC '!Q14="","",'3.ISC '!Q14)</f>
        <v/>
      </c>
      <c r="R29" s="264">
        <f>IF('3.ISC '!R14="","",'3.ISC '!R14)</f>
        <v/>
      </c>
      <c r="S29" s="264">
        <f>IF('3.ISC '!S14="","",'3.ISC '!S14)</f>
        <v/>
      </c>
      <c r="T29" s="264">
        <f>IF('3.ISC '!T14="","",'3.ISC '!T14)</f>
        <v/>
      </c>
    </row>
    <row r="30">
      <c r="A30">
        <f>'3.ISC '!A14</f>
        <v/>
      </c>
      <c r="B30">
        <f>'3.ISC '!B14</f>
        <v/>
      </c>
      <c r="C30">
        <f>'3.ISC '!C14</f>
        <v/>
      </c>
      <c r="D30">
        <f>'3.ISC '!D14</f>
        <v/>
      </c>
      <c r="E30">
        <f>'3.ISC '!E14</f>
        <v/>
      </c>
      <c r="F30">
        <f>'3.ISC '!F14</f>
        <v/>
      </c>
      <c r="G30">
        <f>'3.ISC '!G14</f>
        <v/>
      </c>
      <c r="H30">
        <f>IF('3.ISC '!H15="","",'3.ISC '!H15)</f>
        <v/>
      </c>
      <c r="I30">
        <f>IF('3.ISC '!I15="","",'3.ISC '!I15)</f>
        <v/>
      </c>
      <c r="J30" s="264">
        <f>IF('3.ISC '!J15="","",'3.ISC '!J15)</f>
        <v/>
      </c>
      <c r="K30" s="264">
        <f>IF('3.ISC '!K15="","",'3.ISC '!K15)</f>
        <v/>
      </c>
      <c r="L30" s="264">
        <f>IF('3.ISC '!L15="","",'3.ISC '!L15)</f>
        <v/>
      </c>
      <c r="M30" s="264">
        <f>IF('3.ISC '!M15="","",'3.ISC '!M15)</f>
        <v/>
      </c>
      <c r="N30" s="264">
        <f>IF('3.ISC '!N15="","",'3.ISC '!N15)</f>
        <v/>
      </c>
      <c r="O30" s="264">
        <f>IF('3.ISC '!O15="","",'3.ISC '!O15)</f>
        <v/>
      </c>
      <c r="P30" s="264">
        <f>IF('3.ISC '!P15="","",'3.ISC '!P15)</f>
        <v/>
      </c>
      <c r="Q30" s="264">
        <f>IF('3.ISC '!Q15="","",'3.ISC '!Q15)</f>
        <v/>
      </c>
      <c r="R30" s="264">
        <f>IF('3.ISC '!R15="","",'3.ISC '!R15)</f>
        <v/>
      </c>
      <c r="S30" s="264">
        <f>IF('3.ISC '!S15="","",'3.ISC '!S15)</f>
        <v/>
      </c>
      <c r="T30" s="264">
        <f>IF('3.ISC '!T15="","",'3.ISC '!T15)</f>
        <v/>
      </c>
    </row>
    <row r="31">
      <c r="A31">
        <f>'3.ISC '!A16</f>
        <v/>
      </c>
      <c r="B31">
        <f>'3.ISC '!B16</f>
        <v/>
      </c>
      <c r="C31">
        <f>'3.ISC '!C16</f>
        <v/>
      </c>
      <c r="D31">
        <f>'3.ISC '!D16</f>
        <v/>
      </c>
      <c r="E31">
        <f>'3.ISC '!E16</f>
        <v/>
      </c>
      <c r="F31">
        <f>'3.ISC '!F16</f>
        <v/>
      </c>
      <c r="G31">
        <f>'3.ISC '!G16</f>
        <v/>
      </c>
      <c r="H31">
        <f>IF('3.ISC '!H16="","",'3.ISC '!H16)</f>
        <v/>
      </c>
      <c r="I31">
        <f>IF('3.ISC '!I16="","",'3.ISC '!I16)</f>
        <v/>
      </c>
      <c r="J31">
        <f>IF('3.ISC '!J16="","",'3.ISC '!J16)</f>
        <v/>
      </c>
      <c r="K31">
        <f>IF('3.ISC '!K16="","",'3.ISC '!K16)</f>
        <v/>
      </c>
      <c r="L31">
        <f>IF('3.ISC '!L16="","",'3.ISC '!L16)</f>
        <v/>
      </c>
      <c r="M31">
        <f>IF('3.ISC '!M16="","",'3.ISC '!M16)</f>
        <v/>
      </c>
      <c r="N31">
        <f>IF('3.ISC '!N16="","",'3.ISC '!N16)</f>
        <v/>
      </c>
      <c r="O31">
        <f>IF('3.ISC '!O16="","",'3.ISC '!O16)</f>
        <v/>
      </c>
      <c r="P31">
        <f>IF('3.ISC '!P16="","",'3.ISC '!P16)</f>
        <v/>
      </c>
      <c r="Q31">
        <f>IF('3.ISC '!Q16="","",'3.ISC '!Q16)</f>
        <v/>
      </c>
      <c r="R31">
        <f>IF('3.ISC '!R16="","",'3.ISC '!R16)</f>
        <v/>
      </c>
      <c r="S31">
        <f>IF('3.ISC '!S16="","",'3.ISC '!S16)</f>
        <v/>
      </c>
      <c r="T31">
        <f>IF('3.ISC '!T16="","",'3.ISC '!T16)</f>
        <v/>
      </c>
    </row>
    <row r="32">
      <c r="A32">
        <f>'3.ISC '!A16</f>
        <v/>
      </c>
      <c r="B32">
        <f>'3.ISC '!B16</f>
        <v/>
      </c>
      <c r="C32">
        <f>'3.ISC '!C16</f>
        <v/>
      </c>
      <c r="D32">
        <f>'3.ISC '!D16</f>
        <v/>
      </c>
      <c r="E32">
        <f>'3.ISC '!E16</f>
        <v/>
      </c>
      <c r="F32">
        <f>'3.ISC '!F16</f>
        <v/>
      </c>
      <c r="G32">
        <f>'3.ISC '!G16</f>
        <v/>
      </c>
      <c r="H32">
        <f>IF('3.ISC '!H17="","",'3.ISC '!H17)</f>
        <v/>
      </c>
      <c r="I32">
        <f>IF('3.ISC '!I17="","",'3.ISC '!I17)</f>
        <v/>
      </c>
      <c r="J32">
        <f>IF('3.ISC '!J17="","",'3.ISC '!J17)</f>
        <v/>
      </c>
      <c r="K32">
        <f>IF('3.ISC '!K17="","",'3.ISC '!K17)</f>
        <v/>
      </c>
      <c r="L32">
        <f>IF('3.ISC '!L17="","",'3.ISC '!L17)</f>
        <v/>
      </c>
      <c r="M32">
        <f>IF('3.ISC '!M17="","",'3.ISC '!M17)</f>
        <v/>
      </c>
      <c r="N32">
        <f>IF('3.ISC '!N17="","",'3.ISC '!N17)</f>
        <v/>
      </c>
      <c r="O32">
        <f>IF('3.ISC '!O17="","",'3.ISC '!O17)</f>
        <v/>
      </c>
      <c r="P32">
        <f>IF('3.ISC '!P17="","",'3.ISC '!P17)</f>
        <v/>
      </c>
      <c r="Q32">
        <f>IF('3.ISC '!Q17="","",'3.ISC '!Q17)</f>
        <v/>
      </c>
      <c r="R32">
        <f>IF('3.ISC '!R17="","",'3.ISC '!R17)</f>
        <v/>
      </c>
      <c r="S32">
        <f>IF('3.ISC '!S17="","",'3.ISC '!S17)</f>
        <v/>
      </c>
      <c r="T32">
        <f>IF('3.ISC '!T17="","",'3.ISC '!T17)</f>
        <v/>
      </c>
    </row>
    <row r="33">
      <c r="A33">
        <f>'3.ISC '!A18</f>
        <v/>
      </c>
      <c r="B33">
        <f>'3.ISC '!B18</f>
        <v/>
      </c>
      <c r="C33">
        <f>'3.ISC '!C18</f>
        <v/>
      </c>
      <c r="D33">
        <f>'3.ISC '!D18</f>
        <v/>
      </c>
      <c r="E33">
        <f>'3.ISC '!E18</f>
        <v/>
      </c>
      <c r="F33">
        <f>'3.ISC '!F18</f>
        <v/>
      </c>
      <c r="G33">
        <f>'3.ISC '!G18</f>
        <v/>
      </c>
      <c r="H33">
        <f>IF('3.ISC '!H18="","",'3.ISC '!H18)</f>
        <v/>
      </c>
      <c r="I33" s="264">
        <f>IF('3.ISC '!I18="","",'3.ISC '!I18)</f>
        <v/>
      </c>
      <c r="J33" s="264">
        <f>IF('3.ISC '!J18="","",'3.ISC '!J18)</f>
        <v/>
      </c>
      <c r="K33" s="264">
        <f>IF('3.ISC '!K18="","",'3.ISC '!K18)</f>
        <v/>
      </c>
      <c r="L33" s="264">
        <f>IF('3.ISC '!L18="","",'3.ISC '!L18)</f>
        <v/>
      </c>
      <c r="M33" s="264">
        <f>IF('3.ISC '!M18="","",'3.ISC '!M18)</f>
        <v/>
      </c>
      <c r="N33" s="264">
        <f>IF('3.ISC '!N18="","",'3.ISC '!N18)</f>
        <v/>
      </c>
      <c r="O33" s="264">
        <f>IF('3.ISC '!O18="","",'3.ISC '!O18)</f>
        <v/>
      </c>
      <c r="P33" s="264">
        <f>IF('3.ISC '!P18="","",'3.ISC '!P18)</f>
        <v/>
      </c>
      <c r="Q33" s="264">
        <f>IF('3.ISC '!Q18="","",'3.ISC '!Q18)</f>
        <v/>
      </c>
      <c r="R33" s="264">
        <f>IF('3.ISC '!R18="","",'3.ISC '!R18)</f>
        <v/>
      </c>
      <c r="S33" s="264">
        <f>IF('3.ISC '!S18="","",'3.ISC '!S18)</f>
        <v/>
      </c>
      <c r="T33" s="264">
        <f>IF('3.ISC '!T18="","",'3.ISC '!T18)</f>
        <v/>
      </c>
    </row>
    <row r="34">
      <c r="A34">
        <f>'3.ISC '!A18</f>
        <v/>
      </c>
      <c r="B34">
        <f>'3.ISC '!B18</f>
        <v/>
      </c>
      <c r="C34">
        <f>'3.ISC '!C18</f>
        <v/>
      </c>
      <c r="D34">
        <f>'3.ISC '!D18</f>
        <v/>
      </c>
      <c r="E34">
        <f>'3.ISC '!E18</f>
        <v/>
      </c>
      <c r="F34">
        <f>'3.ISC '!F18</f>
        <v/>
      </c>
      <c r="G34">
        <f>'3.ISC '!G18</f>
        <v/>
      </c>
      <c r="H34">
        <f>IF('3.ISC '!H19="","",'3.ISC '!H19)</f>
        <v/>
      </c>
      <c r="I34" s="264">
        <f>IF('3.ISC '!I19="","",'3.ISC '!I19)</f>
        <v/>
      </c>
      <c r="J34" s="264">
        <f>IF('3.ISC '!J19="","",'3.ISC '!J19)</f>
        <v/>
      </c>
      <c r="K34" s="264">
        <f>IF('3.ISC '!K19="","",'3.ISC '!K19)</f>
        <v/>
      </c>
      <c r="L34" s="264">
        <f>IF('3.ISC '!L19="","",'3.ISC '!L19)</f>
        <v/>
      </c>
      <c r="M34" s="264">
        <f>IF('3.ISC '!M19="","",'3.ISC '!M19)</f>
        <v/>
      </c>
      <c r="N34" s="264">
        <f>IF('3.ISC '!N19="","",'3.ISC '!N19)</f>
        <v/>
      </c>
      <c r="O34" s="264">
        <f>IF('3.ISC '!O19="","",'3.ISC '!O19)</f>
        <v/>
      </c>
      <c r="P34" s="264">
        <f>IF('3.ISC '!P19="","",'3.ISC '!P19)</f>
        <v/>
      </c>
      <c r="Q34" s="264">
        <f>IF('3.ISC '!Q19="","",'3.ISC '!Q19)</f>
        <v/>
      </c>
      <c r="R34" s="264">
        <f>IF('3.ISC '!R19="","",'3.ISC '!R19)</f>
        <v/>
      </c>
      <c r="S34" s="264">
        <f>IF('3.ISC '!S19="","",'3.ISC '!S19)</f>
        <v/>
      </c>
      <c r="T34" s="264">
        <f>IF('3.ISC '!T19="","",'3.ISC '!T19)</f>
        <v/>
      </c>
    </row>
    <row r="35">
      <c r="A35">
        <f>'3.ISC '!A20</f>
        <v/>
      </c>
      <c r="B35">
        <f>'3.ISC '!B20</f>
        <v/>
      </c>
      <c r="C35">
        <f>'3.ISC '!C20</f>
        <v/>
      </c>
      <c r="D35">
        <f>'3.ISC '!D20</f>
        <v/>
      </c>
      <c r="E35">
        <f>'3.ISC '!E20</f>
        <v/>
      </c>
      <c r="F35">
        <f>'3.ISC '!F20</f>
        <v/>
      </c>
      <c r="G35">
        <f>'3.ISC '!G20</f>
        <v/>
      </c>
      <c r="H35">
        <f>IF('3.ISC '!H20="","",'3.ISC '!H20)</f>
        <v/>
      </c>
      <c r="I35">
        <f>IF('3.ISC '!I20="","",'3.ISC '!I20)</f>
        <v/>
      </c>
      <c r="J35">
        <f>IF('3.ISC '!J20="","",'3.ISC '!J20)</f>
        <v/>
      </c>
      <c r="K35">
        <f>IF('3.ISC '!K20="","",'3.ISC '!K20)</f>
        <v/>
      </c>
      <c r="L35">
        <f>IF('3.ISC '!L20="","",'3.ISC '!L20)</f>
        <v/>
      </c>
      <c r="M35">
        <f>IF('3.ISC '!M20="","",'3.ISC '!M20)</f>
        <v/>
      </c>
      <c r="N35">
        <f>IF('3.ISC '!N20="","",'3.ISC '!N20)</f>
        <v/>
      </c>
      <c r="O35">
        <f>IF('3.ISC '!O20="","",'3.ISC '!O20)</f>
        <v/>
      </c>
      <c r="P35">
        <f>IF('3.ISC '!P20="","",'3.ISC '!P20)</f>
        <v/>
      </c>
      <c r="Q35">
        <f>IF('3.ISC '!Q20="","",'3.ISC '!Q20)</f>
        <v/>
      </c>
      <c r="R35">
        <f>IF('3.ISC '!R20="","",'3.ISC '!R20)</f>
        <v/>
      </c>
      <c r="S35">
        <f>IF('3.ISC '!S20="","",'3.ISC '!S20)</f>
        <v/>
      </c>
      <c r="T35">
        <f>IF('3.ISC '!T20="","",'3.ISC '!T20)</f>
        <v/>
      </c>
    </row>
    <row r="36">
      <c r="A36">
        <f>'3.ISC '!A20</f>
        <v/>
      </c>
      <c r="B36">
        <f>'3.ISC '!B20</f>
        <v/>
      </c>
      <c r="C36">
        <f>'3.ISC '!C20</f>
        <v/>
      </c>
      <c r="D36">
        <f>'3.ISC '!D20</f>
        <v/>
      </c>
      <c r="E36">
        <f>'3.ISC '!E20</f>
        <v/>
      </c>
      <c r="F36">
        <f>'3.ISC '!F20</f>
        <v/>
      </c>
      <c r="G36">
        <f>'3.ISC '!G20</f>
        <v/>
      </c>
      <c r="H36">
        <f>IF('3.ISC '!H21="","",'3.ISC '!H21)</f>
        <v/>
      </c>
      <c r="I36">
        <f>IF('3.ISC '!I21="","",'3.ISC '!I21)</f>
        <v/>
      </c>
      <c r="J36">
        <f>IF('3.ISC '!J21="","",'3.ISC '!J21)</f>
        <v/>
      </c>
      <c r="K36">
        <f>IF('3.ISC '!K21="","",'3.ISC '!K21)</f>
        <v/>
      </c>
      <c r="L36">
        <f>IF('3.ISC '!L21="","",'3.ISC '!L21)</f>
        <v/>
      </c>
      <c r="M36">
        <f>IF('3.ISC '!M21="","",'3.ISC '!M21)</f>
        <v/>
      </c>
      <c r="N36">
        <f>IF('3.ISC '!N21="","",'3.ISC '!N21)</f>
        <v/>
      </c>
      <c r="O36">
        <f>IF('3.ISC '!O21="","",'3.ISC '!O21)</f>
        <v/>
      </c>
      <c r="P36">
        <f>IF('3.ISC '!P21="","",'3.ISC '!P21)</f>
        <v/>
      </c>
      <c r="Q36">
        <f>IF('3.ISC '!Q21="","",'3.ISC '!Q21)</f>
        <v/>
      </c>
      <c r="R36">
        <f>IF('3.ISC '!R21="","",'3.ISC '!R21)</f>
        <v/>
      </c>
      <c r="S36">
        <f>IF('3.ISC '!S21="","",'3.ISC '!S21)</f>
        <v/>
      </c>
      <c r="T36">
        <f>IF('3.ISC '!T21="","",'3.ISC '!T21)</f>
        <v/>
      </c>
    </row>
    <row r="37">
      <c r="A37">
        <f>'3.ISC '!A22</f>
        <v/>
      </c>
      <c r="B37">
        <f>'3.ISC '!B22</f>
        <v/>
      </c>
      <c r="C37">
        <f>'3.ISC '!C22</f>
        <v/>
      </c>
      <c r="D37">
        <f>'3.ISC '!D22</f>
        <v/>
      </c>
      <c r="E37">
        <f>'3.ISC '!E22</f>
        <v/>
      </c>
      <c r="F37">
        <f>'3.ISC '!F22</f>
        <v/>
      </c>
      <c r="G37">
        <f>'3.ISC '!G22</f>
        <v/>
      </c>
      <c r="H37">
        <f>IF('3.ISC '!H22="","",'3.ISC '!H22)</f>
        <v/>
      </c>
      <c r="I37" s="682">
        <f>IF('3.ISC '!I22="","",'3.ISC '!I22)</f>
        <v/>
      </c>
      <c r="J37" s="682">
        <f>IF('3.ISC '!J22="","",'3.ISC '!J22)</f>
        <v/>
      </c>
      <c r="K37" s="682">
        <f>IF('3.ISC '!K22="","",'3.ISC '!K22)</f>
        <v/>
      </c>
      <c r="L37" s="682">
        <f>IF('3.ISC '!L22="","",'3.ISC '!L22)</f>
        <v/>
      </c>
      <c r="M37" s="682">
        <f>IF('3.ISC '!M22="","",'3.ISC '!M22)</f>
        <v/>
      </c>
      <c r="N37" s="682">
        <f>IF('3.ISC '!N22="","",'3.ISC '!N22)</f>
        <v/>
      </c>
      <c r="O37" s="682">
        <f>IF('3.ISC '!O22="","",'3.ISC '!O22)</f>
        <v/>
      </c>
      <c r="P37" s="682">
        <f>IF('3.ISC '!P22="","",'3.ISC '!P22)</f>
        <v/>
      </c>
      <c r="Q37" s="682">
        <f>IF('3.ISC '!Q22="","",'3.ISC '!Q22)</f>
        <v/>
      </c>
      <c r="R37" s="682">
        <f>IF('3.ISC '!R22="","",'3.ISC '!R22)</f>
        <v/>
      </c>
      <c r="S37" s="682">
        <f>IF('3.ISC '!S22="","",'3.ISC '!S22)</f>
        <v/>
      </c>
      <c r="T37" s="682">
        <f>IF('3.ISC '!T22="","",'3.ISC '!T22)</f>
        <v/>
      </c>
    </row>
    <row r="38">
      <c r="A38">
        <f>'3.ISC '!A22</f>
        <v/>
      </c>
      <c r="B38">
        <f>'3.ISC '!B22</f>
        <v/>
      </c>
      <c r="C38">
        <f>'3.ISC '!C22</f>
        <v/>
      </c>
      <c r="D38">
        <f>'3.ISC '!D22</f>
        <v/>
      </c>
      <c r="E38">
        <f>'3.ISC '!E22</f>
        <v/>
      </c>
      <c r="F38">
        <f>'3.ISC '!F22</f>
        <v/>
      </c>
      <c r="G38">
        <f>'3.ISC '!G22</f>
        <v/>
      </c>
      <c r="H38">
        <f>IF('3.ISC '!H23="","",'3.ISC '!H23)</f>
        <v/>
      </c>
      <c r="I38" s="682">
        <f>IF('3.ISC '!I23="","",'3.ISC '!I23)</f>
        <v/>
      </c>
      <c r="J38" s="682">
        <f>IF('3.ISC '!J23="","",'3.ISC '!J23)</f>
        <v/>
      </c>
      <c r="K38" s="682">
        <f>IF('3.ISC '!K23="","",'3.ISC '!K23)</f>
        <v/>
      </c>
      <c r="L38" s="682">
        <f>IF('3.ISC '!L23="","",'3.ISC '!L23)</f>
        <v/>
      </c>
      <c r="M38" s="682">
        <f>IF('3.ISC '!M23="","",'3.ISC '!M23)</f>
        <v/>
      </c>
      <c r="N38" s="682">
        <f>IF('3.ISC '!N23="","",'3.ISC '!N23)</f>
        <v/>
      </c>
      <c r="O38" s="682">
        <f>IF('3.ISC '!O23="","",'3.ISC '!O23)</f>
        <v/>
      </c>
      <c r="P38" s="682">
        <f>IF('3.ISC '!P23="","",'3.ISC '!P23)</f>
        <v/>
      </c>
      <c r="Q38" s="682">
        <f>IF('3.ISC '!Q23="","",'3.ISC '!Q23)</f>
        <v/>
      </c>
      <c r="R38" s="682">
        <f>IF('3.ISC '!R23="","",'3.ISC '!R23)</f>
        <v/>
      </c>
      <c r="S38" s="682">
        <f>IF('3.ISC '!S23="","",'3.ISC '!S23)</f>
        <v/>
      </c>
      <c r="T38" s="682">
        <f>IF('3.ISC '!T23="","",'3.ISC '!T23)</f>
        <v/>
      </c>
    </row>
    <row r="39">
      <c r="A39">
        <f>'3.ISC '!A24</f>
        <v/>
      </c>
      <c r="B39">
        <f>'3.ISC '!B24</f>
        <v/>
      </c>
      <c r="C39">
        <f>'3.ISC '!C24</f>
        <v/>
      </c>
      <c r="D39">
        <f>'3.ISC '!D24</f>
        <v/>
      </c>
      <c r="E39">
        <f>'3.ISC '!E24</f>
        <v/>
      </c>
      <c r="F39">
        <f>'3.ISC '!F24</f>
        <v/>
      </c>
      <c r="G39">
        <f>'3.ISC '!G24</f>
        <v/>
      </c>
      <c r="H39">
        <f>IF('3.ISC '!H24="","",'3.ISC '!H24)</f>
        <v/>
      </c>
      <c r="I39">
        <f>IF('3.ISC '!I24="","",'3.ISC '!I24)</f>
        <v/>
      </c>
      <c r="J39">
        <f>IF('3.ISC '!J24="","",'3.ISC '!J24)</f>
        <v/>
      </c>
      <c r="K39">
        <f>IF('3.ISC '!K24="","",'3.ISC '!K24)</f>
        <v/>
      </c>
      <c r="L39">
        <f>IF('3.ISC '!L24="","",'3.ISC '!L24)</f>
        <v/>
      </c>
      <c r="M39">
        <f>IF('3.ISC '!M24="","",'3.ISC '!M24)</f>
        <v/>
      </c>
      <c r="N39">
        <f>IF('3.ISC '!N24="","",'3.ISC '!N24)</f>
        <v/>
      </c>
      <c r="O39">
        <f>IF('3.ISC '!O24="","",'3.ISC '!O24)</f>
        <v/>
      </c>
      <c r="P39">
        <f>IF('3.ISC '!P24="","",'3.ISC '!P24)</f>
        <v/>
      </c>
      <c r="Q39">
        <f>IF('3.ISC '!Q24="","",'3.ISC '!Q24)</f>
        <v/>
      </c>
      <c r="R39">
        <f>IF('3.ISC '!R24="","",'3.ISC '!R24)</f>
        <v/>
      </c>
      <c r="S39">
        <f>IF('3.ISC '!S24="","",'3.ISC '!S24)</f>
        <v/>
      </c>
      <c r="T39">
        <f>IF('3.ISC '!T24="","",'3.ISC '!T24)</f>
        <v/>
      </c>
    </row>
    <row r="40">
      <c r="A40">
        <f>'3.ISC '!A24</f>
        <v/>
      </c>
      <c r="B40">
        <f>'3.ISC '!B24</f>
        <v/>
      </c>
      <c r="C40">
        <f>'3.ISC '!C24</f>
        <v/>
      </c>
      <c r="D40">
        <f>'3.ISC '!D24</f>
        <v/>
      </c>
      <c r="E40">
        <f>'3.ISC '!E24</f>
        <v/>
      </c>
      <c r="F40">
        <f>'3.ISC '!F24</f>
        <v/>
      </c>
      <c r="G40">
        <f>'3.ISC '!G24</f>
        <v/>
      </c>
      <c r="H40">
        <f>IF('3.ISC '!H25="","",'3.ISC '!H25)</f>
        <v/>
      </c>
      <c r="I40">
        <f>IF('3.ISC '!I25="","",'3.ISC '!I25)</f>
        <v/>
      </c>
      <c r="J40">
        <f>IF('3.ISC '!J25="","",'3.ISC '!J25)</f>
        <v/>
      </c>
      <c r="K40">
        <f>IF('3.ISC '!K25="","",'3.ISC '!K25)</f>
        <v/>
      </c>
      <c r="L40">
        <f>IF('3.ISC '!L25="","",'3.ISC '!L25)</f>
        <v/>
      </c>
      <c r="M40">
        <f>IF('3.ISC '!M25="","",'3.ISC '!M25)</f>
        <v/>
      </c>
      <c r="N40">
        <f>IF('3.ISC '!N25="","",'3.ISC '!N25)</f>
        <v/>
      </c>
      <c r="O40">
        <f>IF('3.ISC '!O25="","",'3.ISC '!O25)</f>
        <v/>
      </c>
      <c r="P40">
        <f>IF('3.ISC '!P25="","",'3.ISC '!P25)</f>
        <v/>
      </c>
      <c r="Q40">
        <f>IF('3.ISC '!Q25="","",'3.ISC '!Q25)</f>
        <v/>
      </c>
      <c r="R40">
        <f>IF('3.ISC '!R25="","",'3.ISC '!R25)</f>
        <v/>
      </c>
      <c r="S40">
        <f>IF('3.ISC '!S25="","",'3.ISC '!S25)</f>
        <v/>
      </c>
      <c r="T40">
        <f>IF('3.ISC '!T25="","",'3.ISC '!T25)</f>
        <v/>
      </c>
    </row>
    <row r="42">
      <c r="A42" s="13" t="inlineStr">
        <is>
          <t>Supplier  Quality</t>
        </is>
      </c>
    </row>
    <row r="43">
      <c r="A43" t="inlineStr">
        <is>
          <t>KPI Name</t>
        </is>
      </c>
      <c r="B43" t="inlineStr">
        <is>
          <t>KPI  Definition</t>
        </is>
      </c>
      <c r="C43" t="inlineStr">
        <is>
          <t>Operators</t>
        </is>
      </c>
      <c r="D43" t="inlineStr">
        <is>
          <t>Target AOP 2026</t>
        </is>
      </c>
      <c r="E43" t="inlineStr">
        <is>
          <t>Units</t>
        </is>
      </c>
      <c r="F43" t="inlineStr">
        <is>
          <t>Metric nature</t>
        </is>
      </c>
      <c r="G43" t="inlineStr">
        <is>
          <t>Frequency</t>
        </is>
      </c>
      <c r="H43" t="inlineStr">
        <is>
          <t>Target/ Actual</t>
        </is>
      </c>
      <c r="I43" s="261" t="inlineStr">
        <is>
          <t>Jan-2026</t>
        </is>
      </c>
      <c r="J43" s="261" t="inlineStr">
        <is>
          <t>Feb-2026</t>
        </is>
      </c>
      <c r="K43" s="261" t="inlineStr">
        <is>
          <t>Mar-2026</t>
        </is>
      </c>
      <c r="L43" s="261" t="inlineStr">
        <is>
          <t>Apr-2026</t>
        </is>
      </c>
      <c r="M43" s="261" t="inlineStr">
        <is>
          <t>May-2026</t>
        </is>
      </c>
      <c r="N43" s="261" t="inlineStr">
        <is>
          <t>Jun-2026</t>
        </is>
      </c>
      <c r="O43" s="261" t="inlineStr">
        <is>
          <t>Jul-2026</t>
        </is>
      </c>
      <c r="P43" s="261" t="inlineStr">
        <is>
          <t>Aug-2026</t>
        </is>
      </c>
      <c r="Q43" s="261" t="inlineStr">
        <is>
          <t>Sep-2026</t>
        </is>
      </c>
      <c r="R43" s="261" t="inlineStr">
        <is>
          <t>Oct-2026</t>
        </is>
      </c>
      <c r="S43" s="261" t="inlineStr">
        <is>
          <t>Nov-2026</t>
        </is>
      </c>
      <c r="T43" s="262" t="inlineStr">
        <is>
          <t>Dec-2026</t>
        </is>
      </c>
    </row>
    <row r="44">
      <c r="A44">
        <f>'3.ISC '!#REF!</f>
        <v/>
      </c>
      <c r="B44">
        <f>'3.ISC '!#REF!</f>
        <v/>
      </c>
      <c r="C44">
        <f>'3.ISC '!#REF!</f>
        <v/>
      </c>
      <c r="D44">
        <f>'3.ISC '!#REF!</f>
        <v/>
      </c>
      <c r="E44">
        <f>'3.ISC '!#REF!</f>
        <v/>
      </c>
      <c r="F44">
        <f>'3.ISC '!#REF!</f>
        <v/>
      </c>
      <c r="G44">
        <f>'3.ISC '!#REF!</f>
        <v/>
      </c>
      <c r="H44">
        <f>IF('3.ISC '!#REF!="","",'3.ISC '!#REF!)</f>
        <v/>
      </c>
      <c r="I44">
        <f>IF('3.ISC '!#REF!="","",'3.ISC '!#REF!)</f>
        <v/>
      </c>
      <c r="J44">
        <f>IF('3.ISC '!#REF!="","",'3.ISC '!#REF!)</f>
        <v/>
      </c>
      <c r="K44">
        <f>IF('3.ISC '!#REF!="","",'3.ISC '!#REF!)</f>
        <v/>
      </c>
      <c r="L44">
        <f>IF('3.ISC '!#REF!="","",'3.ISC '!#REF!)</f>
        <v/>
      </c>
      <c r="M44">
        <f>IF('3.ISC '!#REF!="","",'3.ISC '!#REF!)</f>
        <v/>
      </c>
      <c r="N44">
        <f>IF('3.ISC '!#REF!="","",'3.ISC '!#REF!)</f>
        <v/>
      </c>
      <c r="O44">
        <f>IF('3.ISC '!#REF!="","",'3.ISC '!#REF!)</f>
        <v/>
      </c>
      <c r="P44">
        <f>IF('3.ISC '!#REF!="","",'3.ISC '!#REF!)</f>
        <v/>
      </c>
      <c r="Q44">
        <f>IF('3.ISC '!#REF!="","",'3.ISC '!#REF!)</f>
        <v/>
      </c>
      <c r="R44">
        <f>IF('3.ISC '!#REF!="","",'3.ISC '!#REF!)</f>
        <v/>
      </c>
      <c r="S44">
        <f>IF('3.ISC '!#REF!="","",'3.ISC '!#REF!)</f>
        <v/>
      </c>
      <c r="T44">
        <f>IF('3.ISC '!#REF!="","",'3.ISC '!#REF!)</f>
        <v/>
      </c>
    </row>
    <row r="45">
      <c r="A45">
        <f>'3.ISC '!#REF!</f>
        <v/>
      </c>
      <c r="B45">
        <f>'3.ISC '!#REF!</f>
        <v/>
      </c>
      <c r="C45">
        <f>'3.ISC '!#REF!</f>
        <v/>
      </c>
      <c r="D45">
        <f>'3.ISC '!#REF!</f>
        <v/>
      </c>
      <c r="E45">
        <f>'3.ISC '!#REF!</f>
        <v/>
      </c>
      <c r="F45">
        <f>'3.ISC '!#REF!</f>
        <v/>
      </c>
      <c r="G45">
        <f>'3.ISC '!#REF!</f>
        <v/>
      </c>
      <c r="H45">
        <f>IF('3.ISC '!#REF!="","",'3.ISC '!#REF!)</f>
        <v/>
      </c>
      <c r="I45">
        <f>IF('3.ISC '!#REF!="","",'3.ISC '!#REF!)</f>
        <v/>
      </c>
      <c r="J45">
        <f>IF('3.ISC '!#REF!="","",'3.ISC '!#REF!)</f>
        <v/>
      </c>
      <c r="K45">
        <f>IF('3.ISC '!#REF!="","",'3.ISC '!#REF!)</f>
        <v/>
      </c>
      <c r="L45">
        <f>IF('3.ISC '!#REF!="","",'3.ISC '!#REF!)</f>
        <v/>
      </c>
      <c r="M45">
        <f>IF('3.ISC '!#REF!="","",'3.ISC '!#REF!)</f>
        <v/>
      </c>
      <c r="N45">
        <f>IF('3.ISC '!#REF!="","",'3.ISC '!#REF!)</f>
        <v/>
      </c>
      <c r="O45">
        <f>IF('3.ISC '!#REF!="","",'3.ISC '!#REF!)</f>
        <v/>
      </c>
      <c r="P45">
        <f>IF('3.ISC '!#REF!="","",'3.ISC '!#REF!)</f>
        <v/>
      </c>
      <c r="Q45">
        <f>IF('3.ISC '!#REF!="","",'3.ISC '!#REF!)</f>
        <v/>
      </c>
      <c r="R45">
        <f>IF('3.ISC '!#REF!="","",'3.ISC '!#REF!)</f>
        <v/>
      </c>
      <c r="S45">
        <f>IF('3.ISC '!#REF!="","",'3.ISC '!#REF!)</f>
        <v/>
      </c>
      <c r="T45">
        <f>IF('3.ISC '!#REF!="","",'3.ISC '!#REF!)</f>
        <v/>
      </c>
    </row>
    <row r="46">
      <c r="A46">
        <f>'3.ISC '!#REF!</f>
        <v/>
      </c>
      <c r="B46">
        <f>'3.ISC '!#REF!</f>
        <v/>
      </c>
      <c r="C46">
        <f>'3.ISC '!#REF!</f>
        <v/>
      </c>
      <c r="D46">
        <f>'3.ISC '!#REF!</f>
        <v/>
      </c>
      <c r="E46">
        <f>'3.ISC '!#REF!</f>
        <v/>
      </c>
      <c r="F46">
        <f>'3.ISC '!#REF!</f>
        <v/>
      </c>
      <c r="G46">
        <f>'3.ISC '!#REF!</f>
        <v/>
      </c>
      <c r="H46">
        <f>IF('3.ISC '!#REF!="","",'3.ISC '!#REF!)</f>
        <v/>
      </c>
      <c r="I46">
        <f>IF('3.ISC '!#REF!="","",'3.ISC '!#REF!)</f>
        <v/>
      </c>
      <c r="J46">
        <f>IF('3.ISC '!#REF!="","",'3.ISC '!#REF!)</f>
        <v/>
      </c>
      <c r="K46">
        <f>IF('3.ISC '!#REF!="","",'3.ISC '!#REF!)</f>
        <v/>
      </c>
      <c r="L46">
        <f>IF('3.ISC '!#REF!="","",'3.ISC '!#REF!)</f>
        <v/>
      </c>
      <c r="M46">
        <f>IF('3.ISC '!#REF!="","",'3.ISC '!#REF!)</f>
        <v/>
      </c>
      <c r="N46">
        <f>IF('3.ISC '!#REF!="","",'3.ISC '!#REF!)</f>
        <v/>
      </c>
      <c r="O46">
        <f>IF('3.ISC '!#REF!="","",'3.ISC '!#REF!)</f>
        <v/>
      </c>
      <c r="P46">
        <f>IF('3.ISC '!#REF!="","",'3.ISC '!#REF!)</f>
        <v/>
      </c>
      <c r="Q46">
        <f>IF('3.ISC '!#REF!="","",'3.ISC '!#REF!)</f>
        <v/>
      </c>
      <c r="R46">
        <f>IF('3.ISC '!#REF!="","",'3.ISC '!#REF!)</f>
        <v/>
      </c>
      <c r="S46">
        <f>IF('3.ISC '!#REF!="","",'3.ISC '!#REF!)</f>
        <v/>
      </c>
      <c r="T46">
        <f>IF('3.ISC '!#REF!="","",'3.ISC '!#REF!)</f>
        <v/>
      </c>
    </row>
    <row r="47">
      <c r="A47">
        <f>'3.ISC '!#REF!</f>
        <v/>
      </c>
      <c r="B47">
        <f>'3.ISC '!#REF!</f>
        <v/>
      </c>
      <c r="C47">
        <f>'3.ISC '!#REF!</f>
        <v/>
      </c>
      <c r="D47">
        <f>'3.ISC '!#REF!</f>
        <v/>
      </c>
      <c r="E47">
        <f>'3.ISC '!#REF!</f>
        <v/>
      </c>
      <c r="F47">
        <f>'3.ISC '!#REF!</f>
        <v/>
      </c>
      <c r="G47">
        <f>'3.ISC '!#REF!</f>
        <v/>
      </c>
      <c r="H47">
        <f>IF('3.ISC '!#REF!="","",'3.ISC '!#REF!)</f>
        <v/>
      </c>
      <c r="I47">
        <f>IF('3.ISC '!#REF!="","",'3.ISC '!#REF!)</f>
        <v/>
      </c>
      <c r="J47">
        <f>IF('3.ISC '!#REF!="","",'3.ISC '!#REF!)</f>
        <v/>
      </c>
      <c r="K47">
        <f>IF('3.ISC '!#REF!="","",'3.ISC '!#REF!)</f>
        <v/>
      </c>
      <c r="L47">
        <f>IF('3.ISC '!#REF!="","",'3.ISC '!#REF!)</f>
        <v/>
      </c>
      <c r="M47">
        <f>IF('3.ISC '!#REF!="","",'3.ISC '!#REF!)</f>
        <v/>
      </c>
      <c r="N47">
        <f>IF('3.ISC '!#REF!="","",'3.ISC '!#REF!)</f>
        <v/>
      </c>
      <c r="O47">
        <f>IF('3.ISC '!#REF!="","",'3.ISC '!#REF!)</f>
        <v/>
      </c>
      <c r="P47">
        <f>IF('3.ISC '!#REF!="","",'3.ISC '!#REF!)</f>
        <v/>
      </c>
      <c r="Q47">
        <f>IF('3.ISC '!#REF!="","",'3.ISC '!#REF!)</f>
        <v/>
      </c>
      <c r="R47">
        <f>IF('3.ISC '!#REF!="","",'3.ISC '!#REF!)</f>
        <v/>
      </c>
      <c r="S47">
        <f>IF('3.ISC '!#REF!="","",'3.ISC '!#REF!)</f>
        <v/>
      </c>
      <c r="T47">
        <f>IF('3.ISC '!#REF!="","",'3.ISC '!#REF!)</f>
        <v/>
      </c>
    </row>
    <row r="49">
      <c r="A49" s="13" t="inlineStr">
        <is>
          <t>Procurement</t>
        </is>
      </c>
    </row>
    <row r="50">
      <c r="A50" t="inlineStr">
        <is>
          <t>KPI Name</t>
        </is>
      </c>
      <c r="B50" t="inlineStr">
        <is>
          <t>KPI  Definition</t>
        </is>
      </c>
      <c r="C50" t="inlineStr">
        <is>
          <t>Operators</t>
        </is>
      </c>
      <c r="D50" t="inlineStr">
        <is>
          <t>Target AOP 2026</t>
        </is>
      </c>
      <c r="E50" t="inlineStr">
        <is>
          <t>Units</t>
        </is>
      </c>
      <c r="F50" t="inlineStr">
        <is>
          <t>Metric nature</t>
        </is>
      </c>
      <c r="G50" t="inlineStr">
        <is>
          <t>Frequency</t>
        </is>
      </c>
      <c r="H50" t="inlineStr">
        <is>
          <t>Target/ Actual</t>
        </is>
      </c>
      <c r="I50" s="261" t="inlineStr">
        <is>
          <t>Jan-2026</t>
        </is>
      </c>
      <c r="J50" s="261" t="inlineStr">
        <is>
          <t>Feb-2026</t>
        </is>
      </c>
      <c r="K50" s="261" t="inlineStr">
        <is>
          <t>Mar-2026</t>
        </is>
      </c>
      <c r="L50" s="261" t="inlineStr">
        <is>
          <t>Apr-2026</t>
        </is>
      </c>
      <c r="M50" s="261" t="inlineStr">
        <is>
          <t>May-2026</t>
        </is>
      </c>
      <c r="N50" s="261" t="inlineStr">
        <is>
          <t>Jun-2026</t>
        </is>
      </c>
      <c r="O50" s="261" t="inlineStr">
        <is>
          <t>Jul-2026</t>
        </is>
      </c>
      <c r="P50" s="261" t="inlineStr">
        <is>
          <t>Aug-2026</t>
        </is>
      </c>
      <c r="Q50" s="261" t="inlineStr">
        <is>
          <t>Sep-2026</t>
        </is>
      </c>
      <c r="R50" s="261" t="inlineStr">
        <is>
          <t>Oct-2026</t>
        </is>
      </c>
      <c r="S50" s="261" t="inlineStr">
        <is>
          <t>Nov-2026</t>
        </is>
      </c>
      <c r="T50" s="262" t="inlineStr">
        <is>
          <t>Dec-2026</t>
        </is>
      </c>
    </row>
    <row r="51">
      <c r="A51">
        <f>'4.Procurement'!A14</f>
        <v/>
      </c>
      <c r="B51">
        <f>'4.Procurement'!B14</f>
        <v/>
      </c>
      <c r="C51">
        <f>'4.Procurement'!C14</f>
        <v/>
      </c>
      <c r="D51">
        <f>'4.Procurement'!D14</f>
        <v/>
      </c>
      <c r="E51">
        <f>'4.Procurement'!E14</f>
        <v/>
      </c>
      <c r="F51">
        <f>'4.Procurement'!F14</f>
        <v/>
      </c>
      <c r="G51">
        <f>'4.Procurement'!G14</f>
        <v/>
      </c>
      <c r="H51">
        <f>IF('4.Procurement'!H14="","",'4.Procurement'!H14)</f>
        <v/>
      </c>
      <c r="I51">
        <f>IF('4.Procurement'!I14="","",'4.Procurement'!I14)</f>
        <v/>
      </c>
      <c r="J51">
        <f>IF('4.Procurement'!J14="","",'4.Procurement'!J14)</f>
        <v/>
      </c>
      <c r="K51">
        <f>IF('4.Procurement'!K14="","",'4.Procurement'!K14)</f>
        <v/>
      </c>
      <c r="L51">
        <f>IF('4.Procurement'!L14="","",'4.Procurement'!L14)</f>
        <v/>
      </c>
      <c r="M51">
        <f>IF('4.Procurement'!M14="","",'4.Procurement'!M14)</f>
        <v/>
      </c>
      <c r="N51">
        <f>IF('4.Procurement'!N14="","",'4.Procurement'!N14)</f>
        <v/>
      </c>
      <c r="O51">
        <f>IF('4.Procurement'!O14="","",'4.Procurement'!O14)</f>
        <v/>
      </c>
      <c r="P51">
        <f>IF('4.Procurement'!P14="","",'4.Procurement'!P14)</f>
        <v/>
      </c>
      <c r="Q51">
        <f>IF('4.Procurement'!Q14="","",'4.Procurement'!Q14)</f>
        <v/>
      </c>
      <c r="R51">
        <f>IF('4.Procurement'!R14="","",'4.Procurement'!R14)</f>
        <v/>
      </c>
      <c r="S51">
        <f>IF('4.Procurement'!S14="","",'4.Procurement'!S14)</f>
        <v/>
      </c>
      <c r="T51">
        <f>IF('4.Procurement'!T14="","",'4.Procurement'!T14)</f>
        <v/>
      </c>
    </row>
    <row r="52">
      <c r="A52">
        <f>'4.Procurement'!A14</f>
        <v/>
      </c>
      <c r="B52">
        <f>'4.Procurement'!B14</f>
        <v/>
      </c>
      <c r="C52">
        <f>'4.Procurement'!C14</f>
        <v/>
      </c>
      <c r="D52">
        <f>'4.Procurement'!D14</f>
        <v/>
      </c>
      <c r="E52">
        <f>'4.Procurement'!E14</f>
        <v/>
      </c>
      <c r="F52">
        <f>'4.Procurement'!F14</f>
        <v/>
      </c>
      <c r="G52">
        <f>'4.Procurement'!G14</f>
        <v/>
      </c>
      <c r="H52">
        <f>IF('4.Procurement'!H15="","",'4.Procurement'!H15)</f>
        <v/>
      </c>
      <c r="I52">
        <f>IF('4.Procurement'!I15="","",'4.Procurement'!I15)</f>
        <v/>
      </c>
      <c r="J52">
        <f>IF('4.Procurement'!J15="","",'4.Procurement'!J15)</f>
        <v/>
      </c>
      <c r="K52">
        <f>IF('4.Procurement'!K15="","",'4.Procurement'!K15)</f>
        <v/>
      </c>
      <c r="L52">
        <f>IF('4.Procurement'!L15="","",'4.Procurement'!L15)</f>
        <v/>
      </c>
      <c r="M52">
        <f>IF('4.Procurement'!M15="","",'4.Procurement'!M15)</f>
        <v/>
      </c>
      <c r="N52">
        <f>IF('4.Procurement'!N15="","",'4.Procurement'!N15)</f>
        <v/>
      </c>
      <c r="O52">
        <f>IF('4.Procurement'!O15="","",'4.Procurement'!O15)</f>
        <v/>
      </c>
      <c r="P52">
        <f>IF('4.Procurement'!P15="","",'4.Procurement'!P15)</f>
        <v/>
      </c>
      <c r="Q52">
        <f>IF('4.Procurement'!Q15="","",'4.Procurement'!Q15)</f>
        <v/>
      </c>
      <c r="R52">
        <f>IF('4.Procurement'!R15="","",'4.Procurement'!R15)</f>
        <v/>
      </c>
      <c r="S52">
        <f>IF('4.Procurement'!S15="","",'4.Procurement'!S15)</f>
        <v/>
      </c>
      <c r="T52">
        <f>IF('4.Procurement'!T15="","",'4.Procurement'!T15)</f>
        <v/>
      </c>
    </row>
    <row r="53">
      <c r="A53">
        <f>'4.Procurement'!A16</f>
        <v/>
      </c>
      <c r="B53">
        <f>'4.Procurement'!B16</f>
        <v/>
      </c>
      <c r="C53">
        <f>'4.Procurement'!C16</f>
        <v/>
      </c>
      <c r="D53">
        <f>'4.Procurement'!D16</f>
        <v/>
      </c>
      <c r="E53">
        <f>'4.Procurement'!E16</f>
        <v/>
      </c>
      <c r="F53">
        <f>'4.Procurement'!F16</f>
        <v/>
      </c>
      <c r="G53">
        <f>'4.Procurement'!G16</f>
        <v/>
      </c>
      <c r="H53">
        <f>IF('4.Procurement'!H16="","",'4.Procurement'!H16)</f>
        <v/>
      </c>
      <c r="I53">
        <f>IF('4.Procurement'!I16="","",'4.Procurement'!I16)</f>
        <v/>
      </c>
      <c r="J53">
        <f>IF('4.Procurement'!J16="","",'4.Procurement'!J16)</f>
        <v/>
      </c>
      <c r="K53">
        <f>IF('4.Procurement'!K16="","",'4.Procurement'!K16)</f>
        <v/>
      </c>
      <c r="L53">
        <f>IF('4.Procurement'!L16="","",'4.Procurement'!L16)</f>
        <v/>
      </c>
      <c r="M53">
        <f>IF('4.Procurement'!M16="","",'4.Procurement'!M16)</f>
        <v/>
      </c>
      <c r="N53">
        <f>IF('4.Procurement'!N16="","",'4.Procurement'!N16)</f>
        <v/>
      </c>
      <c r="O53">
        <f>IF('4.Procurement'!O16="","",'4.Procurement'!O16)</f>
        <v/>
      </c>
      <c r="P53">
        <f>IF('4.Procurement'!P16="","",'4.Procurement'!P16)</f>
        <v/>
      </c>
      <c r="Q53">
        <f>IF('4.Procurement'!Q16="","",'4.Procurement'!Q16)</f>
        <v/>
      </c>
      <c r="R53">
        <f>IF('4.Procurement'!R16="","",'4.Procurement'!R16)</f>
        <v/>
      </c>
      <c r="S53">
        <f>IF('4.Procurement'!S16="","",'4.Procurement'!S16)</f>
        <v/>
      </c>
      <c r="T53">
        <f>IF('4.Procurement'!T16="","",'4.Procurement'!T16)</f>
        <v/>
      </c>
    </row>
    <row r="54">
      <c r="A54">
        <f>'4.Procurement'!A16</f>
        <v/>
      </c>
      <c r="B54">
        <f>'4.Procurement'!B16</f>
        <v/>
      </c>
      <c r="C54">
        <f>'4.Procurement'!C16</f>
        <v/>
      </c>
      <c r="D54">
        <f>'4.Procurement'!D16</f>
        <v/>
      </c>
      <c r="E54">
        <f>'4.Procurement'!E16</f>
        <v/>
      </c>
      <c r="F54">
        <f>'4.Procurement'!F16</f>
        <v/>
      </c>
      <c r="G54">
        <f>'4.Procurement'!G16</f>
        <v/>
      </c>
      <c r="H54">
        <f>IF('4.Procurement'!H17="","",'4.Procurement'!H17)</f>
        <v/>
      </c>
      <c r="I54">
        <f>IF('4.Procurement'!I17="","",'4.Procurement'!I17)</f>
        <v/>
      </c>
      <c r="J54">
        <f>IF('4.Procurement'!J17="","",'4.Procurement'!J17)</f>
        <v/>
      </c>
      <c r="K54">
        <f>IF('4.Procurement'!K17="","",'4.Procurement'!K17)</f>
        <v/>
      </c>
      <c r="L54">
        <f>IF('4.Procurement'!L17="","",'4.Procurement'!L17)</f>
        <v/>
      </c>
      <c r="M54">
        <f>IF('4.Procurement'!M17="","",'4.Procurement'!M17)</f>
        <v/>
      </c>
      <c r="N54">
        <f>IF('4.Procurement'!N17="","",'4.Procurement'!N17)</f>
        <v/>
      </c>
      <c r="O54">
        <f>IF('4.Procurement'!O17="","",'4.Procurement'!O17)</f>
        <v/>
      </c>
      <c r="P54">
        <f>IF('4.Procurement'!P17="","",'4.Procurement'!P17)</f>
        <v/>
      </c>
      <c r="Q54">
        <f>IF('4.Procurement'!Q17="","",'4.Procurement'!Q17)</f>
        <v/>
      </c>
      <c r="R54">
        <f>IF('4.Procurement'!R17="","",'4.Procurement'!R17)</f>
        <v/>
      </c>
      <c r="S54">
        <f>IF('4.Procurement'!S17="","",'4.Procurement'!S17)</f>
        <v/>
      </c>
      <c r="T54">
        <f>IF('4.Procurement'!T17="","",'4.Procurement'!T17)</f>
        <v/>
      </c>
    </row>
    <row r="55">
      <c r="A55">
        <f>'4.Procurement'!A18</f>
        <v/>
      </c>
      <c r="B55">
        <f>'4.Procurement'!B18</f>
        <v/>
      </c>
      <c r="C55">
        <f>'4.Procurement'!C18</f>
        <v/>
      </c>
      <c r="D55">
        <f>'4.Procurement'!D18</f>
        <v/>
      </c>
      <c r="E55">
        <f>'4.Procurement'!E18</f>
        <v/>
      </c>
      <c r="F55">
        <f>'4.Procurement'!F18</f>
        <v/>
      </c>
      <c r="G55">
        <f>'4.Procurement'!G18</f>
        <v/>
      </c>
      <c r="H55">
        <f>IF('4.Procurement'!H18="","",'4.Procurement'!H18)</f>
        <v/>
      </c>
      <c r="I55" s="264">
        <f>IF('4.Procurement'!I18="","",'4.Procurement'!I18)</f>
        <v/>
      </c>
      <c r="J55" s="264">
        <f>IF('4.Procurement'!J18="","",'4.Procurement'!J18)</f>
        <v/>
      </c>
      <c r="K55" s="264">
        <f>IF('4.Procurement'!K18="","",'4.Procurement'!K18)</f>
        <v/>
      </c>
      <c r="L55" s="264">
        <f>IF('4.Procurement'!L18="","",'4.Procurement'!L18)</f>
        <v/>
      </c>
      <c r="M55" s="264">
        <f>IF('4.Procurement'!M18="","",'4.Procurement'!M18)</f>
        <v/>
      </c>
      <c r="N55" s="264">
        <f>IF('4.Procurement'!N18="","",'4.Procurement'!N18)</f>
        <v/>
      </c>
      <c r="O55" s="264">
        <f>IF('4.Procurement'!O18="","",'4.Procurement'!O18)</f>
        <v/>
      </c>
      <c r="P55" s="264">
        <f>IF('4.Procurement'!P18="","",'4.Procurement'!P18)</f>
        <v/>
      </c>
      <c r="Q55" s="264">
        <f>IF('4.Procurement'!Q18="","",'4.Procurement'!Q18)</f>
        <v/>
      </c>
      <c r="R55" s="264">
        <f>IF('4.Procurement'!R18="","",'4.Procurement'!R18)</f>
        <v/>
      </c>
      <c r="S55" s="264">
        <f>IF('4.Procurement'!S18="","",'4.Procurement'!S18)</f>
        <v/>
      </c>
      <c r="T55" s="264">
        <f>IF('4.Procurement'!T18="","",'4.Procurement'!T18)</f>
        <v/>
      </c>
    </row>
    <row r="56">
      <c r="A56">
        <f>'4.Procurement'!A18</f>
        <v/>
      </c>
      <c r="B56">
        <f>'4.Procurement'!B18</f>
        <v/>
      </c>
      <c r="C56">
        <f>'4.Procurement'!C18</f>
        <v/>
      </c>
      <c r="D56">
        <f>'4.Procurement'!D18</f>
        <v/>
      </c>
      <c r="E56">
        <f>'4.Procurement'!E18</f>
        <v/>
      </c>
      <c r="F56">
        <f>'4.Procurement'!F18</f>
        <v/>
      </c>
      <c r="G56">
        <f>'4.Procurement'!G18</f>
        <v/>
      </c>
      <c r="H56">
        <f>IF('4.Procurement'!H19="","",'4.Procurement'!H19)</f>
        <v/>
      </c>
      <c r="I56" s="264">
        <f>IF('4.Procurement'!I19="","",'4.Procurement'!I19)</f>
        <v/>
      </c>
      <c r="J56" s="264">
        <f>IF('4.Procurement'!J19="","",'4.Procurement'!J19)</f>
        <v/>
      </c>
      <c r="K56" s="264">
        <f>IF('4.Procurement'!K19="","",'4.Procurement'!K19)</f>
        <v/>
      </c>
      <c r="L56" s="264">
        <f>IF('4.Procurement'!L19="","",'4.Procurement'!L19)</f>
        <v/>
      </c>
      <c r="M56" s="264">
        <f>IF('4.Procurement'!M19="","",'4.Procurement'!M19)</f>
        <v/>
      </c>
      <c r="N56" s="264">
        <f>IF('4.Procurement'!N19="","",'4.Procurement'!N19)</f>
        <v/>
      </c>
      <c r="O56" s="264">
        <f>IF('4.Procurement'!O19="","",'4.Procurement'!O19)</f>
        <v/>
      </c>
      <c r="P56" s="264">
        <f>IF('4.Procurement'!P19="","",'4.Procurement'!P19)</f>
        <v/>
      </c>
      <c r="Q56" s="264">
        <f>IF('4.Procurement'!Q19="","",'4.Procurement'!Q19)</f>
        <v/>
      </c>
      <c r="R56" s="264">
        <f>IF('4.Procurement'!R19="","",'4.Procurement'!R19)</f>
        <v/>
      </c>
      <c r="S56" s="264">
        <f>IF('4.Procurement'!S19="","",'4.Procurement'!S19)</f>
        <v/>
      </c>
      <c r="T56" s="264">
        <f>IF('4.Procurement'!T19="","",'4.Procurement'!T19)</f>
        <v/>
      </c>
    </row>
    <row r="57">
      <c r="A57">
        <f>IF('4.Procurement'!A20= "","",'4.Procurement'!A20)</f>
        <v/>
      </c>
      <c r="B57">
        <f>IF('4.Procurement'!B20= "","",'4.Procurement'!B20)</f>
        <v/>
      </c>
      <c r="C57">
        <f>IF('4.Procurement'!C20= "","",'4.Procurement'!C20)</f>
        <v/>
      </c>
      <c r="D57">
        <f>IF('4.Procurement'!D20= "","",'4.Procurement'!D20)</f>
        <v/>
      </c>
      <c r="E57">
        <f>IF('4.Procurement'!E20= "","",'4.Procurement'!E20)</f>
        <v/>
      </c>
      <c r="F57">
        <f>IF('4.Procurement'!F20= "","",'4.Procurement'!F20)</f>
        <v/>
      </c>
      <c r="G57">
        <f>IF('4.Procurement'!G20= "","",'4.Procurement'!G20)</f>
        <v/>
      </c>
      <c r="H57">
        <f>IF('4.Procurement'!H20="","",'4.Procurement'!H20)</f>
        <v/>
      </c>
      <c r="I57">
        <f>IF('4.Procurement'!I20="","",'4.Procurement'!I20)</f>
        <v/>
      </c>
      <c r="J57">
        <f>IF('4.Procurement'!J20="","",'4.Procurement'!J20)</f>
        <v/>
      </c>
      <c r="K57">
        <f>IF('4.Procurement'!K20="","",'4.Procurement'!K20)</f>
        <v/>
      </c>
      <c r="L57">
        <f>IF('4.Procurement'!L20="","",'4.Procurement'!L20)</f>
        <v/>
      </c>
      <c r="M57">
        <f>IF('4.Procurement'!M20="","",'4.Procurement'!M20)</f>
        <v/>
      </c>
      <c r="N57">
        <f>IF('4.Procurement'!N20="","",'4.Procurement'!N20)</f>
        <v/>
      </c>
      <c r="O57">
        <f>IF('4.Procurement'!O20="","",'4.Procurement'!O20)</f>
        <v/>
      </c>
      <c r="P57">
        <f>IF('4.Procurement'!P20="","",'4.Procurement'!P20)</f>
        <v/>
      </c>
      <c r="Q57">
        <f>IF('4.Procurement'!Q20="","",'4.Procurement'!Q20)</f>
        <v/>
      </c>
      <c r="R57">
        <f>IF('4.Procurement'!R20="","",'4.Procurement'!R20)</f>
        <v/>
      </c>
      <c r="S57">
        <f>IF('4.Procurement'!S20="","",'4.Procurement'!S20)</f>
        <v/>
      </c>
      <c r="T57">
        <f>IF('4.Procurement'!T20="","",'4.Procurement'!T20)</f>
        <v/>
      </c>
    </row>
    <row r="58">
      <c r="A58">
        <f>IF('4.Procurement'!A20= "","",'4.Procurement'!A20)</f>
        <v/>
      </c>
      <c r="B58">
        <f>IF('4.Procurement'!B20= "","",'4.Procurement'!B20)</f>
        <v/>
      </c>
      <c r="C58">
        <f>IF('4.Procurement'!C20= "","",'4.Procurement'!C20)</f>
        <v/>
      </c>
      <c r="D58">
        <f>IF('4.Procurement'!D20= "","",'4.Procurement'!D20)</f>
        <v/>
      </c>
      <c r="E58">
        <f>IF('4.Procurement'!E20= "","",'4.Procurement'!E20)</f>
        <v/>
      </c>
      <c r="F58">
        <f>IF('4.Procurement'!F20= "","",'4.Procurement'!F20)</f>
        <v/>
      </c>
      <c r="G58">
        <f>IF('4.Procurement'!G20= "","",'4.Procurement'!G20)</f>
        <v/>
      </c>
      <c r="H58">
        <f>IF('4.Procurement'!H21="","",'4.Procurement'!H21)</f>
        <v/>
      </c>
      <c r="I58">
        <f>IF('4.Procurement'!I21="","",'4.Procurement'!I21)</f>
        <v/>
      </c>
      <c r="J58">
        <f>IF('4.Procurement'!J21="","",'4.Procurement'!J21)</f>
        <v/>
      </c>
      <c r="K58">
        <f>IF('4.Procurement'!K21="","",'4.Procurement'!K21)</f>
        <v/>
      </c>
      <c r="L58">
        <f>IF('4.Procurement'!L21="","",'4.Procurement'!L21)</f>
        <v/>
      </c>
      <c r="M58">
        <f>IF('4.Procurement'!M21="","",'4.Procurement'!M21)</f>
        <v/>
      </c>
      <c r="N58">
        <f>IF('4.Procurement'!N21="","",'4.Procurement'!N21)</f>
        <v/>
      </c>
      <c r="O58">
        <f>IF('4.Procurement'!O21="","",'4.Procurement'!O21)</f>
        <v/>
      </c>
      <c r="P58">
        <f>IF('4.Procurement'!P21="","",'4.Procurement'!P21)</f>
        <v/>
      </c>
      <c r="Q58">
        <f>IF('4.Procurement'!Q21="","",'4.Procurement'!Q21)</f>
        <v/>
      </c>
      <c r="R58">
        <f>IF('4.Procurement'!R21="","",'4.Procurement'!R21)</f>
        <v/>
      </c>
      <c r="S58">
        <f>IF('4.Procurement'!S21="","",'4.Procurement'!S21)</f>
        <v/>
      </c>
      <c r="T58">
        <f>IF('4.Procurement'!T21="","",'4.Procurement'!T21)</f>
        <v/>
      </c>
    </row>
    <row r="60">
      <c r="A60" s="13" t="inlineStr">
        <is>
          <t>R&amp;D</t>
        </is>
      </c>
    </row>
    <row r="61">
      <c r="A61" t="inlineStr">
        <is>
          <t>KPI Name</t>
        </is>
      </c>
      <c r="B61" t="inlineStr">
        <is>
          <t>KPI  Definition</t>
        </is>
      </c>
      <c r="C61" t="inlineStr">
        <is>
          <t>Operators</t>
        </is>
      </c>
      <c r="D61" t="inlineStr">
        <is>
          <t>Target AOP 2026</t>
        </is>
      </c>
      <c r="E61" t="inlineStr">
        <is>
          <t>Units</t>
        </is>
      </c>
      <c r="F61" t="inlineStr">
        <is>
          <t>Metric nature</t>
        </is>
      </c>
      <c r="G61" t="inlineStr">
        <is>
          <t>Frequency</t>
        </is>
      </c>
      <c r="H61" t="inlineStr">
        <is>
          <t>Target/ Actual</t>
        </is>
      </c>
      <c r="I61" s="261" t="inlineStr">
        <is>
          <t>Jan-2026</t>
        </is>
      </c>
      <c r="J61" s="261" t="inlineStr">
        <is>
          <t>Feb-2026</t>
        </is>
      </c>
      <c r="K61" s="261" t="inlineStr">
        <is>
          <t>Mar-2026</t>
        </is>
      </c>
      <c r="L61" s="261" t="inlineStr">
        <is>
          <t>Apr-2026</t>
        </is>
      </c>
      <c r="M61" s="261" t="inlineStr">
        <is>
          <t>May-2026</t>
        </is>
      </c>
      <c r="N61" s="261" t="inlineStr">
        <is>
          <t>Jun-2026</t>
        </is>
      </c>
      <c r="O61" s="261" t="inlineStr">
        <is>
          <t>Jul-2026</t>
        </is>
      </c>
      <c r="P61" s="261" t="inlineStr">
        <is>
          <t>Aug-2026</t>
        </is>
      </c>
      <c r="Q61" s="261" t="inlineStr">
        <is>
          <t>Sep-2026</t>
        </is>
      </c>
      <c r="R61" s="261" t="inlineStr">
        <is>
          <t>Oct-2026</t>
        </is>
      </c>
      <c r="S61" s="261" t="inlineStr">
        <is>
          <t>Nov-2026</t>
        </is>
      </c>
      <c r="T61" s="262" t="inlineStr">
        <is>
          <t>Dec-2026</t>
        </is>
      </c>
    </row>
    <row r="62">
      <c r="A62">
        <f>'5.R&amp;D '!A14</f>
        <v/>
      </c>
      <c r="B62">
        <f>'5.R&amp;D '!B14</f>
        <v/>
      </c>
      <c r="C62">
        <f>'5.R&amp;D '!C14</f>
        <v/>
      </c>
      <c r="D62">
        <f>'5.R&amp;D '!D14</f>
        <v/>
      </c>
      <c r="E62">
        <f>'5.R&amp;D '!E14</f>
        <v/>
      </c>
      <c r="F62">
        <f>'5.R&amp;D '!F14</f>
        <v/>
      </c>
      <c r="G62">
        <f>'5.R&amp;D '!G14</f>
        <v/>
      </c>
      <c r="H62">
        <f>IF('5.R&amp;D '!H14="","",'5.R&amp;D '!H14)</f>
        <v/>
      </c>
      <c r="I62">
        <f>IF('5.R&amp;D '!I14="","",'5.R&amp;D '!I14)</f>
        <v/>
      </c>
      <c r="J62">
        <f>IF('5.R&amp;D '!J14="","",'5.R&amp;D '!J14)</f>
        <v/>
      </c>
      <c r="K62">
        <f>IF('5.R&amp;D '!K14="","",'5.R&amp;D '!K14)</f>
        <v/>
      </c>
      <c r="L62">
        <f>IF('5.R&amp;D '!L14="","",'5.R&amp;D '!L14)</f>
        <v/>
      </c>
      <c r="M62">
        <f>IF('5.R&amp;D '!M14="","",'5.R&amp;D '!M14)</f>
        <v/>
      </c>
      <c r="N62">
        <f>IF('5.R&amp;D '!N14="","",'5.R&amp;D '!N14)</f>
        <v/>
      </c>
      <c r="O62">
        <f>IF('5.R&amp;D '!O14="","",'5.R&amp;D '!O14)</f>
        <v/>
      </c>
      <c r="P62">
        <f>IF('5.R&amp;D '!P14="","",'5.R&amp;D '!P14)</f>
        <v/>
      </c>
      <c r="Q62">
        <f>IF('5.R&amp;D '!Q14="","",'5.R&amp;D '!Q14)</f>
        <v/>
      </c>
      <c r="R62">
        <f>IF('5.R&amp;D '!R14="","",'5.R&amp;D '!R14)</f>
        <v/>
      </c>
      <c r="S62">
        <f>IF('5.R&amp;D '!S14="","",'5.R&amp;D '!S14)</f>
        <v/>
      </c>
      <c r="T62">
        <f>IF('5.R&amp;D '!T14="","",'5.R&amp;D '!T14)</f>
        <v/>
      </c>
    </row>
    <row r="63">
      <c r="A63">
        <f>'5.R&amp;D '!A14</f>
        <v/>
      </c>
      <c r="B63">
        <f>'5.R&amp;D '!B14</f>
        <v/>
      </c>
      <c r="C63">
        <f>'5.R&amp;D '!C14</f>
        <v/>
      </c>
      <c r="D63">
        <f>'5.R&amp;D '!D14</f>
        <v/>
      </c>
      <c r="E63">
        <f>'5.R&amp;D '!E14</f>
        <v/>
      </c>
      <c r="F63">
        <f>'5.R&amp;D '!F14</f>
        <v/>
      </c>
      <c r="G63">
        <f>'5.R&amp;D '!G14</f>
        <v/>
      </c>
      <c r="H63">
        <f>IF('5.R&amp;D '!H15="","",'5.R&amp;D '!H15)</f>
        <v/>
      </c>
      <c r="I63">
        <f>IF('5.R&amp;D '!I15="","",'5.R&amp;D '!I15)</f>
        <v/>
      </c>
      <c r="J63">
        <f>IF('5.R&amp;D '!J15="","",'5.R&amp;D '!J15)</f>
        <v/>
      </c>
      <c r="K63">
        <f>IF('5.R&amp;D '!K15="","",'5.R&amp;D '!K15)</f>
        <v/>
      </c>
      <c r="L63">
        <f>IF('5.R&amp;D '!L15="","",'5.R&amp;D '!L15)</f>
        <v/>
      </c>
      <c r="M63">
        <f>IF('5.R&amp;D '!M15="","",'5.R&amp;D '!M15)</f>
        <v/>
      </c>
      <c r="N63">
        <f>IF('5.R&amp;D '!N15="","",'5.R&amp;D '!N15)</f>
        <v/>
      </c>
      <c r="O63">
        <f>IF('5.R&amp;D '!O15="","",'5.R&amp;D '!O15)</f>
        <v/>
      </c>
      <c r="P63">
        <f>IF('5.R&amp;D '!P15="","",'5.R&amp;D '!P15)</f>
        <v/>
      </c>
      <c r="Q63">
        <f>IF('5.R&amp;D '!Q15="","",'5.R&amp;D '!Q15)</f>
        <v/>
      </c>
      <c r="R63">
        <f>IF('5.R&amp;D '!R15="","",'5.R&amp;D '!R15)</f>
        <v/>
      </c>
      <c r="S63">
        <f>IF('5.R&amp;D '!S15="","",'5.R&amp;D '!S15)</f>
        <v/>
      </c>
      <c r="T63">
        <f>IF('5.R&amp;D '!T15="","",'5.R&amp;D '!T15)</f>
        <v/>
      </c>
    </row>
    <row r="64">
      <c r="A64">
        <f>'5.R&amp;D '!A16</f>
        <v/>
      </c>
      <c r="B64">
        <f>'5.R&amp;D '!B16</f>
        <v/>
      </c>
      <c r="C64">
        <f>'5.R&amp;D '!C16</f>
        <v/>
      </c>
      <c r="D64">
        <f>'5.R&amp;D '!D16</f>
        <v/>
      </c>
      <c r="E64">
        <f>'5.R&amp;D '!E16</f>
        <v/>
      </c>
      <c r="F64">
        <f>'5.R&amp;D '!F16</f>
        <v/>
      </c>
      <c r="G64">
        <f>'5.R&amp;D '!G16</f>
        <v/>
      </c>
      <c r="H64">
        <f>IF('5.R&amp;D '!H16="","",'5.R&amp;D '!H16)</f>
        <v/>
      </c>
      <c r="I64">
        <f>IF('5.R&amp;D '!I16="","",'5.R&amp;D '!I16)</f>
        <v/>
      </c>
      <c r="J64">
        <f>IF('5.R&amp;D '!J16="","",'5.R&amp;D '!J16)</f>
        <v/>
      </c>
      <c r="K64">
        <f>IF('5.R&amp;D '!K16="","",'5.R&amp;D '!K16)</f>
        <v/>
      </c>
      <c r="L64">
        <f>IF('5.R&amp;D '!L16="","",'5.R&amp;D '!L16)</f>
        <v/>
      </c>
      <c r="M64">
        <f>IF('5.R&amp;D '!M16="","",'5.R&amp;D '!M16)</f>
        <v/>
      </c>
      <c r="N64">
        <f>IF('5.R&amp;D '!N16="","",'5.R&amp;D '!N16)</f>
        <v/>
      </c>
      <c r="O64">
        <f>IF('5.R&amp;D '!O16="","",'5.R&amp;D '!O16)</f>
        <v/>
      </c>
      <c r="P64">
        <f>IF('5.R&amp;D '!P16="","",'5.R&amp;D '!P16)</f>
        <v/>
      </c>
      <c r="Q64">
        <f>IF('5.R&amp;D '!Q16="","",'5.R&amp;D '!Q16)</f>
        <v/>
      </c>
      <c r="R64">
        <f>IF('5.R&amp;D '!R16="","",'5.R&amp;D '!R16)</f>
        <v/>
      </c>
      <c r="S64">
        <f>IF('5.R&amp;D '!S16="","",'5.R&amp;D '!S16)</f>
        <v/>
      </c>
      <c r="T64">
        <f>IF('5.R&amp;D '!T16="","",'5.R&amp;D '!T16)</f>
        <v/>
      </c>
    </row>
    <row r="65">
      <c r="A65">
        <f>'5.R&amp;D '!A16</f>
        <v/>
      </c>
      <c r="B65">
        <f>'5.R&amp;D '!B16</f>
        <v/>
      </c>
      <c r="C65">
        <f>'5.R&amp;D '!C16</f>
        <v/>
      </c>
      <c r="D65">
        <f>'5.R&amp;D '!D16</f>
        <v/>
      </c>
      <c r="E65">
        <f>'5.R&amp;D '!E16</f>
        <v/>
      </c>
      <c r="F65">
        <f>'5.R&amp;D '!F16</f>
        <v/>
      </c>
      <c r="G65">
        <f>'5.R&amp;D '!G16</f>
        <v/>
      </c>
      <c r="H65">
        <f>IF('5.R&amp;D '!H17="","",'5.R&amp;D '!H17)</f>
        <v/>
      </c>
      <c r="I65">
        <f>IF('5.R&amp;D '!I17="","",'5.R&amp;D '!I17)</f>
        <v/>
      </c>
      <c r="J65">
        <f>IF('5.R&amp;D '!J17="","",'5.R&amp;D '!J17)</f>
        <v/>
      </c>
      <c r="K65">
        <f>IF('5.R&amp;D '!K17="","",'5.R&amp;D '!K17)</f>
        <v/>
      </c>
      <c r="L65">
        <f>IF('5.R&amp;D '!L17="","",'5.R&amp;D '!L17)</f>
        <v/>
      </c>
      <c r="M65">
        <f>IF('5.R&amp;D '!M17="","",'5.R&amp;D '!M17)</f>
        <v/>
      </c>
      <c r="N65">
        <f>IF('5.R&amp;D '!N17="","",'5.R&amp;D '!N17)</f>
        <v/>
      </c>
      <c r="O65">
        <f>IF('5.R&amp;D '!O17="","",'5.R&amp;D '!O17)</f>
        <v/>
      </c>
      <c r="P65">
        <f>IF('5.R&amp;D '!P17="","",'5.R&amp;D '!P17)</f>
        <v/>
      </c>
      <c r="Q65">
        <f>IF('5.R&amp;D '!Q17="","",'5.R&amp;D '!Q17)</f>
        <v/>
      </c>
      <c r="R65">
        <f>IF('5.R&amp;D '!R17="","",'5.R&amp;D '!R17)</f>
        <v/>
      </c>
      <c r="S65">
        <f>IF('5.R&amp;D '!S17="","",'5.R&amp;D '!S17)</f>
        <v/>
      </c>
      <c r="T65">
        <f>IF('5.R&amp;D '!T17="","",'5.R&amp;D '!T17)</f>
        <v/>
      </c>
    </row>
    <row r="66">
      <c r="A66">
        <f>'5.R&amp;D '!A18</f>
        <v/>
      </c>
      <c r="B66">
        <f>'5.R&amp;D '!B18</f>
        <v/>
      </c>
      <c r="C66">
        <f>'5.R&amp;D '!C18</f>
        <v/>
      </c>
      <c r="D66">
        <f>'5.R&amp;D '!D18</f>
        <v/>
      </c>
      <c r="E66">
        <f>'5.R&amp;D '!E18</f>
        <v/>
      </c>
      <c r="F66">
        <f>'5.R&amp;D '!F18</f>
        <v/>
      </c>
      <c r="G66">
        <f>'5.R&amp;D '!G18</f>
        <v/>
      </c>
      <c r="H66">
        <f>IF('5.R&amp;D '!H18="","",'5.R&amp;D '!H18)</f>
        <v/>
      </c>
      <c r="I66">
        <f>IF('5.R&amp;D '!I18="","",'5.R&amp;D '!I18)</f>
        <v/>
      </c>
      <c r="J66">
        <f>IF('5.R&amp;D '!J18="","",'5.R&amp;D '!J18)</f>
        <v/>
      </c>
      <c r="K66">
        <f>IF('5.R&amp;D '!K18="","",'5.R&amp;D '!K18)</f>
        <v/>
      </c>
      <c r="L66">
        <f>IF('5.R&amp;D '!L18="","",'5.R&amp;D '!L18)</f>
        <v/>
      </c>
      <c r="M66">
        <f>IF('5.R&amp;D '!M18="","",'5.R&amp;D '!M18)</f>
        <v/>
      </c>
      <c r="N66">
        <f>IF('5.R&amp;D '!N18="","",'5.R&amp;D '!N18)</f>
        <v/>
      </c>
      <c r="O66">
        <f>IF('5.R&amp;D '!O18="","",'5.R&amp;D '!O18)</f>
        <v/>
      </c>
      <c r="P66">
        <f>IF('5.R&amp;D '!P18="","",'5.R&amp;D '!P18)</f>
        <v/>
      </c>
      <c r="Q66">
        <f>IF('5.R&amp;D '!Q18="","",'5.R&amp;D '!Q18)</f>
        <v/>
      </c>
      <c r="R66">
        <f>IF('5.R&amp;D '!R18="","",'5.R&amp;D '!R18)</f>
        <v/>
      </c>
      <c r="S66">
        <f>IF('5.R&amp;D '!S18="","",'5.R&amp;D '!S18)</f>
        <v/>
      </c>
      <c r="T66">
        <f>IF('5.R&amp;D '!T18="","",'5.R&amp;D '!T18)</f>
        <v/>
      </c>
    </row>
    <row r="67">
      <c r="A67">
        <f>'5.R&amp;D '!A18</f>
        <v/>
      </c>
      <c r="B67">
        <f>'5.R&amp;D '!B18</f>
        <v/>
      </c>
      <c r="C67">
        <f>'5.R&amp;D '!C18</f>
        <v/>
      </c>
      <c r="D67">
        <f>'5.R&amp;D '!D18</f>
        <v/>
      </c>
      <c r="E67">
        <f>'5.R&amp;D '!E18</f>
        <v/>
      </c>
      <c r="F67">
        <f>'5.R&amp;D '!F18</f>
        <v/>
      </c>
      <c r="G67">
        <f>'5.R&amp;D '!G18</f>
        <v/>
      </c>
      <c r="H67">
        <f>IF('5.R&amp;D '!H19="","",'5.R&amp;D '!H19)</f>
        <v/>
      </c>
      <c r="I67">
        <f>IF('5.R&amp;D '!I19="","",'5.R&amp;D '!I19)</f>
        <v/>
      </c>
      <c r="J67">
        <f>IF('5.R&amp;D '!J19="","",'5.R&amp;D '!J19)</f>
        <v/>
      </c>
      <c r="K67">
        <f>IF('5.R&amp;D '!K19="","",'5.R&amp;D '!K19)</f>
        <v/>
      </c>
      <c r="L67">
        <f>IF('5.R&amp;D '!L19="","",'5.R&amp;D '!L19)</f>
        <v/>
      </c>
      <c r="M67">
        <f>IF('5.R&amp;D '!M19="","",'5.R&amp;D '!M19)</f>
        <v/>
      </c>
      <c r="N67">
        <f>IF('5.R&amp;D '!N19="","",'5.R&amp;D '!N19)</f>
        <v/>
      </c>
      <c r="O67">
        <f>IF('5.R&amp;D '!O19="","",'5.R&amp;D '!O19)</f>
        <v/>
      </c>
      <c r="P67">
        <f>IF('5.R&amp;D '!P19="","",'5.R&amp;D '!P19)</f>
        <v/>
      </c>
      <c r="Q67">
        <f>IF('5.R&amp;D '!Q19="","",'5.R&amp;D '!Q19)</f>
        <v/>
      </c>
      <c r="R67">
        <f>IF('5.R&amp;D '!R19="","",'5.R&amp;D '!R19)</f>
        <v/>
      </c>
      <c r="S67">
        <f>IF('5.R&amp;D '!S19="","",'5.R&amp;D '!S19)</f>
        <v/>
      </c>
      <c r="T67">
        <f>IF('5.R&amp;D '!T19="","",'5.R&amp;D '!T19)</f>
        <v/>
      </c>
    </row>
    <row r="68">
      <c r="A68">
        <f>'5.R&amp;D '!A26</f>
        <v/>
      </c>
      <c r="B68">
        <f>'5.R&amp;D '!B26</f>
        <v/>
      </c>
      <c r="C68">
        <f>'5.R&amp;D '!C26</f>
        <v/>
      </c>
      <c r="D68">
        <f>'5.R&amp;D '!D26</f>
        <v/>
      </c>
      <c r="E68">
        <f>'5.R&amp;D '!E26</f>
        <v/>
      </c>
      <c r="F68">
        <f>'5.R&amp;D '!F26</f>
        <v/>
      </c>
      <c r="G68">
        <f>'5.R&amp;D '!G26</f>
        <v/>
      </c>
      <c r="H68">
        <f>IF('5.R&amp;D '!H26="","",'5.R&amp;D '!H26)</f>
        <v/>
      </c>
      <c r="I68">
        <f>IF('5.R&amp;D '!I26="","",'5.R&amp;D '!I26)</f>
        <v/>
      </c>
      <c r="J68">
        <f>IF('5.R&amp;D '!J26="","",'5.R&amp;D '!J26)</f>
        <v/>
      </c>
      <c r="K68">
        <f>IF('5.R&amp;D '!K26="","",'5.R&amp;D '!K26)</f>
        <v/>
      </c>
      <c r="L68">
        <f>IF('5.R&amp;D '!L26="","",'5.R&amp;D '!L26)</f>
        <v/>
      </c>
      <c r="M68">
        <f>IF('5.R&amp;D '!M26="","",'5.R&amp;D '!M26)</f>
        <v/>
      </c>
      <c r="N68">
        <f>IF('5.R&amp;D '!N26="","",'5.R&amp;D '!N26)</f>
        <v/>
      </c>
      <c r="O68">
        <f>IF('5.R&amp;D '!O26="","",'5.R&amp;D '!O26)</f>
        <v/>
      </c>
      <c r="P68">
        <f>IF('5.R&amp;D '!P26="","",'5.R&amp;D '!P26)</f>
        <v/>
      </c>
      <c r="Q68">
        <f>IF('5.R&amp;D '!Q26="","",'5.R&amp;D '!Q26)</f>
        <v/>
      </c>
      <c r="R68">
        <f>IF('5.R&amp;D '!R26="","",'5.R&amp;D '!R26)</f>
        <v/>
      </c>
      <c r="S68">
        <f>IF('5.R&amp;D '!S26="","",'5.R&amp;D '!S26)</f>
        <v/>
      </c>
      <c r="T68">
        <f>IF('5.R&amp;D '!T26="","",'5.R&amp;D '!T26)</f>
        <v/>
      </c>
    </row>
    <row r="69">
      <c r="A69">
        <f>'5.R&amp;D '!A26</f>
        <v/>
      </c>
      <c r="B69">
        <f>'5.R&amp;D '!B26</f>
        <v/>
      </c>
      <c r="C69">
        <f>'5.R&amp;D '!C26</f>
        <v/>
      </c>
      <c r="D69">
        <f>'5.R&amp;D '!D26</f>
        <v/>
      </c>
      <c r="E69">
        <f>'5.R&amp;D '!E26</f>
        <v/>
      </c>
      <c r="F69">
        <f>'5.R&amp;D '!F26</f>
        <v/>
      </c>
      <c r="G69">
        <f>'5.R&amp;D '!G26</f>
        <v/>
      </c>
      <c r="H69">
        <f>IF('5.R&amp;D '!H27="","",'5.R&amp;D '!H27)</f>
        <v/>
      </c>
      <c r="I69">
        <f>IF('5.R&amp;D '!I27="","",'5.R&amp;D '!I27)</f>
        <v/>
      </c>
      <c r="J69">
        <f>IF('5.R&amp;D '!J27="","",'5.R&amp;D '!J27)</f>
        <v/>
      </c>
      <c r="K69">
        <f>IF('5.R&amp;D '!K27="","",'5.R&amp;D '!K27)</f>
        <v/>
      </c>
      <c r="L69">
        <f>IF('5.R&amp;D '!L27="","",'5.R&amp;D '!L27)</f>
        <v/>
      </c>
      <c r="M69">
        <f>IF('5.R&amp;D '!M27="","",'5.R&amp;D '!M27)</f>
        <v/>
      </c>
      <c r="N69">
        <f>IF('5.R&amp;D '!N27="","",'5.R&amp;D '!N27)</f>
        <v/>
      </c>
      <c r="O69">
        <f>IF('5.R&amp;D '!O27="","",'5.R&amp;D '!O27)</f>
        <v/>
      </c>
      <c r="P69">
        <f>IF('5.R&amp;D '!P27="","",'5.R&amp;D '!P27)</f>
        <v/>
      </c>
      <c r="Q69">
        <f>IF('5.R&amp;D '!Q27="","",'5.R&amp;D '!Q27)</f>
        <v/>
      </c>
      <c r="R69">
        <f>IF('5.R&amp;D '!R27="","",'5.R&amp;D '!R27)</f>
        <v/>
      </c>
      <c r="S69">
        <f>IF('5.R&amp;D '!S27="","",'5.R&amp;D '!S27)</f>
        <v/>
      </c>
      <c r="T69">
        <f>IF('5.R&amp;D '!T27="","",'5.R&amp;D '!T27)</f>
        <v/>
      </c>
    </row>
    <row r="71">
      <c r="A71" s="13" t="inlineStr">
        <is>
          <t>Marketing</t>
        </is>
      </c>
    </row>
    <row r="72">
      <c r="A72" t="inlineStr">
        <is>
          <t>KPI Name</t>
        </is>
      </c>
      <c r="B72" t="inlineStr">
        <is>
          <t>KPI  Definition</t>
        </is>
      </c>
      <c r="C72" t="inlineStr">
        <is>
          <t>Operators</t>
        </is>
      </c>
      <c r="D72" t="inlineStr">
        <is>
          <t>Target AOP 2026</t>
        </is>
      </c>
      <c r="E72" t="inlineStr">
        <is>
          <t>Units</t>
        </is>
      </c>
      <c r="F72" t="inlineStr">
        <is>
          <t>Metric nature</t>
        </is>
      </c>
      <c r="G72" t="inlineStr">
        <is>
          <t>Frequency</t>
        </is>
      </c>
      <c r="H72" t="inlineStr">
        <is>
          <t>Target/ Actual</t>
        </is>
      </c>
      <c r="I72" s="261" t="inlineStr">
        <is>
          <t>Jan-2026</t>
        </is>
      </c>
      <c r="J72" s="261" t="inlineStr">
        <is>
          <t>Feb-2026</t>
        </is>
      </c>
      <c r="K72" s="261" t="inlineStr">
        <is>
          <t>Mar-2026</t>
        </is>
      </c>
      <c r="L72" s="261" t="inlineStr">
        <is>
          <t>Apr-2026</t>
        </is>
      </c>
      <c r="M72" s="261" t="inlineStr">
        <is>
          <t>May-2026</t>
        </is>
      </c>
      <c r="N72" s="261" t="inlineStr">
        <is>
          <t>Jun-2026</t>
        </is>
      </c>
      <c r="O72" s="261" t="inlineStr">
        <is>
          <t>Jul-2026</t>
        </is>
      </c>
      <c r="P72" s="261" t="inlineStr">
        <is>
          <t>Aug-2026</t>
        </is>
      </c>
      <c r="Q72" s="261" t="inlineStr">
        <is>
          <t>Sep-2026</t>
        </is>
      </c>
      <c r="R72" s="261" t="inlineStr">
        <is>
          <t>Oct-2026</t>
        </is>
      </c>
      <c r="S72" s="261" t="inlineStr">
        <is>
          <t>Nov-2026</t>
        </is>
      </c>
      <c r="T72" s="262" t="inlineStr">
        <is>
          <t>Dec-2026</t>
        </is>
      </c>
    </row>
    <row r="73">
      <c r="A73">
        <f>#REF!</f>
        <v/>
      </c>
      <c r="B73">
        <f>#REF!</f>
        <v/>
      </c>
      <c r="C73">
        <f>#REF!</f>
        <v/>
      </c>
      <c r="D73">
        <f>#REF!</f>
        <v/>
      </c>
      <c r="E73">
        <f>#REF!</f>
        <v/>
      </c>
      <c r="F73">
        <f>#REF!</f>
        <v/>
      </c>
      <c r="G73">
        <f>#REF!</f>
        <v/>
      </c>
      <c r="H73">
        <f>IF(#REF!="","",#REF!)</f>
        <v/>
      </c>
      <c r="I73" s="265">
        <f>IF(#REF!="","",#REF!)</f>
        <v/>
      </c>
      <c r="J73" s="265">
        <f>IF(#REF!="","",#REF!)</f>
        <v/>
      </c>
      <c r="K73" s="265">
        <f>IF(#REF!="","",#REF!)</f>
        <v/>
      </c>
      <c r="L73" s="265">
        <f>IF(#REF!="","",#REF!)</f>
        <v/>
      </c>
      <c r="M73" s="265">
        <f>IF(#REF!="","",#REF!)</f>
        <v/>
      </c>
      <c r="N73" s="265">
        <f>IF(#REF!="","",#REF!)</f>
        <v/>
      </c>
      <c r="O73" s="265">
        <f>IF(#REF!="","",#REF!)</f>
        <v/>
      </c>
      <c r="P73" s="265">
        <f>IF(#REF!="","",#REF!)</f>
        <v/>
      </c>
      <c r="Q73" s="265">
        <f>IF(#REF!="","",#REF!)</f>
        <v/>
      </c>
      <c r="R73" s="265">
        <f>IF(#REF!="","",#REF!)</f>
        <v/>
      </c>
      <c r="S73" s="265">
        <f>IF(#REF!="","",#REF!)</f>
        <v/>
      </c>
      <c r="T73" s="265">
        <f>IF(#REF!="","",#REF!)</f>
        <v/>
      </c>
    </row>
    <row r="74">
      <c r="A74">
        <f>#REF!</f>
        <v/>
      </c>
      <c r="B74">
        <f>#REF!</f>
        <v/>
      </c>
      <c r="C74">
        <f>#REF!</f>
        <v/>
      </c>
      <c r="D74">
        <f>#REF!</f>
        <v/>
      </c>
      <c r="E74">
        <f>#REF!</f>
        <v/>
      </c>
      <c r="F74">
        <f>#REF!</f>
        <v/>
      </c>
      <c r="G74">
        <f>#REF!</f>
        <v/>
      </c>
      <c r="H74">
        <f>IF(#REF!="","",#REF!)</f>
        <v/>
      </c>
      <c r="I74" s="265">
        <f>IF(#REF!="","",#REF!)</f>
        <v/>
      </c>
      <c r="J74" s="265">
        <f>IF(#REF!="","",#REF!)</f>
        <v/>
      </c>
      <c r="K74" s="265">
        <f>IF(#REF!="","",#REF!)</f>
        <v/>
      </c>
      <c r="L74" s="265">
        <f>IF(#REF!="","",#REF!)</f>
        <v/>
      </c>
      <c r="M74" s="265">
        <f>IF(#REF!="","",#REF!)</f>
        <v/>
      </c>
      <c r="N74" s="265">
        <f>IF(#REF!="","",#REF!)</f>
        <v/>
      </c>
      <c r="O74" s="265">
        <f>IF(#REF!="","",#REF!)</f>
        <v/>
      </c>
      <c r="P74" s="265">
        <f>IF(#REF!="","",#REF!)</f>
        <v/>
      </c>
      <c r="Q74" s="265">
        <f>IF(#REF!="","",#REF!)</f>
        <v/>
      </c>
      <c r="R74" s="265">
        <f>IF(#REF!="","",#REF!)</f>
        <v/>
      </c>
      <c r="S74" s="265">
        <f>IF(#REF!="","",#REF!)</f>
        <v/>
      </c>
      <c r="T74" s="265">
        <f>IF(#REF!="","",#REF!)</f>
        <v/>
      </c>
    </row>
    <row r="75">
      <c r="A75">
        <f>#REF!</f>
        <v/>
      </c>
      <c r="B75">
        <f>#REF!</f>
        <v/>
      </c>
      <c r="C75">
        <f>#REF!</f>
        <v/>
      </c>
      <c r="D75">
        <f>#REF!</f>
        <v/>
      </c>
      <c r="E75">
        <f>#REF!</f>
        <v/>
      </c>
      <c r="F75">
        <f>#REF!</f>
        <v/>
      </c>
      <c r="G75">
        <f>#REF!</f>
        <v/>
      </c>
      <c r="H75">
        <f>IF(#REF!="","",#REF!)</f>
        <v/>
      </c>
      <c r="I75">
        <f>IF(#REF!="","",#REF!)</f>
        <v/>
      </c>
      <c r="J75">
        <f>IF(#REF!="","",#REF!)</f>
        <v/>
      </c>
      <c r="K75">
        <f>IF(#REF!="","",#REF!)</f>
        <v/>
      </c>
      <c r="L75">
        <f>IF(#REF!="","",#REF!)</f>
        <v/>
      </c>
      <c r="M75">
        <f>IF(#REF!="","",#REF!)</f>
        <v/>
      </c>
      <c r="N75">
        <f>IF(#REF!="","",#REF!)</f>
        <v/>
      </c>
      <c r="O75">
        <f>IF(#REF!="","",#REF!)</f>
        <v/>
      </c>
      <c r="P75">
        <f>IF(#REF!="","",#REF!)</f>
        <v/>
      </c>
      <c r="Q75">
        <f>IF(#REF!="","",#REF!)</f>
        <v/>
      </c>
      <c r="R75">
        <f>IF(#REF!="","",#REF!)</f>
        <v/>
      </c>
      <c r="S75">
        <f>IF(#REF!="","",#REF!)</f>
        <v/>
      </c>
      <c r="T75">
        <f>IF(#REF!="","",#REF!)</f>
        <v/>
      </c>
    </row>
    <row r="76">
      <c r="A76">
        <f>#REF!</f>
        <v/>
      </c>
      <c r="B76">
        <f>#REF!</f>
        <v/>
      </c>
      <c r="C76">
        <f>#REF!</f>
        <v/>
      </c>
      <c r="D76">
        <f>#REF!</f>
        <v/>
      </c>
      <c r="E76">
        <f>#REF!</f>
        <v/>
      </c>
      <c r="F76">
        <f>#REF!</f>
        <v/>
      </c>
      <c r="G76">
        <f>#REF!</f>
        <v/>
      </c>
      <c r="H76">
        <f>IF(#REF!="","",#REF!)</f>
        <v/>
      </c>
      <c r="I76">
        <f>IF(#REF!="","",#REF!)</f>
        <v/>
      </c>
      <c r="J76">
        <f>IF(#REF!="","",#REF!)</f>
        <v/>
      </c>
      <c r="K76">
        <f>IF(#REF!="","",#REF!)</f>
        <v/>
      </c>
      <c r="L76">
        <f>IF(#REF!="","",#REF!)</f>
        <v/>
      </c>
      <c r="M76">
        <f>IF(#REF!="","",#REF!)</f>
        <v/>
      </c>
      <c r="N76">
        <f>IF(#REF!="","",#REF!)</f>
        <v/>
      </c>
      <c r="O76">
        <f>IF(#REF!="","",#REF!)</f>
        <v/>
      </c>
      <c r="P76">
        <f>IF(#REF!="","",#REF!)</f>
        <v/>
      </c>
      <c r="Q76">
        <f>IF(#REF!="","",#REF!)</f>
        <v/>
      </c>
      <c r="R76">
        <f>IF(#REF!="","",#REF!)</f>
        <v/>
      </c>
      <c r="S76">
        <f>IF(#REF!="","",#REF!)</f>
        <v/>
      </c>
      <c r="T76">
        <f>IF(#REF!="","",#REF!)</f>
        <v/>
      </c>
    </row>
    <row r="77">
      <c r="A77">
        <f>#REF!</f>
        <v/>
      </c>
      <c r="B77">
        <f>#REF!</f>
        <v/>
      </c>
      <c r="C77">
        <f>#REF!</f>
        <v/>
      </c>
      <c r="D77">
        <f>#REF!</f>
        <v/>
      </c>
      <c r="E77">
        <f>#REF!</f>
        <v/>
      </c>
      <c r="F77">
        <f>#REF!</f>
        <v/>
      </c>
      <c r="G77">
        <f>#REF!</f>
        <v/>
      </c>
      <c r="H77">
        <f>IF(#REF!="","",#REF!)</f>
        <v/>
      </c>
      <c r="I77">
        <f>IF(#REF!="","",#REF!)</f>
        <v/>
      </c>
      <c r="J77">
        <f>IF(#REF!="","",#REF!)</f>
        <v/>
      </c>
      <c r="K77">
        <f>IF(#REF!="","",#REF!)</f>
        <v/>
      </c>
      <c r="L77">
        <f>IF(#REF!="","",#REF!)</f>
        <v/>
      </c>
      <c r="M77">
        <f>IF(#REF!="","",#REF!)</f>
        <v/>
      </c>
      <c r="N77">
        <f>IF(#REF!="","",#REF!)</f>
        <v/>
      </c>
      <c r="O77">
        <f>IF(#REF!="","",#REF!)</f>
        <v/>
      </c>
      <c r="P77">
        <f>IF(#REF!="","",#REF!)</f>
        <v/>
      </c>
      <c r="Q77">
        <f>IF(#REF!="","",#REF!)</f>
        <v/>
      </c>
      <c r="R77">
        <f>IF(#REF!="","",#REF!)</f>
        <v/>
      </c>
      <c r="S77">
        <f>IF(#REF!="","",#REF!)</f>
        <v/>
      </c>
      <c r="T77">
        <f>IF(#REF!="","",#REF!)</f>
        <v/>
      </c>
    </row>
    <row r="78">
      <c r="A78">
        <f>#REF!</f>
        <v/>
      </c>
      <c r="B78">
        <f>#REF!</f>
        <v/>
      </c>
      <c r="C78">
        <f>#REF!</f>
        <v/>
      </c>
      <c r="D78">
        <f>#REF!</f>
        <v/>
      </c>
      <c r="E78">
        <f>#REF!</f>
        <v/>
      </c>
      <c r="F78">
        <f>#REF!</f>
        <v/>
      </c>
      <c r="G78">
        <f>#REF!</f>
        <v/>
      </c>
      <c r="H78">
        <f>IF(#REF!="","",#REF!)</f>
        <v/>
      </c>
      <c r="I78">
        <f>IF(#REF!="","",#REF!)</f>
        <v/>
      </c>
      <c r="J78">
        <f>IF(#REF!="","",#REF!)</f>
        <v/>
      </c>
      <c r="K78">
        <f>IF(#REF!="","",#REF!)</f>
        <v/>
      </c>
      <c r="L78">
        <f>IF(#REF!="","",#REF!)</f>
        <v/>
      </c>
      <c r="M78">
        <f>IF(#REF!="","",#REF!)</f>
        <v/>
      </c>
      <c r="N78">
        <f>IF(#REF!="","",#REF!)</f>
        <v/>
      </c>
      <c r="O78">
        <f>IF(#REF!="","",#REF!)</f>
        <v/>
      </c>
      <c r="P78">
        <f>IF(#REF!="","",#REF!)</f>
        <v/>
      </c>
      <c r="Q78">
        <f>IF(#REF!="","",#REF!)</f>
        <v/>
      </c>
      <c r="R78">
        <f>IF(#REF!="","",#REF!)</f>
        <v/>
      </c>
      <c r="S78">
        <f>IF(#REF!="","",#REF!)</f>
        <v/>
      </c>
      <c r="T78">
        <f>IF(#REF!="","",#REF!)</f>
        <v/>
      </c>
    </row>
    <row r="80">
      <c r="A80" s="13" t="inlineStr">
        <is>
          <t>Customer Service</t>
        </is>
      </c>
    </row>
    <row r="81">
      <c r="A81" t="inlineStr">
        <is>
          <t>KPI Name</t>
        </is>
      </c>
      <c r="B81" t="inlineStr">
        <is>
          <t>KPI  Definition</t>
        </is>
      </c>
      <c r="C81" t="inlineStr">
        <is>
          <t>Operators</t>
        </is>
      </c>
      <c r="D81" t="inlineStr">
        <is>
          <t>Target AOP 2026</t>
        </is>
      </c>
      <c r="E81" t="inlineStr">
        <is>
          <t>Units</t>
        </is>
      </c>
      <c r="F81" t="inlineStr">
        <is>
          <t>Metric nature</t>
        </is>
      </c>
      <c r="G81" t="inlineStr">
        <is>
          <t>Frequency</t>
        </is>
      </c>
      <c r="H81" t="inlineStr">
        <is>
          <t>Target/ Actual</t>
        </is>
      </c>
      <c r="I81" s="261" t="inlineStr">
        <is>
          <t>Jan-2026</t>
        </is>
      </c>
      <c r="J81" s="261" t="inlineStr">
        <is>
          <t>Feb-2026</t>
        </is>
      </c>
      <c r="K81" s="261" t="inlineStr">
        <is>
          <t>Mar-2026</t>
        </is>
      </c>
      <c r="L81" s="261" t="inlineStr">
        <is>
          <t>Apr-2026</t>
        </is>
      </c>
      <c r="M81" s="261" t="inlineStr">
        <is>
          <t>May-2026</t>
        </is>
      </c>
      <c r="N81" s="261" t="inlineStr">
        <is>
          <t>Jun-2026</t>
        </is>
      </c>
      <c r="O81" s="261" t="inlineStr">
        <is>
          <t>Jul-2026</t>
        </is>
      </c>
      <c r="P81" s="261" t="inlineStr">
        <is>
          <t>Aug-2026</t>
        </is>
      </c>
      <c r="Q81" s="261" t="inlineStr">
        <is>
          <t>Sep-2026</t>
        </is>
      </c>
      <c r="R81" s="261" t="inlineStr">
        <is>
          <t>Oct-2026</t>
        </is>
      </c>
      <c r="S81" s="261" t="inlineStr">
        <is>
          <t>Nov-2026</t>
        </is>
      </c>
      <c r="T81" s="262" t="inlineStr">
        <is>
          <t>Dec-2026</t>
        </is>
      </c>
    </row>
    <row r="82">
      <c r="A82">
        <f>'7.Customer Service'!A14</f>
        <v/>
      </c>
      <c r="B82">
        <f>'7.Customer Service'!B14</f>
        <v/>
      </c>
      <c r="C82">
        <f>'7.Customer Service'!C14</f>
        <v/>
      </c>
      <c r="D82">
        <f>'7.Customer Service'!D14</f>
        <v/>
      </c>
      <c r="E82">
        <f>'7.Customer Service'!E14</f>
        <v/>
      </c>
      <c r="F82">
        <f>'7.Customer Service'!F14</f>
        <v/>
      </c>
      <c r="G82">
        <f>'7.Customer Service'!G14</f>
        <v/>
      </c>
      <c r="H82">
        <f>IF('7.Customer Service'!H14="","",'7.Customer Service'!H14)</f>
        <v/>
      </c>
      <c r="I82" s="266">
        <f>IF('7.Customer Service'!I14="","",'7.Customer Service'!I14)</f>
        <v/>
      </c>
      <c r="J82" s="266">
        <f>IF('7.Customer Service'!J14="","",'7.Customer Service'!J14)</f>
        <v/>
      </c>
      <c r="K82" s="266">
        <f>IF('7.Customer Service'!K14="","",'7.Customer Service'!K14)</f>
        <v/>
      </c>
      <c r="L82" s="266">
        <f>IF('7.Customer Service'!L14="","",'7.Customer Service'!L14)</f>
        <v/>
      </c>
      <c r="M82" s="266">
        <f>IF('7.Customer Service'!M14="","",'7.Customer Service'!M14)</f>
        <v/>
      </c>
      <c r="N82" s="266">
        <f>IF('7.Customer Service'!N14="","",'7.Customer Service'!N14)</f>
        <v/>
      </c>
      <c r="O82" s="266">
        <f>IF('7.Customer Service'!O14="","",'7.Customer Service'!O14)</f>
        <v/>
      </c>
      <c r="P82" s="266">
        <f>IF('7.Customer Service'!P14="","",'7.Customer Service'!P14)</f>
        <v/>
      </c>
      <c r="Q82" s="266">
        <f>IF('7.Customer Service'!Q14="","",'7.Customer Service'!Q14)</f>
        <v/>
      </c>
      <c r="R82" s="266">
        <f>IF('7.Customer Service'!R14="","",'7.Customer Service'!R14)</f>
        <v/>
      </c>
      <c r="S82" s="266">
        <f>IF('7.Customer Service'!S14="","",'7.Customer Service'!S14)</f>
        <v/>
      </c>
      <c r="T82" s="266">
        <f>IF('7.Customer Service'!T14="","",'7.Customer Service'!T14)</f>
        <v/>
      </c>
    </row>
    <row r="83">
      <c r="A83">
        <f>'7.Customer Service'!A14</f>
        <v/>
      </c>
      <c r="B83">
        <f>'7.Customer Service'!B14</f>
        <v/>
      </c>
      <c r="C83">
        <f>'7.Customer Service'!C14</f>
        <v/>
      </c>
      <c r="D83">
        <f>'7.Customer Service'!D14</f>
        <v/>
      </c>
      <c r="E83">
        <f>'7.Customer Service'!E14</f>
        <v/>
      </c>
      <c r="F83">
        <f>'7.Customer Service'!F14</f>
        <v/>
      </c>
      <c r="G83">
        <f>'7.Customer Service'!G14</f>
        <v/>
      </c>
      <c r="H83">
        <f>IF('7.Customer Service'!H15="","",'7.Customer Service'!H15)</f>
        <v/>
      </c>
      <c r="I83" s="266">
        <f>IF('7.Customer Service'!I15="","",'7.Customer Service'!I15)</f>
        <v/>
      </c>
      <c r="J83" s="266">
        <f>IF('7.Customer Service'!J15="","",'7.Customer Service'!J15)</f>
        <v/>
      </c>
      <c r="K83" s="266">
        <f>IF('7.Customer Service'!K15="","",'7.Customer Service'!K15)</f>
        <v/>
      </c>
      <c r="L83" s="266">
        <f>IF('7.Customer Service'!L15="","",'7.Customer Service'!L15)</f>
        <v/>
      </c>
      <c r="M83" s="266">
        <f>IF('7.Customer Service'!M15="","",'7.Customer Service'!M15)</f>
        <v/>
      </c>
      <c r="N83" s="266">
        <f>IF('7.Customer Service'!N15="","",'7.Customer Service'!N15)</f>
        <v/>
      </c>
      <c r="O83" s="266">
        <f>IF('7.Customer Service'!O15="","",'7.Customer Service'!O15)</f>
        <v/>
      </c>
      <c r="P83" s="266">
        <f>IF('7.Customer Service'!P15="","",'7.Customer Service'!P15)</f>
        <v/>
      </c>
      <c r="Q83" s="266">
        <f>IF('7.Customer Service'!Q15="","",'7.Customer Service'!Q15)</f>
        <v/>
      </c>
      <c r="R83" s="266">
        <f>IF('7.Customer Service'!R15="","",'7.Customer Service'!R15)</f>
        <v/>
      </c>
      <c r="S83" s="266">
        <f>IF('7.Customer Service'!S15="","",'7.Customer Service'!S15)</f>
        <v/>
      </c>
      <c r="T83" s="266">
        <f>IF('7.Customer Service'!T15="","",'7.Customer Service'!T15)</f>
        <v/>
      </c>
    </row>
    <row r="84">
      <c r="A84">
        <f>'7.Customer Service'!A16</f>
        <v/>
      </c>
      <c r="B84">
        <f>'7.Customer Service'!B16</f>
        <v/>
      </c>
      <c r="C84">
        <f>'7.Customer Service'!C16</f>
        <v/>
      </c>
      <c r="D84">
        <f>'7.Customer Service'!D16</f>
        <v/>
      </c>
      <c r="E84">
        <f>'7.Customer Service'!E16</f>
        <v/>
      </c>
      <c r="F84">
        <f>'7.Customer Service'!F16</f>
        <v/>
      </c>
      <c r="G84">
        <f>'7.Customer Service'!G16</f>
        <v/>
      </c>
      <c r="H84">
        <f>IF('7.Customer Service'!H16="","",'7.Customer Service'!H16)</f>
        <v/>
      </c>
      <c r="I84" s="266">
        <f>IF('7.Customer Service'!I16="","",'7.Customer Service'!I16)</f>
        <v/>
      </c>
      <c r="J84" s="266">
        <f>IF('7.Customer Service'!J16="","",'7.Customer Service'!J16)</f>
        <v/>
      </c>
      <c r="K84" s="266">
        <f>IF('7.Customer Service'!K16="","",'7.Customer Service'!K16)</f>
        <v/>
      </c>
      <c r="L84" s="266">
        <f>IF('7.Customer Service'!L16="","",'7.Customer Service'!L16)</f>
        <v/>
      </c>
      <c r="M84" s="266">
        <f>IF('7.Customer Service'!M16="","",'7.Customer Service'!M16)</f>
        <v/>
      </c>
      <c r="N84" s="266">
        <f>IF('7.Customer Service'!N16="","",'7.Customer Service'!N16)</f>
        <v/>
      </c>
      <c r="O84" s="266">
        <f>IF('7.Customer Service'!O16="","",'7.Customer Service'!O16)</f>
        <v/>
      </c>
      <c r="P84" s="266">
        <f>IF('7.Customer Service'!P16="","",'7.Customer Service'!P16)</f>
        <v/>
      </c>
      <c r="Q84" s="266">
        <f>IF('7.Customer Service'!Q16="","",'7.Customer Service'!Q16)</f>
        <v/>
      </c>
      <c r="R84" s="266">
        <f>IF('7.Customer Service'!R16="","",'7.Customer Service'!R16)</f>
        <v/>
      </c>
      <c r="S84" s="266">
        <f>IF('7.Customer Service'!S16="","",'7.Customer Service'!S16)</f>
        <v/>
      </c>
      <c r="T84" s="266">
        <f>IF('7.Customer Service'!T16="","",'7.Customer Service'!T16)</f>
        <v/>
      </c>
    </row>
    <row r="85">
      <c r="A85">
        <f>'7.Customer Service'!A16</f>
        <v/>
      </c>
      <c r="B85">
        <f>'7.Customer Service'!B16</f>
        <v/>
      </c>
      <c r="C85">
        <f>'7.Customer Service'!C16</f>
        <v/>
      </c>
      <c r="D85">
        <f>'7.Customer Service'!D16</f>
        <v/>
      </c>
      <c r="E85">
        <f>'7.Customer Service'!E16</f>
        <v/>
      </c>
      <c r="F85">
        <f>'7.Customer Service'!F16</f>
        <v/>
      </c>
      <c r="G85">
        <f>'7.Customer Service'!G16</f>
        <v/>
      </c>
      <c r="H85">
        <f>IF('7.Customer Service'!H17="","",'7.Customer Service'!H17)</f>
        <v/>
      </c>
      <c r="I85" s="266">
        <f>IF('7.Customer Service'!I17="","",'7.Customer Service'!I17)</f>
        <v/>
      </c>
      <c r="J85" s="266">
        <f>IF('7.Customer Service'!J17="","",'7.Customer Service'!J17)</f>
        <v/>
      </c>
      <c r="K85" s="266">
        <f>IF('7.Customer Service'!K17="","",'7.Customer Service'!K17)</f>
        <v/>
      </c>
      <c r="L85" s="266">
        <f>IF('7.Customer Service'!L17="","",'7.Customer Service'!L17)</f>
        <v/>
      </c>
      <c r="M85" s="266">
        <f>IF('7.Customer Service'!M17="","",'7.Customer Service'!M17)</f>
        <v/>
      </c>
      <c r="N85" s="266">
        <f>IF('7.Customer Service'!N17="","",'7.Customer Service'!N17)</f>
        <v/>
      </c>
      <c r="O85" s="266">
        <f>IF('7.Customer Service'!O17="","",'7.Customer Service'!O17)</f>
        <v/>
      </c>
      <c r="P85" s="266">
        <f>IF('7.Customer Service'!P17="","",'7.Customer Service'!P17)</f>
        <v/>
      </c>
      <c r="Q85" s="266">
        <f>IF('7.Customer Service'!Q17="","",'7.Customer Service'!Q17)</f>
        <v/>
      </c>
      <c r="R85" s="266">
        <f>IF('7.Customer Service'!R17="","",'7.Customer Service'!R17)</f>
        <v/>
      </c>
      <c r="S85" s="266">
        <f>IF('7.Customer Service'!S17="","",'7.Customer Service'!S17)</f>
        <v/>
      </c>
      <c r="T85" s="266">
        <f>IF('7.Customer Service'!T17="","",'7.Customer Service'!T17)</f>
        <v/>
      </c>
    </row>
    <row r="86">
      <c r="A86">
        <f>'7.Customer Service'!A18</f>
        <v/>
      </c>
      <c r="B86">
        <f>'7.Customer Service'!B18</f>
        <v/>
      </c>
      <c r="C86">
        <f>'7.Customer Service'!C18</f>
        <v/>
      </c>
      <c r="D86">
        <f>'7.Customer Service'!D18</f>
        <v/>
      </c>
      <c r="E86">
        <f>'7.Customer Service'!E18</f>
        <v/>
      </c>
      <c r="F86">
        <f>'7.Customer Service'!F18</f>
        <v/>
      </c>
      <c r="G86">
        <f>'7.Customer Service'!G18</f>
        <v/>
      </c>
      <c r="H86">
        <f>IF('7.Customer Service'!H18="","",'7.Customer Service'!H18)</f>
        <v/>
      </c>
      <c r="I86">
        <f>IF('7.Customer Service'!I18="","",'7.Customer Service'!I18)</f>
        <v/>
      </c>
      <c r="J86">
        <f>IF('7.Customer Service'!J18="","",'7.Customer Service'!J18)</f>
        <v/>
      </c>
      <c r="K86">
        <f>IF('7.Customer Service'!K18="","",'7.Customer Service'!K18)</f>
        <v/>
      </c>
      <c r="L86">
        <f>IF('7.Customer Service'!L18="","",'7.Customer Service'!L18)</f>
        <v/>
      </c>
      <c r="M86">
        <f>IF('7.Customer Service'!M18="","",'7.Customer Service'!M18)</f>
        <v/>
      </c>
      <c r="N86">
        <f>IF('7.Customer Service'!N18="","",'7.Customer Service'!N18)</f>
        <v/>
      </c>
      <c r="O86">
        <f>IF('7.Customer Service'!O18="","",'7.Customer Service'!O18)</f>
        <v/>
      </c>
      <c r="P86">
        <f>IF('7.Customer Service'!P18="","",'7.Customer Service'!P18)</f>
        <v/>
      </c>
      <c r="Q86">
        <f>IF('7.Customer Service'!Q18="","",'7.Customer Service'!Q18)</f>
        <v/>
      </c>
      <c r="R86">
        <f>IF('7.Customer Service'!R18="","",'7.Customer Service'!R18)</f>
        <v/>
      </c>
      <c r="S86">
        <f>IF('7.Customer Service'!S18="","",'7.Customer Service'!S18)</f>
        <v/>
      </c>
      <c r="T86">
        <f>IF('7.Customer Service'!T18="","",'7.Customer Service'!T18)</f>
        <v/>
      </c>
    </row>
    <row r="87">
      <c r="A87">
        <f>'7.Customer Service'!A18</f>
        <v/>
      </c>
      <c r="B87">
        <f>'7.Customer Service'!B18</f>
        <v/>
      </c>
      <c r="C87">
        <f>'7.Customer Service'!C18</f>
        <v/>
      </c>
      <c r="D87">
        <f>'7.Customer Service'!D18</f>
        <v/>
      </c>
      <c r="E87">
        <f>'7.Customer Service'!E18</f>
        <v/>
      </c>
      <c r="F87">
        <f>'7.Customer Service'!F18</f>
        <v/>
      </c>
      <c r="G87">
        <f>'7.Customer Service'!G18</f>
        <v/>
      </c>
      <c r="H87">
        <f>IF('7.Customer Service'!H19="","",'7.Customer Service'!H19)</f>
        <v/>
      </c>
      <c r="I87">
        <f>IF('7.Customer Service'!I19="","",'7.Customer Service'!I19)</f>
        <v/>
      </c>
      <c r="J87">
        <f>IF('7.Customer Service'!J19="","",'7.Customer Service'!J19)</f>
        <v/>
      </c>
      <c r="K87">
        <f>IF('7.Customer Service'!K19="","",'7.Customer Service'!K19)</f>
        <v/>
      </c>
      <c r="L87">
        <f>IF('7.Customer Service'!L19="","",'7.Customer Service'!L19)</f>
        <v/>
      </c>
      <c r="M87">
        <f>IF('7.Customer Service'!M19="","",'7.Customer Service'!M19)</f>
        <v/>
      </c>
      <c r="N87">
        <f>IF('7.Customer Service'!N19="","",'7.Customer Service'!N19)</f>
        <v/>
      </c>
      <c r="O87">
        <f>IF('7.Customer Service'!O19="","",'7.Customer Service'!O19)</f>
        <v/>
      </c>
      <c r="P87">
        <f>IF('7.Customer Service'!P19="","",'7.Customer Service'!P19)</f>
        <v/>
      </c>
      <c r="Q87">
        <f>IF('7.Customer Service'!Q19="","",'7.Customer Service'!Q19)</f>
        <v/>
      </c>
      <c r="R87">
        <f>IF('7.Customer Service'!R19="","",'7.Customer Service'!R19)</f>
        <v/>
      </c>
      <c r="S87">
        <f>IF('7.Customer Service'!S19="","",'7.Customer Service'!S19)</f>
        <v/>
      </c>
      <c r="T87">
        <f>IF('7.Customer Service'!T19="","",'7.Customer Service'!T19)</f>
        <v/>
      </c>
    </row>
    <row r="88">
      <c r="A88">
        <f>'7.Customer Service'!A20</f>
        <v/>
      </c>
      <c r="B88">
        <f>'7.Customer Service'!B20</f>
        <v/>
      </c>
      <c r="C88">
        <f>'7.Customer Service'!C20</f>
        <v/>
      </c>
      <c r="D88">
        <f>'7.Customer Service'!D20</f>
        <v/>
      </c>
      <c r="E88">
        <f>'7.Customer Service'!E20</f>
        <v/>
      </c>
      <c r="F88">
        <f>'7.Customer Service'!F20</f>
        <v/>
      </c>
      <c r="G88">
        <f>'7.Customer Service'!G20</f>
        <v/>
      </c>
      <c r="H88">
        <f>IF('7.Customer Service'!H20="","",'7.Customer Service'!H20)</f>
        <v/>
      </c>
      <c r="I88">
        <f>IF('7.Customer Service'!I20="","",'7.Customer Service'!I20)</f>
        <v/>
      </c>
      <c r="J88">
        <f>IF('7.Customer Service'!J20="","",'7.Customer Service'!J20)</f>
        <v/>
      </c>
      <c r="K88">
        <f>IF('7.Customer Service'!K20="","",'7.Customer Service'!K20)</f>
        <v/>
      </c>
      <c r="L88">
        <f>IF('7.Customer Service'!L20="","",'7.Customer Service'!L20)</f>
        <v/>
      </c>
      <c r="M88">
        <f>IF('7.Customer Service'!M20="","",'7.Customer Service'!M20)</f>
        <v/>
      </c>
      <c r="N88">
        <f>IF('7.Customer Service'!N20="","",'7.Customer Service'!N20)</f>
        <v/>
      </c>
      <c r="O88">
        <f>IF('7.Customer Service'!O20="","",'7.Customer Service'!O20)</f>
        <v/>
      </c>
      <c r="P88">
        <f>IF('7.Customer Service'!P20="","",'7.Customer Service'!P20)</f>
        <v/>
      </c>
      <c r="Q88">
        <f>IF('7.Customer Service'!Q20="","",'7.Customer Service'!Q20)</f>
        <v/>
      </c>
      <c r="R88">
        <f>IF('7.Customer Service'!R20="","",'7.Customer Service'!R20)</f>
        <v/>
      </c>
      <c r="S88">
        <f>IF('7.Customer Service'!S20="","",'7.Customer Service'!S20)</f>
        <v/>
      </c>
      <c r="T88">
        <f>IF('7.Customer Service'!T20="","",'7.Customer Service'!T20)</f>
        <v/>
      </c>
    </row>
    <row r="89">
      <c r="A89">
        <f>'7.Customer Service'!A20</f>
        <v/>
      </c>
      <c r="B89">
        <f>'7.Customer Service'!B20</f>
        <v/>
      </c>
      <c r="C89">
        <f>'7.Customer Service'!C20</f>
        <v/>
      </c>
      <c r="D89">
        <f>'7.Customer Service'!D20</f>
        <v/>
      </c>
      <c r="E89">
        <f>'7.Customer Service'!E20</f>
        <v/>
      </c>
      <c r="F89">
        <f>'7.Customer Service'!F20</f>
        <v/>
      </c>
      <c r="G89">
        <f>'7.Customer Service'!G20</f>
        <v/>
      </c>
      <c r="H89">
        <f>IF('7.Customer Service'!H21="","",'7.Customer Service'!H21)</f>
        <v/>
      </c>
      <c r="I89">
        <f>IF('7.Customer Service'!I21="","",'7.Customer Service'!I21)</f>
        <v/>
      </c>
      <c r="J89">
        <f>IF('7.Customer Service'!J21="","",'7.Customer Service'!J21)</f>
        <v/>
      </c>
      <c r="K89">
        <f>IF('7.Customer Service'!K21="","",'7.Customer Service'!K21)</f>
        <v/>
      </c>
      <c r="L89">
        <f>IF('7.Customer Service'!L21="","",'7.Customer Service'!L21)</f>
        <v/>
      </c>
      <c r="M89">
        <f>IF('7.Customer Service'!M21="","",'7.Customer Service'!M21)</f>
        <v/>
      </c>
      <c r="N89">
        <f>IF('7.Customer Service'!N21="","",'7.Customer Service'!N21)</f>
        <v/>
      </c>
      <c r="O89">
        <f>IF('7.Customer Service'!O21="","",'7.Customer Service'!O21)</f>
        <v/>
      </c>
      <c r="P89">
        <f>IF('7.Customer Service'!P21="","",'7.Customer Service'!P21)</f>
        <v/>
      </c>
      <c r="Q89">
        <f>IF('7.Customer Service'!Q21="","",'7.Customer Service'!Q21)</f>
        <v/>
      </c>
      <c r="R89">
        <f>IF('7.Customer Service'!R21="","",'7.Customer Service'!R21)</f>
        <v/>
      </c>
      <c r="S89">
        <f>IF('7.Customer Service'!S21="","",'7.Customer Service'!S21)</f>
        <v/>
      </c>
      <c r="T89">
        <f>IF('7.Customer Service'!T21="","",'7.Customer Service'!T21)</f>
        <v/>
      </c>
    </row>
    <row r="90">
      <c r="A90">
        <f>'7.Customer Service'!A22</f>
        <v/>
      </c>
      <c r="B90">
        <f>'7.Customer Service'!B22</f>
        <v/>
      </c>
      <c r="C90">
        <f>'7.Customer Service'!C22</f>
        <v/>
      </c>
      <c r="D90">
        <f>'7.Customer Service'!D22</f>
        <v/>
      </c>
      <c r="E90">
        <f>'7.Customer Service'!E22</f>
        <v/>
      </c>
      <c r="F90">
        <f>'7.Customer Service'!F22</f>
        <v/>
      </c>
      <c r="G90">
        <f>'7.Customer Service'!G22</f>
        <v/>
      </c>
      <c r="H90">
        <f>IF('7.Customer Service'!H22="","",'7.Customer Service'!H22)</f>
        <v/>
      </c>
      <c r="I90">
        <f>IF('7.Customer Service'!I22="","",'7.Customer Service'!I22)</f>
        <v/>
      </c>
      <c r="J90" s="266">
        <f>IF('7.Customer Service'!J22="","",'7.Customer Service'!J22)</f>
        <v/>
      </c>
      <c r="K90" s="266">
        <f>IF('7.Customer Service'!K22="","",'7.Customer Service'!K22)</f>
        <v/>
      </c>
      <c r="L90" s="266">
        <f>IF('7.Customer Service'!L22="","",'7.Customer Service'!L22)</f>
        <v/>
      </c>
      <c r="M90" s="266">
        <f>IF('7.Customer Service'!M22="","",'7.Customer Service'!M22)</f>
        <v/>
      </c>
      <c r="N90" s="266">
        <f>IF('7.Customer Service'!N22="","",'7.Customer Service'!N22)</f>
        <v/>
      </c>
      <c r="O90" s="266">
        <f>IF('7.Customer Service'!O22="","",'7.Customer Service'!O22)</f>
        <v/>
      </c>
      <c r="P90" s="266">
        <f>IF('7.Customer Service'!P22="","",'7.Customer Service'!P22)</f>
        <v/>
      </c>
      <c r="Q90" s="266">
        <f>IF('7.Customer Service'!Q22="","",'7.Customer Service'!Q22)</f>
        <v/>
      </c>
      <c r="R90" s="266">
        <f>IF('7.Customer Service'!R22="","",'7.Customer Service'!R22)</f>
        <v/>
      </c>
      <c r="S90" s="266">
        <f>IF('7.Customer Service'!S22="","",'7.Customer Service'!S22)</f>
        <v/>
      </c>
      <c r="T90" s="266">
        <f>IF('7.Customer Service'!T22="","",'7.Customer Service'!T22)</f>
        <v/>
      </c>
    </row>
    <row r="91">
      <c r="A91">
        <f>'7.Customer Service'!A22</f>
        <v/>
      </c>
      <c r="B91">
        <f>'7.Customer Service'!B22</f>
        <v/>
      </c>
      <c r="C91">
        <f>'7.Customer Service'!C22</f>
        <v/>
      </c>
      <c r="D91">
        <f>'7.Customer Service'!D22</f>
        <v/>
      </c>
      <c r="E91">
        <f>'7.Customer Service'!E22</f>
        <v/>
      </c>
      <c r="F91">
        <f>'7.Customer Service'!F22</f>
        <v/>
      </c>
      <c r="G91">
        <f>'7.Customer Service'!G22</f>
        <v/>
      </c>
      <c r="H91">
        <f>IF('7.Customer Service'!H23="","",'7.Customer Service'!H23)</f>
        <v/>
      </c>
      <c r="I91">
        <f>IF('7.Customer Service'!I23="","",'7.Customer Service'!I23)</f>
        <v/>
      </c>
      <c r="J91" s="266">
        <f>IF('7.Customer Service'!J23="","",'7.Customer Service'!J23)</f>
        <v/>
      </c>
      <c r="K91" s="266">
        <f>IF('7.Customer Service'!K23="","",'7.Customer Service'!K23)</f>
        <v/>
      </c>
      <c r="L91" s="266">
        <f>IF('7.Customer Service'!L23="","",'7.Customer Service'!L23)</f>
        <v/>
      </c>
      <c r="M91" s="266">
        <f>IF('7.Customer Service'!M23="","",'7.Customer Service'!M23)</f>
        <v/>
      </c>
      <c r="N91" s="266">
        <f>IF('7.Customer Service'!N23="","",'7.Customer Service'!N23)</f>
        <v/>
      </c>
      <c r="O91" s="266">
        <f>IF('7.Customer Service'!O23="","",'7.Customer Service'!O23)</f>
        <v/>
      </c>
      <c r="P91" s="266">
        <f>IF('7.Customer Service'!P23="","",'7.Customer Service'!P23)</f>
        <v/>
      </c>
      <c r="Q91" s="266">
        <f>IF('7.Customer Service'!Q23="","",'7.Customer Service'!Q23)</f>
        <v/>
      </c>
      <c r="R91" s="266">
        <f>IF('7.Customer Service'!R23="","",'7.Customer Service'!R23)</f>
        <v/>
      </c>
      <c r="S91" s="266">
        <f>IF('7.Customer Service'!S23="","",'7.Customer Service'!S23)</f>
        <v/>
      </c>
      <c r="T91" s="266">
        <f>IF('7.Customer Service'!T23="","",'7.Customer Service'!T23)</f>
        <v/>
      </c>
    </row>
    <row r="92">
      <c r="A92">
        <f>'7.Customer Service'!A24</f>
        <v/>
      </c>
      <c r="B92">
        <f>'7.Customer Service'!B24</f>
        <v/>
      </c>
      <c r="C92">
        <f>'7.Customer Service'!C24</f>
        <v/>
      </c>
      <c r="D92">
        <f>'7.Customer Service'!D24</f>
        <v/>
      </c>
      <c r="E92">
        <f>'7.Customer Service'!E24</f>
        <v/>
      </c>
      <c r="F92">
        <f>'7.Customer Service'!F24</f>
        <v/>
      </c>
      <c r="G92">
        <f>'7.Customer Service'!G24</f>
        <v/>
      </c>
      <c r="H92">
        <f>IF('7.Customer Service'!H24="","",'7.Customer Service'!H24)</f>
        <v/>
      </c>
      <c r="I92">
        <f>IF('7.Customer Service'!I24="","",'7.Customer Service'!I24)</f>
        <v/>
      </c>
      <c r="J92" s="266">
        <f>IF('7.Customer Service'!J24="","",'7.Customer Service'!J24)</f>
        <v/>
      </c>
      <c r="K92" s="266">
        <f>IF('7.Customer Service'!K24="","",'7.Customer Service'!K24)</f>
        <v/>
      </c>
      <c r="L92" s="266">
        <f>IF('7.Customer Service'!L24="","",'7.Customer Service'!L24)</f>
        <v/>
      </c>
      <c r="M92" s="266">
        <f>IF('7.Customer Service'!M24="","",'7.Customer Service'!M24)</f>
        <v/>
      </c>
      <c r="N92" s="266">
        <f>IF('7.Customer Service'!N24="","",'7.Customer Service'!N24)</f>
        <v/>
      </c>
      <c r="O92" s="266">
        <f>IF('7.Customer Service'!O24="","",'7.Customer Service'!O24)</f>
        <v/>
      </c>
      <c r="P92" s="266">
        <f>IF('7.Customer Service'!P24="","",'7.Customer Service'!P24)</f>
        <v/>
      </c>
      <c r="Q92" s="266">
        <f>IF('7.Customer Service'!Q24="","",'7.Customer Service'!Q24)</f>
        <v/>
      </c>
      <c r="R92" s="266">
        <f>IF('7.Customer Service'!R24="","",'7.Customer Service'!R24)</f>
        <v/>
      </c>
      <c r="S92" s="266">
        <f>IF('7.Customer Service'!S24="","",'7.Customer Service'!S24)</f>
        <v/>
      </c>
      <c r="T92" s="266">
        <f>IF('7.Customer Service'!T24="","",'7.Customer Service'!T24)</f>
        <v/>
      </c>
    </row>
    <row r="93">
      <c r="A93">
        <f>'7.Customer Service'!A24</f>
        <v/>
      </c>
      <c r="B93">
        <f>'7.Customer Service'!B24</f>
        <v/>
      </c>
      <c r="C93">
        <f>'7.Customer Service'!C24</f>
        <v/>
      </c>
      <c r="D93">
        <f>'7.Customer Service'!D24</f>
        <v/>
      </c>
      <c r="E93">
        <f>'7.Customer Service'!E24</f>
        <v/>
      </c>
      <c r="F93">
        <f>'7.Customer Service'!F24</f>
        <v/>
      </c>
      <c r="G93">
        <f>'7.Customer Service'!G24</f>
        <v/>
      </c>
      <c r="H93">
        <f>IF('7.Customer Service'!H25="","",'7.Customer Service'!H25)</f>
        <v/>
      </c>
      <c r="I93">
        <f>IF('7.Customer Service'!I25="","",'7.Customer Service'!I25)</f>
        <v/>
      </c>
      <c r="J93" s="266">
        <f>IF('7.Customer Service'!J25="","",'7.Customer Service'!J25)</f>
        <v/>
      </c>
      <c r="K93" s="266">
        <f>IF('7.Customer Service'!K25="","",'7.Customer Service'!K25)</f>
        <v/>
      </c>
      <c r="L93" s="266">
        <f>IF('7.Customer Service'!L25="","",'7.Customer Service'!L25)</f>
        <v/>
      </c>
      <c r="M93" s="266">
        <f>IF('7.Customer Service'!M25="","",'7.Customer Service'!M25)</f>
        <v/>
      </c>
      <c r="N93" s="266">
        <f>IF('7.Customer Service'!N25="","",'7.Customer Service'!N25)</f>
        <v/>
      </c>
      <c r="O93" s="266">
        <f>IF('7.Customer Service'!O25="","",'7.Customer Service'!O25)</f>
        <v/>
      </c>
      <c r="P93" s="266">
        <f>IF('7.Customer Service'!P25="","",'7.Customer Service'!P25)</f>
        <v/>
      </c>
      <c r="Q93" s="266">
        <f>IF('7.Customer Service'!Q25="","",'7.Customer Service'!Q25)</f>
        <v/>
      </c>
      <c r="R93" s="266">
        <f>IF('7.Customer Service'!R25="","",'7.Customer Service'!R25)</f>
        <v/>
      </c>
      <c r="S93" s="266">
        <f>IF('7.Customer Service'!S25="","",'7.Customer Service'!S25)</f>
        <v/>
      </c>
      <c r="T93" s="266">
        <f>IF('7.Customer Service'!T25="","",'7.Customer Service'!T25)</f>
        <v/>
      </c>
    </row>
    <row r="94">
      <c r="A94">
        <f>'7.Customer Service'!A26</f>
        <v/>
      </c>
      <c r="B94">
        <f>'7.Customer Service'!B26</f>
        <v/>
      </c>
      <c r="C94">
        <f>'7.Customer Service'!C26</f>
        <v/>
      </c>
      <c r="D94">
        <f>'7.Customer Service'!D26</f>
        <v/>
      </c>
      <c r="E94">
        <f>'7.Customer Service'!E26</f>
        <v/>
      </c>
      <c r="F94">
        <f>'7.Customer Service'!F26</f>
        <v/>
      </c>
      <c r="G94">
        <f>'7.Customer Service'!G26</f>
        <v/>
      </c>
      <c r="H94">
        <f>IF('7.Customer Service'!H26="","",'7.Customer Service'!H26)</f>
        <v/>
      </c>
      <c r="I94">
        <f>IF('7.Customer Service'!I26="","",'7.Customer Service'!I26)</f>
        <v/>
      </c>
      <c r="J94" s="266">
        <f>IF('7.Customer Service'!J26="","",'7.Customer Service'!J26)</f>
        <v/>
      </c>
      <c r="K94" s="266">
        <f>IF('7.Customer Service'!K26="","",'7.Customer Service'!K26)</f>
        <v/>
      </c>
      <c r="L94" s="266">
        <f>IF('7.Customer Service'!L26="","",'7.Customer Service'!L26)</f>
        <v/>
      </c>
      <c r="M94" s="266">
        <f>IF('7.Customer Service'!M26="","",'7.Customer Service'!M26)</f>
        <v/>
      </c>
      <c r="N94" s="266">
        <f>IF('7.Customer Service'!N26="","",'7.Customer Service'!N26)</f>
        <v/>
      </c>
      <c r="O94" s="266">
        <f>IF('7.Customer Service'!O26="","",'7.Customer Service'!O26)</f>
        <v/>
      </c>
      <c r="P94" s="266">
        <f>IF('7.Customer Service'!P26="","",'7.Customer Service'!P26)</f>
        <v/>
      </c>
      <c r="Q94" s="266">
        <f>IF('7.Customer Service'!Q26="","",'7.Customer Service'!Q26)</f>
        <v/>
      </c>
      <c r="R94" s="266">
        <f>IF('7.Customer Service'!R26="","",'7.Customer Service'!R26)</f>
        <v/>
      </c>
      <c r="S94" s="266">
        <f>IF('7.Customer Service'!S26="","",'7.Customer Service'!S26)</f>
        <v/>
      </c>
      <c r="T94" s="266">
        <f>IF('7.Customer Service'!T26="","",'7.Customer Service'!T26)</f>
        <v/>
      </c>
    </row>
    <row r="95">
      <c r="A95">
        <f>'7.Customer Service'!A26</f>
        <v/>
      </c>
      <c r="B95">
        <f>'7.Customer Service'!B26</f>
        <v/>
      </c>
      <c r="C95">
        <f>'7.Customer Service'!C26</f>
        <v/>
      </c>
      <c r="D95">
        <f>'7.Customer Service'!D26</f>
        <v/>
      </c>
      <c r="E95">
        <f>'7.Customer Service'!E26</f>
        <v/>
      </c>
      <c r="F95">
        <f>'7.Customer Service'!F26</f>
        <v/>
      </c>
      <c r="G95">
        <f>'7.Customer Service'!G26</f>
        <v/>
      </c>
      <c r="H95">
        <f>IF('7.Customer Service'!H27="","",'7.Customer Service'!H27)</f>
        <v/>
      </c>
      <c r="I95">
        <f>IF('7.Customer Service'!I27="","",'7.Customer Service'!I27)</f>
        <v/>
      </c>
      <c r="J95" s="266">
        <f>IF('7.Customer Service'!J27="","",'7.Customer Service'!J27)</f>
        <v/>
      </c>
      <c r="K95" s="266">
        <f>IF('7.Customer Service'!K27="","",'7.Customer Service'!K27)</f>
        <v/>
      </c>
      <c r="L95" s="266">
        <f>IF('7.Customer Service'!L27="","",'7.Customer Service'!L27)</f>
        <v/>
      </c>
      <c r="M95" s="266">
        <f>IF('7.Customer Service'!M27="","",'7.Customer Service'!M27)</f>
        <v/>
      </c>
      <c r="N95" s="266">
        <f>IF('7.Customer Service'!N27="","",'7.Customer Service'!N27)</f>
        <v/>
      </c>
      <c r="O95" s="266">
        <f>IF('7.Customer Service'!O27="","",'7.Customer Service'!O27)</f>
        <v/>
      </c>
      <c r="P95" s="266">
        <f>IF('7.Customer Service'!P27="","",'7.Customer Service'!P27)</f>
        <v/>
      </c>
      <c r="Q95" s="266">
        <f>IF('7.Customer Service'!Q27="","",'7.Customer Service'!Q27)</f>
        <v/>
      </c>
      <c r="R95" s="266">
        <f>IF('7.Customer Service'!R27="","",'7.Customer Service'!R27)</f>
        <v/>
      </c>
      <c r="S95" s="266">
        <f>IF('7.Customer Service'!S27="","",'7.Customer Service'!S27)</f>
        <v/>
      </c>
      <c r="T95" s="266">
        <f>IF('7.Customer Service'!T27="","",'7.Customer Service'!T27)</f>
        <v/>
      </c>
    </row>
    <row r="97">
      <c r="A97" s="13" t="inlineStr">
        <is>
          <t>Commercial Excellence</t>
        </is>
      </c>
    </row>
    <row r="98">
      <c r="A98" t="inlineStr">
        <is>
          <t>KPI Name</t>
        </is>
      </c>
      <c r="B98" t="inlineStr">
        <is>
          <t>KPI  Definition</t>
        </is>
      </c>
      <c r="C98" t="inlineStr">
        <is>
          <t>Operators</t>
        </is>
      </c>
      <c r="D98" t="inlineStr">
        <is>
          <t>Target AOP 2026</t>
        </is>
      </c>
      <c r="E98" t="inlineStr">
        <is>
          <t>Units</t>
        </is>
      </c>
      <c r="F98" t="inlineStr">
        <is>
          <t>Metric nature</t>
        </is>
      </c>
      <c r="G98" t="inlineStr">
        <is>
          <t>Frequency</t>
        </is>
      </c>
      <c r="H98" t="inlineStr">
        <is>
          <t>Target/ Actual</t>
        </is>
      </c>
      <c r="I98" s="261" t="inlineStr">
        <is>
          <t>Jan-2026</t>
        </is>
      </c>
      <c r="J98" s="261" t="inlineStr">
        <is>
          <t>Feb-2026</t>
        </is>
      </c>
      <c r="K98" s="261" t="inlineStr">
        <is>
          <t>Mar-2026</t>
        </is>
      </c>
      <c r="L98" s="261" t="inlineStr">
        <is>
          <t>Apr-2026</t>
        </is>
      </c>
      <c r="M98" s="261" t="inlineStr">
        <is>
          <t>May-2026</t>
        </is>
      </c>
      <c r="N98" s="261" t="inlineStr">
        <is>
          <t>Jun-2026</t>
        </is>
      </c>
      <c r="O98" s="261" t="inlineStr">
        <is>
          <t>Jul-2026</t>
        </is>
      </c>
      <c r="P98" s="261" t="inlineStr">
        <is>
          <t>Aug-2026</t>
        </is>
      </c>
      <c r="Q98" s="261" t="inlineStr">
        <is>
          <t>Sep-2026</t>
        </is>
      </c>
      <c r="R98" s="261" t="inlineStr">
        <is>
          <t>Oct-2026</t>
        </is>
      </c>
      <c r="S98" s="261" t="inlineStr">
        <is>
          <t>Nov-2026</t>
        </is>
      </c>
      <c r="T98" s="262" t="inlineStr">
        <is>
          <t>Dec-2026</t>
        </is>
      </c>
    </row>
    <row r="99">
      <c r="A99">
        <f>'8.Commercial Excellence'!A14</f>
        <v/>
      </c>
      <c r="B99">
        <f>'8.Commercial Excellence'!B14</f>
        <v/>
      </c>
      <c r="C99">
        <f>'8.Commercial Excellence'!C14</f>
        <v/>
      </c>
      <c r="D99">
        <f>'8.Commercial Excellence'!D14</f>
        <v/>
      </c>
      <c r="E99">
        <f>'8.Commercial Excellence'!E14</f>
        <v/>
      </c>
      <c r="F99">
        <f>'8.Commercial Excellence'!F14</f>
        <v/>
      </c>
      <c r="G99">
        <f>'8.Commercial Excellence'!G14</f>
        <v/>
      </c>
      <c r="H99">
        <f>IF('8.Commercial Excellence'!H14="","",'8.Commercial Excellence'!H14)</f>
        <v/>
      </c>
      <c r="I99">
        <f>IF('8.Commercial Excellence'!I14="","",'8.Commercial Excellence'!I14)</f>
        <v/>
      </c>
      <c r="J99">
        <f>IF('8.Commercial Excellence'!J14="","",'8.Commercial Excellence'!J14)</f>
        <v/>
      </c>
      <c r="K99">
        <f>IF('8.Commercial Excellence'!K14="","",'8.Commercial Excellence'!K14)</f>
        <v/>
      </c>
      <c r="L99">
        <f>IF('8.Commercial Excellence'!L14="","",'8.Commercial Excellence'!L14)</f>
        <v/>
      </c>
      <c r="M99">
        <f>IF('8.Commercial Excellence'!M14="","",'8.Commercial Excellence'!M14)</f>
        <v/>
      </c>
      <c r="N99">
        <f>IF('8.Commercial Excellence'!N14="","",'8.Commercial Excellence'!N14)</f>
        <v/>
      </c>
      <c r="O99">
        <f>IF('8.Commercial Excellence'!O14="","",'8.Commercial Excellence'!O14)</f>
        <v/>
      </c>
      <c r="P99">
        <f>IF('8.Commercial Excellence'!P14="","",'8.Commercial Excellence'!P14)</f>
        <v/>
      </c>
      <c r="Q99">
        <f>IF('8.Commercial Excellence'!Q14="","",'8.Commercial Excellence'!Q14)</f>
        <v/>
      </c>
      <c r="R99">
        <f>IF('8.Commercial Excellence'!R14="","",'8.Commercial Excellence'!R14)</f>
        <v/>
      </c>
      <c r="S99">
        <f>IF('8.Commercial Excellence'!S14="","",'8.Commercial Excellence'!S14)</f>
        <v/>
      </c>
      <c r="T99">
        <f>IF('8.Commercial Excellence'!T14="","",'8.Commercial Excellence'!T14)</f>
        <v/>
      </c>
    </row>
    <row r="100">
      <c r="A100">
        <f>'8.Commercial Excellence'!A14</f>
        <v/>
      </c>
      <c r="B100">
        <f>'8.Commercial Excellence'!B14</f>
        <v/>
      </c>
      <c r="C100">
        <f>'8.Commercial Excellence'!C14</f>
        <v/>
      </c>
      <c r="D100">
        <f>'8.Commercial Excellence'!D14</f>
        <v/>
      </c>
      <c r="E100">
        <f>'8.Commercial Excellence'!E14</f>
        <v/>
      </c>
      <c r="F100">
        <f>'8.Commercial Excellence'!F14</f>
        <v/>
      </c>
      <c r="G100">
        <f>'8.Commercial Excellence'!G14</f>
        <v/>
      </c>
      <c r="H100">
        <f>IF('8.Commercial Excellence'!H15="","",'8.Commercial Excellence'!H15)</f>
        <v/>
      </c>
      <c r="I100">
        <f>IF('8.Commercial Excellence'!I15="","",'8.Commercial Excellence'!I15)</f>
        <v/>
      </c>
      <c r="J100">
        <f>IF('8.Commercial Excellence'!J15="","",'8.Commercial Excellence'!J15)</f>
        <v/>
      </c>
      <c r="K100">
        <f>IF('8.Commercial Excellence'!K15="","",'8.Commercial Excellence'!K15)</f>
        <v/>
      </c>
      <c r="L100">
        <f>IF('8.Commercial Excellence'!L15="","",'8.Commercial Excellence'!L15)</f>
        <v/>
      </c>
      <c r="M100">
        <f>IF('8.Commercial Excellence'!M15="","",'8.Commercial Excellence'!M15)</f>
        <v/>
      </c>
      <c r="N100">
        <f>IF('8.Commercial Excellence'!N15="","",'8.Commercial Excellence'!N15)</f>
        <v/>
      </c>
      <c r="O100">
        <f>IF('8.Commercial Excellence'!O15="","",'8.Commercial Excellence'!O15)</f>
        <v/>
      </c>
      <c r="P100">
        <f>IF('8.Commercial Excellence'!P15="","",'8.Commercial Excellence'!P15)</f>
        <v/>
      </c>
      <c r="Q100">
        <f>IF('8.Commercial Excellence'!Q15="","",'8.Commercial Excellence'!Q15)</f>
        <v/>
      </c>
      <c r="R100">
        <f>IF('8.Commercial Excellence'!R15="","",'8.Commercial Excellence'!R15)</f>
        <v/>
      </c>
      <c r="S100">
        <f>IF('8.Commercial Excellence'!S15="","",'8.Commercial Excellence'!S15)</f>
        <v/>
      </c>
      <c r="T100">
        <f>IF('8.Commercial Excellence'!T15="","",'8.Commercial Excellence'!T15)</f>
        <v/>
      </c>
    </row>
    <row r="101">
      <c r="A101">
        <f>'8.Commercial Excellence'!A16</f>
        <v/>
      </c>
      <c r="B101">
        <f>'8.Commercial Excellence'!B16</f>
        <v/>
      </c>
      <c r="C101">
        <f>'8.Commercial Excellence'!C16</f>
        <v/>
      </c>
      <c r="D101">
        <f>'8.Commercial Excellence'!D16</f>
        <v/>
      </c>
      <c r="E101">
        <f>'8.Commercial Excellence'!E16</f>
        <v/>
      </c>
      <c r="F101">
        <f>'8.Commercial Excellence'!F16</f>
        <v/>
      </c>
      <c r="G101">
        <f>'8.Commercial Excellence'!G16</f>
        <v/>
      </c>
      <c r="H101">
        <f>IF('8.Commercial Excellence'!H16="","",'8.Commercial Excellence'!H16)</f>
        <v/>
      </c>
      <c r="I101">
        <f>IF('8.Commercial Excellence'!I16="","",'8.Commercial Excellence'!I16)</f>
        <v/>
      </c>
      <c r="J101">
        <f>IF('8.Commercial Excellence'!J16="","",'8.Commercial Excellence'!J16)</f>
        <v/>
      </c>
      <c r="K101">
        <f>IF('8.Commercial Excellence'!K16="","",'8.Commercial Excellence'!K16)</f>
        <v/>
      </c>
      <c r="L101">
        <f>IF('8.Commercial Excellence'!L16="","",'8.Commercial Excellence'!L16)</f>
        <v/>
      </c>
      <c r="M101">
        <f>IF('8.Commercial Excellence'!M16="","",'8.Commercial Excellence'!M16)</f>
        <v/>
      </c>
      <c r="N101">
        <f>IF('8.Commercial Excellence'!N16="","",'8.Commercial Excellence'!N16)</f>
        <v/>
      </c>
      <c r="O101">
        <f>IF('8.Commercial Excellence'!O16="","",'8.Commercial Excellence'!O16)</f>
        <v/>
      </c>
      <c r="P101">
        <f>IF('8.Commercial Excellence'!P16="","",'8.Commercial Excellence'!P16)</f>
        <v/>
      </c>
      <c r="Q101">
        <f>IF('8.Commercial Excellence'!Q16="","",'8.Commercial Excellence'!Q16)</f>
        <v/>
      </c>
      <c r="R101">
        <f>IF('8.Commercial Excellence'!R16="","",'8.Commercial Excellence'!R16)</f>
        <v/>
      </c>
      <c r="S101">
        <f>IF('8.Commercial Excellence'!S16="","",'8.Commercial Excellence'!S16)</f>
        <v/>
      </c>
      <c r="T101">
        <f>IF('8.Commercial Excellence'!T16="","",'8.Commercial Excellence'!T16)</f>
        <v/>
      </c>
    </row>
    <row r="102">
      <c r="A102">
        <f>'8.Commercial Excellence'!A16</f>
        <v/>
      </c>
      <c r="B102">
        <f>'8.Commercial Excellence'!B16</f>
        <v/>
      </c>
      <c r="C102">
        <f>'8.Commercial Excellence'!C16</f>
        <v/>
      </c>
      <c r="D102">
        <f>'8.Commercial Excellence'!D16</f>
        <v/>
      </c>
      <c r="E102">
        <f>'8.Commercial Excellence'!E16</f>
        <v/>
      </c>
      <c r="F102">
        <f>'8.Commercial Excellence'!F16</f>
        <v/>
      </c>
      <c r="G102">
        <f>'8.Commercial Excellence'!G16</f>
        <v/>
      </c>
      <c r="H102">
        <f>IF('8.Commercial Excellence'!H17="","",'8.Commercial Excellence'!H17)</f>
        <v/>
      </c>
      <c r="I102">
        <f>IF('8.Commercial Excellence'!I17="","",'8.Commercial Excellence'!I17)</f>
        <v/>
      </c>
      <c r="J102">
        <f>IF('8.Commercial Excellence'!J17="","",'8.Commercial Excellence'!J17)</f>
        <v/>
      </c>
      <c r="K102">
        <f>IF('8.Commercial Excellence'!K17="","",'8.Commercial Excellence'!K17)</f>
        <v/>
      </c>
      <c r="L102">
        <f>IF('8.Commercial Excellence'!L17="","",'8.Commercial Excellence'!L17)</f>
        <v/>
      </c>
      <c r="M102">
        <f>IF('8.Commercial Excellence'!M17="","",'8.Commercial Excellence'!M17)</f>
        <v/>
      </c>
      <c r="N102">
        <f>IF('8.Commercial Excellence'!N17="","",'8.Commercial Excellence'!N17)</f>
        <v/>
      </c>
      <c r="O102">
        <f>IF('8.Commercial Excellence'!O17="","",'8.Commercial Excellence'!O17)</f>
        <v/>
      </c>
      <c r="P102">
        <f>IF('8.Commercial Excellence'!P17="","",'8.Commercial Excellence'!P17)</f>
        <v/>
      </c>
      <c r="Q102">
        <f>IF('8.Commercial Excellence'!Q17="","",'8.Commercial Excellence'!Q17)</f>
        <v/>
      </c>
      <c r="R102">
        <f>IF('8.Commercial Excellence'!R17="","",'8.Commercial Excellence'!R17)</f>
        <v/>
      </c>
      <c r="S102">
        <f>IF('8.Commercial Excellence'!S17="","",'8.Commercial Excellence'!S17)</f>
        <v/>
      </c>
      <c r="T102">
        <f>IF('8.Commercial Excellence'!T17="","",'8.Commercial Excellence'!T17)</f>
        <v/>
      </c>
    </row>
    <row r="103">
      <c r="A103">
        <f>'8.Commercial Excellence'!A18</f>
        <v/>
      </c>
      <c r="B103">
        <f>'8.Commercial Excellence'!B18</f>
        <v/>
      </c>
      <c r="C103">
        <f>'8.Commercial Excellence'!C18</f>
        <v/>
      </c>
      <c r="D103">
        <f>'8.Commercial Excellence'!D18</f>
        <v/>
      </c>
      <c r="E103">
        <f>'8.Commercial Excellence'!E18</f>
        <v/>
      </c>
      <c r="F103">
        <f>'8.Commercial Excellence'!F18</f>
        <v/>
      </c>
      <c r="G103">
        <f>'8.Commercial Excellence'!G18</f>
        <v/>
      </c>
      <c r="H103">
        <f>IF('8.Commercial Excellence'!H18="","",'8.Commercial Excellence'!H18)</f>
        <v/>
      </c>
      <c r="I103">
        <f>IF('8.Commercial Excellence'!I18="","",'8.Commercial Excellence'!I18)</f>
        <v/>
      </c>
      <c r="J103">
        <f>IF('8.Commercial Excellence'!J18="","",'8.Commercial Excellence'!J18)</f>
        <v/>
      </c>
      <c r="K103">
        <f>IF('8.Commercial Excellence'!K18="","",'8.Commercial Excellence'!K18)</f>
        <v/>
      </c>
      <c r="L103">
        <f>IF('8.Commercial Excellence'!L18="","",'8.Commercial Excellence'!L18)</f>
        <v/>
      </c>
      <c r="M103">
        <f>IF('8.Commercial Excellence'!M18="","",'8.Commercial Excellence'!M18)</f>
        <v/>
      </c>
      <c r="N103">
        <f>IF('8.Commercial Excellence'!N18="","",'8.Commercial Excellence'!N18)</f>
        <v/>
      </c>
      <c r="O103">
        <f>IF('8.Commercial Excellence'!O18="","",'8.Commercial Excellence'!O18)</f>
        <v/>
      </c>
      <c r="P103">
        <f>IF('8.Commercial Excellence'!P18="","",'8.Commercial Excellence'!P18)</f>
        <v/>
      </c>
      <c r="Q103">
        <f>IF('8.Commercial Excellence'!Q18="","",'8.Commercial Excellence'!Q18)</f>
        <v/>
      </c>
      <c r="R103">
        <f>IF('8.Commercial Excellence'!R18="","",'8.Commercial Excellence'!R18)</f>
        <v/>
      </c>
      <c r="S103">
        <f>IF('8.Commercial Excellence'!S18="","",'8.Commercial Excellence'!S18)</f>
        <v/>
      </c>
      <c r="T103">
        <f>IF('8.Commercial Excellence'!T18="","",'8.Commercial Excellence'!T18)</f>
        <v/>
      </c>
    </row>
    <row r="104">
      <c r="A104">
        <f>'8.Commercial Excellence'!A18</f>
        <v/>
      </c>
      <c r="B104">
        <f>'8.Commercial Excellence'!B18</f>
        <v/>
      </c>
      <c r="C104">
        <f>'8.Commercial Excellence'!C18</f>
        <v/>
      </c>
      <c r="D104">
        <f>'8.Commercial Excellence'!D18</f>
        <v/>
      </c>
      <c r="E104">
        <f>'8.Commercial Excellence'!E18</f>
        <v/>
      </c>
      <c r="F104">
        <f>'8.Commercial Excellence'!F18</f>
        <v/>
      </c>
      <c r="G104">
        <f>'8.Commercial Excellence'!G18</f>
        <v/>
      </c>
      <c r="H104">
        <f>IF('8.Commercial Excellence'!H19="","",'8.Commercial Excellence'!H19)</f>
        <v/>
      </c>
      <c r="I104">
        <f>IF('8.Commercial Excellence'!I19="","",'8.Commercial Excellence'!I19)</f>
        <v/>
      </c>
      <c r="J104">
        <f>IF('8.Commercial Excellence'!J19="","",'8.Commercial Excellence'!J19)</f>
        <v/>
      </c>
      <c r="K104">
        <f>IF('8.Commercial Excellence'!K19="","",'8.Commercial Excellence'!K19)</f>
        <v/>
      </c>
      <c r="L104">
        <f>IF('8.Commercial Excellence'!L19="","",'8.Commercial Excellence'!L19)</f>
        <v/>
      </c>
      <c r="M104">
        <f>IF('8.Commercial Excellence'!M19="","",'8.Commercial Excellence'!M19)</f>
        <v/>
      </c>
      <c r="N104">
        <f>IF('8.Commercial Excellence'!N19="","",'8.Commercial Excellence'!N19)</f>
        <v/>
      </c>
      <c r="O104">
        <f>IF('8.Commercial Excellence'!O19="","",'8.Commercial Excellence'!O19)</f>
        <v/>
      </c>
      <c r="P104">
        <f>IF('8.Commercial Excellence'!P19="","",'8.Commercial Excellence'!P19)</f>
        <v/>
      </c>
      <c r="Q104">
        <f>IF('8.Commercial Excellence'!Q19="","",'8.Commercial Excellence'!Q19)</f>
        <v/>
      </c>
      <c r="R104">
        <f>IF('8.Commercial Excellence'!R19="","",'8.Commercial Excellence'!R19)</f>
        <v/>
      </c>
      <c r="S104">
        <f>IF('8.Commercial Excellence'!S19="","",'8.Commercial Excellence'!S19)</f>
        <v/>
      </c>
      <c r="T104">
        <f>IF('8.Commercial Excellence'!T19="","",'8.Commercial Excellence'!T19)</f>
        <v/>
      </c>
    </row>
    <row r="105">
      <c r="A105">
        <f>'8.Commercial Excellence'!A20</f>
        <v/>
      </c>
      <c r="B105">
        <f>'8.Commercial Excellence'!B20</f>
        <v/>
      </c>
      <c r="C105">
        <f>'8.Commercial Excellence'!C20</f>
        <v/>
      </c>
      <c r="D105">
        <f>'8.Commercial Excellence'!D20</f>
        <v/>
      </c>
      <c r="E105">
        <f>'8.Commercial Excellence'!E20</f>
        <v/>
      </c>
      <c r="F105">
        <f>'8.Commercial Excellence'!F20</f>
        <v/>
      </c>
      <c r="G105">
        <f>'8.Commercial Excellence'!G20</f>
        <v/>
      </c>
      <c r="H105">
        <f>IF('8.Commercial Excellence'!H20="","",'8.Commercial Excellence'!H20)</f>
        <v/>
      </c>
      <c r="I105" s="264">
        <f>IF('8.Commercial Excellence'!I20="","",'8.Commercial Excellence'!I20)</f>
        <v/>
      </c>
      <c r="J105" s="264">
        <f>IF('8.Commercial Excellence'!J20="","",'8.Commercial Excellence'!J20)</f>
        <v/>
      </c>
      <c r="K105" s="264">
        <f>IF('8.Commercial Excellence'!K20="","",'8.Commercial Excellence'!K20)</f>
        <v/>
      </c>
      <c r="L105" s="264">
        <f>IF('8.Commercial Excellence'!L20="","",'8.Commercial Excellence'!L20)</f>
        <v/>
      </c>
      <c r="M105" s="264">
        <f>IF('8.Commercial Excellence'!M20="","",'8.Commercial Excellence'!M20)</f>
        <v/>
      </c>
      <c r="N105" s="264">
        <f>IF('8.Commercial Excellence'!N20="","",'8.Commercial Excellence'!N20)</f>
        <v/>
      </c>
      <c r="O105" s="264">
        <f>IF('8.Commercial Excellence'!O20="","",'8.Commercial Excellence'!O20)</f>
        <v/>
      </c>
      <c r="P105" s="264">
        <f>IF('8.Commercial Excellence'!P20="","",'8.Commercial Excellence'!P20)</f>
        <v/>
      </c>
      <c r="Q105" s="264">
        <f>IF('8.Commercial Excellence'!Q20="","",'8.Commercial Excellence'!Q20)</f>
        <v/>
      </c>
      <c r="R105" s="264">
        <f>IF('8.Commercial Excellence'!R20="","",'8.Commercial Excellence'!R20)</f>
        <v/>
      </c>
      <c r="S105" s="264">
        <f>IF('8.Commercial Excellence'!S20="","",'8.Commercial Excellence'!S20)</f>
        <v/>
      </c>
      <c r="T105" s="264">
        <f>IF('8.Commercial Excellence'!T20="","",'8.Commercial Excellence'!T20)</f>
        <v/>
      </c>
    </row>
    <row r="106">
      <c r="A106">
        <f>'8.Commercial Excellence'!A20</f>
        <v/>
      </c>
      <c r="B106">
        <f>'8.Commercial Excellence'!B20</f>
        <v/>
      </c>
      <c r="C106">
        <f>'8.Commercial Excellence'!C20</f>
        <v/>
      </c>
      <c r="D106">
        <f>'8.Commercial Excellence'!D20</f>
        <v/>
      </c>
      <c r="E106">
        <f>'8.Commercial Excellence'!E20</f>
        <v/>
      </c>
      <c r="F106">
        <f>'8.Commercial Excellence'!F20</f>
        <v/>
      </c>
      <c r="G106">
        <f>'8.Commercial Excellence'!G20</f>
        <v/>
      </c>
      <c r="H106">
        <f>IF('8.Commercial Excellence'!H21="","",'8.Commercial Excellence'!H21)</f>
        <v/>
      </c>
      <c r="I106" s="264">
        <f>IF('8.Commercial Excellence'!I21="","",'8.Commercial Excellence'!I21)</f>
        <v/>
      </c>
      <c r="J106" s="264">
        <f>IF('8.Commercial Excellence'!J21="","",'8.Commercial Excellence'!J21)</f>
        <v/>
      </c>
      <c r="K106" s="264">
        <f>IF('8.Commercial Excellence'!K21="","",'8.Commercial Excellence'!K21)</f>
        <v/>
      </c>
      <c r="L106" s="264">
        <f>IF('8.Commercial Excellence'!L21="","",'8.Commercial Excellence'!L21)</f>
        <v/>
      </c>
      <c r="M106" s="264">
        <f>IF('8.Commercial Excellence'!M21="","",'8.Commercial Excellence'!M21)</f>
        <v/>
      </c>
      <c r="N106" s="264">
        <f>IF('8.Commercial Excellence'!N21="","",'8.Commercial Excellence'!N21)</f>
        <v/>
      </c>
      <c r="O106" s="264">
        <f>IF('8.Commercial Excellence'!O21="","",'8.Commercial Excellence'!O21)</f>
        <v/>
      </c>
      <c r="P106" s="264">
        <f>IF('8.Commercial Excellence'!P21="","",'8.Commercial Excellence'!P21)</f>
        <v/>
      </c>
      <c r="Q106" s="264">
        <f>IF('8.Commercial Excellence'!Q21="","",'8.Commercial Excellence'!Q21)</f>
        <v/>
      </c>
      <c r="R106" s="264">
        <f>IF('8.Commercial Excellence'!R21="","",'8.Commercial Excellence'!R21)</f>
        <v/>
      </c>
      <c r="S106" s="264">
        <f>IF('8.Commercial Excellence'!S21="","",'8.Commercial Excellence'!S21)</f>
        <v/>
      </c>
      <c r="T106" s="264">
        <f>IF('8.Commercial Excellence'!T21="","",'8.Commercial Excellence'!T21)</f>
        <v/>
      </c>
    </row>
    <row r="107">
      <c r="A107">
        <f>'8.Commercial Excellence'!A22</f>
        <v/>
      </c>
      <c r="B107">
        <f>'8.Commercial Excellence'!B22</f>
        <v/>
      </c>
      <c r="C107">
        <f>'8.Commercial Excellence'!C22</f>
        <v/>
      </c>
      <c r="D107">
        <f>'8.Commercial Excellence'!D22</f>
        <v/>
      </c>
      <c r="E107">
        <f>'8.Commercial Excellence'!E22</f>
        <v/>
      </c>
      <c r="F107">
        <f>'8.Commercial Excellence'!F22</f>
        <v/>
      </c>
      <c r="G107">
        <f>'8.Commercial Excellence'!G22</f>
        <v/>
      </c>
      <c r="H107">
        <f>IF('8.Commercial Excellence'!H22="","",'8.Commercial Excellence'!H22)</f>
        <v/>
      </c>
      <c r="I107">
        <f>IF('8.Commercial Excellence'!I22="","",'8.Commercial Excellence'!I22)</f>
        <v/>
      </c>
      <c r="J107">
        <f>IF('8.Commercial Excellence'!J22="","",'8.Commercial Excellence'!J22)</f>
        <v/>
      </c>
      <c r="K107">
        <f>IF('8.Commercial Excellence'!K22="","",'8.Commercial Excellence'!K22)</f>
        <v/>
      </c>
      <c r="L107">
        <f>IF('8.Commercial Excellence'!L22="","",'8.Commercial Excellence'!L22)</f>
        <v/>
      </c>
      <c r="M107">
        <f>IF('8.Commercial Excellence'!M22="","",'8.Commercial Excellence'!M22)</f>
        <v/>
      </c>
      <c r="N107">
        <f>IF('8.Commercial Excellence'!N22="","",'8.Commercial Excellence'!N22)</f>
        <v/>
      </c>
      <c r="O107">
        <f>IF('8.Commercial Excellence'!O22="","",'8.Commercial Excellence'!O22)</f>
        <v/>
      </c>
      <c r="P107">
        <f>IF('8.Commercial Excellence'!P22="","",'8.Commercial Excellence'!P22)</f>
        <v/>
      </c>
      <c r="Q107">
        <f>IF('8.Commercial Excellence'!Q22="","",'8.Commercial Excellence'!Q22)</f>
        <v/>
      </c>
      <c r="R107">
        <f>IF('8.Commercial Excellence'!R22="","",'8.Commercial Excellence'!R22)</f>
        <v/>
      </c>
      <c r="S107">
        <f>IF('8.Commercial Excellence'!S22="","",'8.Commercial Excellence'!S22)</f>
        <v/>
      </c>
      <c r="T107">
        <f>IF('8.Commercial Excellence'!T22="","",'8.Commercial Excellence'!T22)</f>
        <v/>
      </c>
    </row>
    <row r="108">
      <c r="A108">
        <f>'8.Commercial Excellence'!A22</f>
        <v/>
      </c>
      <c r="B108">
        <f>'8.Commercial Excellence'!B22</f>
        <v/>
      </c>
      <c r="C108">
        <f>'8.Commercial Excellence'!C22</f>
        <v/>
      </c>
      <c r="D108">
        <f>'8.Commercial Excellence'!D22</f>
        <v/>
      </c>
      <c r="E108">
        <f>'8.Commercial Excellence'!E22</f>
        <v/>
      </c>
      <c r="F108">
        <f>'8.Commercial Excellence'!F22</f>
        <v/>
      </c>
      <c r="G108">
        <f>'8.Commercial Excellence'!G22</f>
        <v/>
      </c>
      <c r="H108">
        <f>IF('8.Commercial Excellence'!H23="","",'8.Commercial Excellence'!H23)</f>
        <v/>
      </c>
      <c r="I108">
        <f>IF('8.Commercial Excellence'!I23="","",'8.Commercial Excellence'!I23)</f>
        <v/>
      </c>
      <c r="J108">
        <f>IF('8.Commercial Excellence'!J23="","",'8.Commercial Excellence'!J23)</f>
        <v/>
      </c>
      <c r="K108">
        <f>IF('8.Commercial Excellence'!K23="","",'8.Commercial Excellence'!K23)</f>
        <v/>
      </c>
      <c r="L108">
        <f>IF('8.Commercial Excellence'!L23="","",'8.Commercial Excellence'!L23)</f>
        <v/>
      </c>
      <c r="M108">
        <f>IF('8.Commercial Excellence'!M23="","",'8.Commercial Excellence'!M23)</f>
        <v/>
      </c>
      <c r="N108">
        <f>IF('8.Commercial Excellence'!N23="","",'8.Commercial Excellence'!N23)</f>
        <v/>
      </c>
      <c r="O108">
        <f>IF('8.Commercial Excellence'!O23="","",'8.Commercial Excellence'!O23)</f>
        <v/>
      </c>
      <c r="P108">
        <f>IF('8.Commercial Excellence'!P23="","",'8.Commercial Excellence'!P23)</f>
        <v/>
      </c>
      <c r="Q108">
        <f>IF('8.Commercial Excellence'!Q23="","",'8.Commercial Excellence'!Q23)</f>
        <v/>
      </c>
      <c r="R108">
        <f>IF('8.Commercial Excellence'!R23="","",'8.Commercial Excellence'!R23)</f>
        <v/>
      </c>
      <c r="S108">
        <f>IF('8.Commercial Excellence'!S23="","",'8.Commercial Excellence'!S23)</f>
        <v/>
      </c>
      <c r="T108">
        <f>IF('8.Commercial Excellence'!T23="","",'8.Commercial Excellence'!T23)</f>
        <v/>
      </c>
    </row>
    <row r="109">
      <c r="A109" s="13" t="n"/>
    </row>
    <row r="110">
      <c r="A110" s="13" t="inlineStr">
        <is>
          <t>NAR</t>
        </is>
      </c>
    </row>
    <row r="111">
      <c r="A111" t="inlineStr">
        <is>
          <t>KPI Name</t>
        </is>
      </c>
      <c r="B111" t="inlineStr">
        <is>
          <t>KPI  Definition</t>
        </is>
      </c>
      <c r="C111" t="inlineStr">
        <is>
          <t>Operators</t>
        </is>
      </c>
      <c r="D111" t="inlineStr">
        <is>
          <t>Target AOP 2026</t>
        </is>
      </c>
      <c r="E111" t="inlineStr">
        <is>
          <t>Units</t>
        </is>
      </c>
      <c r="F111" t="inlineStr">
        <is>
          <t>Metric nature</t>
        </is>
      </c>
      <c r="G111" t="inlineStr">
        <is>
          <t>Frequency</t>
        </is>
      </c>
      <c r="H111" t="inlineStr">
        <is>
          <t>Target/ Actual</t>
        </is>
      </c>
      <c r="I111" s="261" t="inlineStr">
        <is>
          <t>Jan-2026</t>
        </is>
      </c>
      <c r="J111" s="261" t="inlineStr">
        <is>
          <t>Feb-2026</t>
        </is>
      </c>
      <c r="K111" s="261" t="inlineStr">
        <is>
          <t>Mar-2026</t>
        </is>
      </c>
      <c r="L111" s="261" t="inlineStr">
        <is>
          <t>Apr-2026</t>
        </is>
      </c>
      <c r="M111" s="261" t="inlineStr">
        <is>
          <t>May-2026</t>
        </is>
      </c>
      <c r="N111" s="261" t="inlineStr">
        <is>
          <t>Jun-2026</t>
        </is>
      </c>
      <c r="O111" s="261" t="inlineStr">
        <is>
          <t>Jul-2026</t>
        </is>
      </c>
      <c r="P111" s="261" t="inlineStr">
        <is>
          <t>Aug-2026</t>
        </is>
      </c>
      <c r="Q111" s="261" t="inlineStr">
        <is>
          <t>Sep-2026</t>
        </is>
      </c>
      <c r="R111" s="261" t="inlineStr">
        <is>
          <t>Oct-2026</t>
        </is>
      </c>
      <c r="S111" s="261" t="inlineStr">
        <is>
          <t>Nov-2026</t>
        </is>
      </c>
      <c r="T111" s="262" t="inlineStr">
        <is>
          <t>Dec-2026</t>
        </is>
      </c>
    </row>
    <row r="112" ht="15" customHeight="1">
      <c r="A112">
        <f>'9.NAR '!A14</f>
        <v/>
      </c>
      <c r="B112">
        <f>'9.NAR '!B14</f>
        <v/>
      </c>
      <c r="C112">
        <f>'9.NAR '!C14</f>
        <v/>
      </c>
      <c r="D112">
        <f>'9.NAR '!D14</f>
        <v/>
      </c>
      <c r="E112">
        <f>'9.NAR '!E14</f>
        <v/>
      </c>
      <c r="F112">
        <f>'9.NAR '!F14</f>
        <v/>
      </c>
      <c r="G112">
        <f>'9.NAR '!G14</f>
        <v/>
      </c>
      <c r="H112">
        <f>IF('9.NAR '!H14="","",'9.NAR '!H14)</f>
        <v/>
      </c>
      <c r="I112">
        <f>IF('9.NAR '!I14="","",'9.NAR '!I14)</f>
        <v/>
      </c>
      <c r="J112">
        <f>IF('9.NAR '!J14="","",'9.NAR '!J14)</f>
        <v/>
      </c>
      <c r="K112">
        <f>IF('9.NAR '!K14="","",'9.NAR '!K14)</f>
        <v/>
      </c>
      <c r="L112">
        <f>IF('9.NAR '!L14="","",'9.NAR '!L14)</f>
        <v/>
      </c>
      <c r="M112">
        <f>IF('9.NAR '!M14="","",'9.NAR '!M14)</f>
        <v/>
      </c>
      <c r="N112">
        <f>IF('9.NAR '!N14="","",'9.NAR '!N14)</f>
        <v/>
      </c>
      <c r="O112">
        <f>IF('9.NAR '!O14="","",'9.NAR '!O14)</f>
        <v/>
      </c>
      <c r="P112">
        <f>IF('9.NAR '!P14="","",'9.NAR '!P14)</f>
        <v/>
      </c>
      <c r="Q112">
        <f>IF('9.NAR '!Q14="","",'9.NAR '!Q14)</f>
        <v/>
      </c>
      <c r="R112">
        <f>IF('9.NAR '!R14="","",'9.NAR '!R14)</f>
        <v/>
      </c>
      <c r="S112">
        <f>IF('9.NAR '!S14="","",'9.NAR '!S14)</f>
        <v/>
      </c>
      <c r="T112">
        <f>IF('9.NAR '!T14="","",'9.NAR '!T14)</f>
        <v/>
      </c>
    </row>
    <row r="113">
      <c r="A113">
        <f>'9.NAR '!A14</f>
        <v/>
      </c>
      <c r="B113">
        <f>'9.NAR '!B14</f>
        <v/>
      </c>
      <c r="C113">
        <f>'9.NAR '!C14</f>
        <v/>
      </c>
      <c r="D113">
        <f>'9.NAR '!D14</f>
        <v/>
      </c>
      <c r="E113">
        <f>'9.NAR '!E14</f>
        <v/>
      </c>
      <c r="F113">
        <f>'9.NAR '!F14</f>
        <v/>
      </c>
      <c r="G113">
        <f>'9.NAR '!G14</f>
        <v/>
      </c>
      <c r="H113">
        <f>IF('9.NAR '!H15="","",'9.NAR '!H15)</f>
        <v/>
      </c>
      <c r="I113">
        <f>IF('9.NAR '!I15="","",'9.NAR '!I15)</f>
        <v/>
      </c>
      <c r="J113">
        <f>IF('9.NAR '!J15="","",'9.NAR '!J15)</f>
        <v/>
      </c>
      <c r="K113">
        <f>IF('9.NAR '!K15="","",'9.NAR '!K15)</f>
        <v/>
      </c>
      <c r="L113">
        <f>IF('9.NAR '!L15="","",'9.NAR '!L15)</f>
        <v/>
      </c>
      <c r="M113">
        <f>IF('9.NAR '!M15="","",'9.NAR '!M15)</f>
        <v/>
      </c>
      <c r="N113">
        <f>IF('9.NAR '!N15="","",'9.NAR '!N15)</f>
        <v/>
      </c>
      <c r="O113">
        <f>IF('9.NAR '!O15="","",'9.NAR '!O15)</f>
        <v/>
      </c>
      <c r="P113">
        <f>IF('9.NAR '!P15="","",'9.NAR '!P15)</f>
        <v/>
      </c>
      <c r="Q113">
        <f>IF('9.NAR '!Q15="","",'9.NAR '!Q15)</f>
        <v/>
      </c>
      <c r="R113">
        <f>IF('9.NAR '!R15="","",'9.NAR '!R15)</f>
        <v/>
      </c>
      <c r="S113">
        <f>IF('9.NAR '!S15="","",'9.NAR '!S15)</f>
        <v/>
      </c>
      <c r="T113">
        <f>IF('9.NAR '!T15="","",'9.NAR '!T15)</f>
        <v/>
      </c>
    </row>
    <row r="114">
      <c r="A114">
        <f>'9.NAR '!A16</f>
        <v/>
      </c>
      <c r="B114">
        <f>'9.NAR '!B16</f>
        <v/>
      </c>
      <c r="C114">
        <f>'9.NAR '!C16</f>
        <v/>
      </c>
      <c r="D114">
        <f>'9.NAR '!D16</f>
        <v/>
      </c>
      <c r="E114">
        <f>'9.NAR '!E16</f>
        <v/>
      </c>
      <c r="F114">
        <f>'9.NAR '!F16</f>
        <v/>
      </c>
      <c r="G114">
        <f>'9.NAR '!G16</f>
        <v/>
      </c>
      <c r="H114">
        <f>IF('9.NAR '!H16="","",'9.NAR '!H16)</f>
        <v/>
      </c>
      <c r="I114">
        <f>IF('9.NAR '!I16="","",'9.NAR '!I16)</f>
        <v/>
      </c>
      <c r="J114">
        <f>IF('9.NAR '!J16="","",'9.NAR '!J16)</f>
        <v/>
      </c>
      <c r="K114">
        <f>IF('9.NAR '!K16="","",'9.NAR '!K16)</f>
        <v/>
      </c>
      <c r="L114">
        <f>IF('9.NAR '!L16="","",'9.NAR '!L16)</f>
        <v/>
      </c>
      <c r="M114">
        <f>IF('9.NAR '!M16="","",'9.NAR '!M16)</f>
        <v/>
      </c>
      <c r="N114">
        <f>IF('9.NAR '!N16="","",'9.NAR '!N16)</f>
        <v/>
      </c>
      <c r="O114">
        <f>IF('9.NAR '!O16="","",'9.NAR '!O16)</f>
        <v/>
      </c>
      <c r="P114">
        <f>IF('9.NAR '!P16="","",'9.NAR '!P16)</f>
        <v/>
      </c>
      <c r="Q114">
        <f>IF('9.NAR '!Q16="","",'9.NAR '!Q16)</f>
        <v/>
      </c>
      <c r="R114">
        <f>IF('9.NAR '!R16="","",'9.NAR '!R16)</f>
        <v/>
      </c>
      <c r="S114">
        <f>IF('9.NAR '!S16="","",'9.NAR '!S16)</f>
        <v/>
      </c>
      <c r="T114">
        <f>IF('9.NAR '!T16="","",'9.NAR '!T16)</f>
        <v/>
      </c>
    </row>
    <row r="115">
      <c r="A115">
        <f>'9.NAR '!A16</f>
        <v/>
      </c>
      <c r="B115">
        <f>'9.NAR '!B16</f>
        <v/>
      </c>
      <c r="C115">
        <f>'9.NAR '!C16</f>
        <v/>
      </c>
      <c r="D115">
        <f>'9.NAR '!D16</f>
        <v/>
      </c>
      <c r="E115">
        <f>'9.NAR '!E16</f>
        <v/>
      </c>
      <c r="F115">
        <f>'9.NAR '!F16</f>
        <v/>
      </c>
      <c r="G115">
        <f>'9.NAR '!G16</f>
        <v/>
      </c>
      <c r="H115">
        <f>IF('9.NAR '!H17="","",'9.NAR '!H17)</f>
        <v/>
      </c>
      <c r="I115">
        <f>IF('9.NAR '!I17="","",'9.NAR '!I17)</f>
        <v/>
      </c>
      <c r="J115">
        <f>IF('9.NAR '!J17="","",'9.NAR '!J17)</f>
        <v/>
      </c>
      <c r="K115">
        <f>IF('9.NAR '!K17="","",'9.NAR '!K17)</f>
        <v/>
      </c>
      <c r="L115">
        <f>IF('9.NAR '!L17="","",'9.NAR '!L17)</f>
        <v/>
      </c>
      <c r="M115">
        <f>IF('9.NAR '!M17="","",'9.NAR '!M17)</f>
        <v/>
      </c>
      <c r="N115">
        <f>IF('9.NAR '!N17="","",'9.NAR '!N17)</f>
        <v/>
      </c>
      <c r="O115">
        <f>IF('9.NAR '!O17="","",'9.NAR '!O17)</f>
        <v/>
      </c>
      <c r="P115">
        <f>IF('9.NAR '!P17="","",'9.NAR '!P17)</f>
        <v/>
      </c>
      <c r="Q115">
        <f>IF('9.NAR '!Q17="","",'9.NAR '!Q17)</f>
        <v/>
      </c>
      <c r="R115">
        <f>IF('9.NAR '!R17="","",'9.NAR '!R17)</f>
        <v/>
      </c>
      <c r="S115">
        <f>IF('9.NAR '!S17="","",'9.NAR '!S17)</f>
        <v/>
      </c>
      <c r="T115">
        <f>IF('9.NAR '!T17="","",'9.NAR '!T17)</f>
        <v/>
      </c>
    </row>
    <row r="116">
      <c r="A116">
        <f>'9.NAR '!A18</f>
        <v/>
      </c>
      <c r="B116">
        <f>'9.NAR '!B18</f>
        <v/>
      </c>
      <c r="C116">
        <f>'9.NAR '!C18</f>
        <v/>
      </c>
      <c r="D116">
        <f>'9.NAR '!D18</f>
        <v/>
      </c>
      <c r="E116">
        <f>'9.NAR '!E18</f>
        <v/>
      </c>
      <c r="F116">
        <f>'9.NAR '!F18</f>
        <v/>
      </c>
      <c r="G116">
        <f>'9.NAR '!G18</f>
        <v/>
      </c>
      <c r="H116">
        <f>IF('9.NAR '!H18="","",'9.NAR '!H18)</f>
        <v/>
      </c>
      <c r="I116">
        <f>IF('9.NAR '!I18="","",'9.NAR '!I18)</f>
        <v/>
      </c>
      <c r="J116">
        <f>IF('9.NAR '!J18="","",'9.NAR '!J18)</f>
        <v/>
      </c>
      <c r="K116">
        <f>IF('9.NAR '!K18="","",'9.NAR '!K18)</f>
        <v/>
      </c>
      <c r="L116">
        <f>IF('9.NAR '!L18="","",'9.NAR '!L18)</f>
        <v/>
      </c>
      <c r="M116">
        <f>IF('9.NAR '!M18="","",'9.NAR '!M18)</f>
        <v/>
      </c>
      <c r="N116">
        <f>IF('9.NAR '!N18="","",'9.NAR '!N18)</f>
        <v/>
      </c>
      <c r="O116">
        <f>IF('9.NAR '!O18="","",'9.NAR '!O18)</f>
        <v/>
      </c>
      <c r="P116">
        <f>IF('9.NAR '!P18="","",'9.NAR '!P18)</f>
        <v/>
      </c>
      <c r="Q116">
        <f>IF('9.NAR '!Q18="","",'9.NAR '!Q18)</f>
        <v/>
      </c>
      <c r="R116">
        <f>IF('9.NAR '!R18="","",'9.NAR '!R18)</f>
        <v/>
      </c>
      <c r="S116">
        <f>IF('9.NAR '!S18="","",'9.NAR '!S18)</f>
        <v/>
      </c>
      <c r="T116">
        <f>IF('9.NAR '!T18="","",'9.NAR '!T18)</f>
        <v/>
      </c>
    </row>
    <row r="117">
      <c r="A117">
        <f>'9.NAR '!A18</f>
        <v/>
      </c>
      <c r="B117">
        <f>'9.NAR '!B18</f>
        <v/>
      </c>
      <c r="C117">
        <f>'9.NAR '!C18</f>
        <v/>
      </c>
      <c r="D117">
        <f>'9.NAR '!D18</f>
        <v/>
      </c>
      <c r="E117">
        <f>'9.NAR '!E18</f>
        <v/>
      </c>
      <c r="F117">
        <f>'9.NAR '!F18</f>
        <v/>
      </c>
      <c r="G117">
        <f>'9.NAR '!G18</f>
        <v/>
      </c>
      <c r="H117">
        <f>IF('9.NAR '!H19="","",'9.NAR '!H19)</f>
        <v/>
      </c>
      <c r="I117">
        <f>IF('9.NAR '!I19="","",'9.NAR '!I19)</f>
        <v/>
      </c>
      <c r="J117">
        <f>IF('9.NAR '!J19="","",'9.NAR '!J19)</f>
        <v/>
      </c>
      <c r="K117">
        <f>IF('9.NAR '!K19="","",'9.NAR '!K19)</f>
        <v/>
      </c>
      <c r="L117">
        <f>IF('9.NAR '!L19="","",'9.NAR '!L19)</f>
        <v/>
      </c>
      <c r="M117">
        <f>IF('9.NAR '!M19="","",'9.NAR '!M19)</f>
        <v/>
      </c>
      <c r="N117">
        <f>IF('9.NAR '!N19="","",'9.NAR '!N19)</f>
        <v/>
      </c>
      <c r="O117">
        <f>IF('9.NAR '!O19="","",'9.NAR '!O19)</f>
        <v/>
      </c>
      <c r="P117">
        <f>IF('9.NAR '!P19="","",'9.NAR '!P19)</f>
        <v/>
      </c>
      <c r="Q117">
        <f>IF('9.NAR '!Q19="","",'9.NAR '!Q19)</f>
        <v/>
      </c>
      <c r="R117">
        <f>IF('9.NAR '!R19="","",'9.NAR '!R19)</f>
        <v/>
      </c>
      <c r="S117">
        <f>IF('9.NAR '!S19="","",'9.NAR '!S19)</f>
        <v/>
      </c>
      <c r="T117">
        <f>IF('9.NAR '!T19="","",'9.NAR '!T19)</f>
        <v/>
      </c>
    </row>
    <row r="118">
      <c r="A118">
        <f>'9.NAR '!A20</f>
        <v/>
      </c>
      <c r="B118">
        <f>'9.NAR '!B20</f>
        <v/>
      </c>
      <c r="C118">
        <f>'9.NAR '!C20</f>
        <v/>
      </c>
      <c r="D118">
        <f>'9.NAR '!D20</f>
        <v/>
      </c>
      <c r="E118">
        <f>'9.NAR '!E20</f>
        <v/>
      </c>
      <c r="F118">
        <f>'9.NAR '!F20</f>
        <v/>
      </c>
      <c r="G118">
        <f>'9.NAR '!G20</f>
        <v/>
      </c>
      <c r="H118">
        <f>IF('9.NAR '!H20="","",'9.NAR '!H20)</f>
        <v/>
      </c>
      <c r="I118">
        <f>IF('9.NAR '!I20="","",'9.NAR '!I20)</f>
        <v/>
      </c>
      <c r="J118">
        <f>IF('9.NAR '!J20="","",'9.NAR '!J20)</f>
        <v/>
      </c>
      <c r="K118">
        <f>IF('9.NAR '!K20="","",'9.NAR '!K20)</f>
        <v/>
      </c>
      <c r="L118">
        <f>IF('9.NAR '!L20="","",'9.NAR '!L20)</f>
        <v/>
      </c>
      <c r="M118">
        <f>IF('9.NAR '!M20="","",'9.NAR '!M20)</f>
        <v/>
      </c>
      <c r="N118">
        <f>IF('9.NAR '!N20="","",'9.NAR '!N20)</f>
        <v/>
      </c>
      <c r="O118">
        <f>IF('9.NAR '!O20="","",'9.NAR '!O20)</f>
        <v/>
      </c>
      <c r="P118">
        <f>IF('9.NAR '!P20="","",'9.NAR '!P20)</f>
        <v/>
      </c>
      <c r="Q118">
        <f>IF('9.NAR '!Q20="","",'9.NAR '!Q20)</f>
        <v/>
      </c>
      <c r="R118">
        <f>IF('9.NAR '!R20="","",'9.NAR '!R20)</f>
        <v/>
      </c>
      <c r="S118">
        <f>IF('9.NAR '!S20="","",'9.NAR '!S20)</f>
        <v/>
      </c>
      <c r="T118">
        <f>IF('9.NAR '!T20="","",'9.NAR '!T20)</f>
        <v/>
      </c>
    </row>
    <row r="119">
      <c r="A119">
        <f>'9.NAR '!A20</f>
        <v/>
      </c>
      <c r="B119">
        <f>'9.NAR '!B20</f>
        <v/>
      </c>
      <c r="C119">
        <f>'9.NAR '!C20</f>
        <v/>
      </c>
      <c r="D119">
        <f>'9.NAR '!D20</f>
        <v/>
      </c>
      <c r="E119">
        <f>'9.NAR '!E20</f>
        <v/>
      </c>
      <c r="F119">
        <f>'9.NAR '!F20</f>
        <v/>
      </c>
      <c r="G119">
        <f>'9.NAR '!G20</f>
        <v/>
      </c>
      <c r="H119">
        <f>IF('9.NAR '!H21="","",'9.NAR '!H21)</f>
        <v/>
      </c>
      <c r="I119">
        <f>IF('9.NAR '!I21="","",'9.NAR '!I21)</f>
        <v/>
      </c>
      <c r="J119">
        <f>IF('9.NAR '!J21="","",'9.NAR '!J21)</f>
        <v/>
      </c>
      <c r="K119">
        <f>IF('9.NAR '!K21="","",'9.NAR '!K21)</f>
        <v/>
      </c>
      <c r="L119">
        <f>IF('9.NAR '!L21="","",'9.NAR '!L21)</f>
        <v/>
      </c>
      <c r="M119">
        <f>IF('9.NAR '!M21="","",'9.NAR '!M21)</f>
        <v/>
      </c>
      <c r="N119">
        <f>IF('9.NAR '!N21="","",'9.NAR '!N21)</f>
        <v/>
      </c>
      <c r="O119">
        <f>IF('9.NAR '!O21="","",'9.NAR '!O21)</f>
        <v/>
      </c>
      <c r="P119">
        <f>IF('9.NAR '!P21="","",'9.NAR '!P21)</f>
        <v/>
      </c>
      <c r="Q119">
        <f>IF('9.NAR '!Q21="","",'9.NAR '!Q21)</f>
        <v/>
      </c>
      <c r="R119">
        <f>IF('9.NAR '!R21="","",'9.NAR '!R21)</f>
        <v/>
      </c>
      <c r="S119">
        <f>IF('9.NAR '!S21="","",'9.NAR '!S21)</f>
        <v/>
      </c>
      <c r="T119">
        <f>IF('9.NAR '!T21="","",'9.NAR '!T21)</f>
        <v/>
      </c>
    </row>
    <row r="120" ht="15" customHeight="1">
      <c r="A120">
        <f>'9.NAR '!A22</f>
        <v/>
      </c>
      <c r="B120">
        <f>'9.NAR '!B22</f>
        <v/>
      </c>
      <c r="C120">
        <f>'9.NAR '!C22</f>
        <v/>
      </c>
      <c r="D120">
        <f>'9.NAR '!D22</f>
        <v/>
      </c>
      <c r="E120">
        <f>'9.NAR '!E22</f>
        <v/>
      </c>
      <c r="F120">
        <f>'9.NAR '!F22</f>
        <v/>
      </c>
      <c r="G120">
        <f>'9.NAR '!G22</f>
        <v/>
      </c>
      <c r="H120">
        <f>IF('9.NAR '!H22="","",'9.NAR '!H22)</f>
        <v/>
      </c>
      <c r="I120">
        <f>IF('9.NAR '!I22="","",'9.NAR '!I22)</f>
        <v/>
      </c>
      <c r="J120">
        <f>IF('9.NAR '!J22="","",'9.NAR '!J22)</f>
        <v/>
      </c>
      <c r="K120">
        <f>IF('9.NAR '!K22="","",'9.NAR '!K22)</f>
        <v/>
      </c>
      <c r="L120">
        <f>IF('9.NAR '!L22="","",'9.NAR '!L22)</f>
        <v/>
      </c>
      <c r="M120">
        <f>IF('9.NAR '!M22="","",'9.NAR '!M22)</f>
        <v/>
      </c>
      <c r="N120">
        <f>IF('9.NAR '!N22="","",'9.NAR '!N22)</f>
        <v/>
      </c>
      <c r="O120">
        <f>IF('9.NAR '!O22="","",'9.NAR '!O22)</f>
        <v/>
      </c>
      <c r="P120">
        <f>IF('9.NAR '!P22="","",'9.NAR '!P22)</f>
        <v/>
      </c>
      <c r="Q120">
        <f>IF('9.NAR '!Q22="","",'9.NAR '!Q22)</f>
        <v/>
      </c>
      <c r="R120">
        <f>IF('9.NAR '!R22="","",'9.NAR '!R22)</f>
        <v/>
      </c>
      <c r="S120">
        <f>IF('9.NAR '!S22="","",'9.NAR '!S22)</f>
        <v/>
      </c>
      <c r="T120">
        <f>IF('9.NAR '!T22="","",'9.NAR '!T22)</f>
        <v/>
      </c>
    </row>
    <row r="121">
      <c r="A121">
        <f>'9.NAR '!A22</f>
        <v/>
      </c>
      <c r="B121">
        <f>'9.NAR '!B22</f>
        <v/>
      </c>
      <c r="C121">
        <f>'9.NAR '!C22</f>
        <v/>
      </c>
      <c r="D121">
        <f>'9.NAR '!D22</f>
        <v/>
      </c>
      <c r="E121">
        <f>'9.NAR '!E22</f>
        <v/>
      </c>
      <c r="F121">
        <f>'9.NAR '!F22</f>
        <v/>
      </c>
      <c r="G121">
        <f>'9.NAR '!G22</f>
        <v/>
      </c>
      <c r="H121">
        <f>IF('9.NAR '!H23="","",'9.NAR '!H23)</f>
        <v/>
      </c>
      <c r="I121">
        <f>IF('9.NAR '!I23="","",'9.NAR '!I23)</f>
        <v/>
      </c>
      <c r="J121">
        <f>IF('9.NAR '!J23="","",'9.NAR '!J23)</f>
        <v/>
      </c>
      <c r="K121">
        <f>IF('9.NAR '!K23="","",'9.NAR '!K23)</f>
        <v/>
      </c>
      <c r="L121">
        <f>IF('9.NAR '!L23="","",'9.NAR '!L23)</f>
        <v/>
      </c>
      <c r="M121">
        <f>IF('9.NAR '!M23="","",'9.NAR '!M23)</f>
        <v/>
      </c>
      <c r="N121">
        <f>IF('9.NAR '!N23="","",'9.NAR '!N23)</f>
        <v/>
      </c>
      <c r="O121">
        <f>IF('9.NAR '!O23="","",'9.NAR '!O23)</f>
        <v/>
      </c>
      <c r="P121">
        <f>IF('9.NAR '!P23="","",'9.NAR '!P23)</f>
        <v/>
      </c>
      <c r="Q121">
        <f>IF('9.NAR '!Q23="","",'9.NAR '!Q23)</f>
        <v/>
      </c>
      <c r="R121">
        <f>IF('9.NAR '!R23="","",'9.NAR '!R23)</f>
        <v/>
      </c>
      <c r="S121">
        <f>IF('9.NAR '!S23="","",'9.NAR '!S23)</f>
        <v/>
      </c>
      <c r="T121">
        <f>IF('9.NAR '!T23="","",'9.NAR '!T23)</f>
        <v/>
      </c>
    </row>
    <row r="122">
      <c r="A122">
        <f>'9.NAR '!A24</f>
        <v/>
      </c>
      <c r="B122">
        <f>'9.NAR '!B24</f>
        <v/>
      </c>
      <c r="C122">
        <f>'9.NAR '!C24</f>
        <v/>
      </c>
      <c r="D122">
        <f>'9.NAR '!D24</f>
        <v/>
      </c>
      <c r="E122">
        <f>'9.NAR '!E24</f>
        <v/>
      </c>
      <c r="F122">
        <f>'9.NAR '!F24</f>
        <v/>
      </c>
      <c r="G122">
        <f>'9.NAR '!G24</f>
        <v/>
      </c>
      <c r="H122">
        <f>IF('9.NAR '!H24="","",'9.NAR '!H24)</f>
        <v/>
      </c>
      <c r="I122" s="264">
        <f>IF('9.NAR '!I24="","",'9.NAR '!I24)</f>
        <v/>
      </c>
      <c r="J122" s="264">
        <f>IF('9.NAR '!J24="","",'9.NAR '!J24)</f>
        <v/>
      </c>
      <c r="K122" s="264">
        <f>IF('9.NAR '!K24="","",'9.NAR '!K24)</f>
        <v/>
      </c>
      <c r="L122" s="264">
        <f>IF('9.NAR '!L24="","",'9.NAR '!L24)</f>
        <v/>
      </c>
      <c r="M122" s="264">
        <f>IF('9.NAR '!M24="","",'9.NAR '!M24)</f>
        <v/>
      </c>
      <c r="N122" s="264">
        <f>IF('9.NAR '!N24="","",'9.NAR '!N24)</f>
        <v/>
      </c>
      <c r="O122" s="264">
        <f>IF('9.NAR '!O24="","",'9.NAR '!O24)</f>
        <v/>
      </c>
      <c r="P122" s="264">
        <f>IF('9.NAR '!P24="","",'9.NAR '!P24)</f>
        <v/>
      </c>
      <c r="Q122" s="264">
        <f>IF('9.NAR '!Q24="","",'9.NAR '!Q24)</f>
        <v/>
      </c>
      <c r="R122" s="264">
        <f>IF('9.NAR '!R24="","",'9.NAR '!R24)</f>
        <v/>
      </c>
      <c r="S122" s="264">
        <f>IF('9.NAR '!S24="","",'9.NAR '!S24)</f>
        <v/>
      </c>
      <c r="T122" s="264">
        <f>IF('9.NAR '!T24="","",'9.NAR '!T24)</f>
        <v/>
      </c>
    </row>
    <row r="123">
      <c r="A123">
        <f>'9.NAR '!A24</f>
        <v/>
      </c>
      <c r="B123">
        <f>'9.NAR '!B24</f>
        <v/>
      </c>
      <c r="C123">
        <f>'9.NAR '!C24</f>
        <v/>
      </c>
      <c r="D123">
        <f>'9.NAR '!D24</f>
        <v/>
      </c>
      <c r="E123">
        <f>'9.NAR '!E24</f>
        <v/>
      </c>
      <c r="F123">
        <f>'9.NAR '!F24</f>
        <v/>
      </c>
      <c r="G123">
        <f>'9.NAR '!G24</f>
        <v/>
      </c>
      <c r="H123">
        <f>IF('9.NAR '!H25="","",'9.NAR '!H25)</f>
        <v/>
      </c>
      <c r="I123" s="264">
        <f>IF('9.NAR '!I25="","",'9.NAR '!I25)</f>
        <v/>
      </c>
      <c r="J123" s="264">
        <f>IF('9.NAR '!J25="","",'9.NAR '!J25)</f>
        <v/>
      </c>
      <c r="K123" s="264">
        <f>IF('9.NAR '!K25="","",'9.NAR '!K25)</f>
        <v/>
      </c>
      <c r="L123" s="264">
        <f>IF('9.NAR '!L25="","",'9.NAR '!L25)</f>
        <v/>
      </c>
      <c r="M123" s="264">
        <f>IF('9.NAR '!M25="","",'9.NAR '!M25)</f>
        <v/>
      </c>
      <c r="N123" s="264">
        <f>IF('9.NAR '!N25="","",'9.NAR '!N25)</f>
        <v/>
      </c>
      <c r="O123" s="264">
        <f>IF('9.NAR '!O25="","",'9.NAR '!O25)</f>
        <v/>
      </c>
      <c r="P123" s="264">
        <f>IF('9.NAR '!P25="","",'9.NAR '!P25)</f>
        <v/>
      </c>
      <c r="Q123" s="264">
        <f>IF('9.NAR '!Q25="","",'9.NAR '!Q25)</f>
        <v/>
      </c>
      <c r="R123" s="264">
        <f>IF('9.NAR '!R25="","",'9.NAR '!R25)</f>
        <v/>
      </c>
      <c r="S123" s="264">
        <f>IF('9.NAR '!S25="","",'9.NAR '!S25)</f>
        <v/>
      </c>
      <c r="T123" s="264">
        <f>IF('9.NAR '!T25="","",'9.NAR '!T25)</f>
        <v/>
      </c>
    </row>
    <row r="125">
      <c r="A125" s="13" t="inlineStr">
        <is>
          <t>Europe</t>
        </is>
      </c>
    </row>
    <row r="126">
      <c r="A126" t="inlineStr">
        <is>
          <t>KPI Name</t>
        </is>
      </c>
      <c r="B126" t="inlineStr">
        <is>
          <t>KPI  Definition</t>
        </is>
      </c>
      <c r="C126" t="inlineStr">
        <is>
          <t>Operators</t>
        </is>
      </c>
      <c r="D126" t="inlineStr">
        <is>
          <t>Target AOP 2026</t>
        </is>
      </c>
      <c r="E126" t="inlineStr">
        <is>
          <t>Units</t>
        </is>
      </c>
      <c r="F126" t="inlineStr">
        <is>
          <t>Metric nature</t>
        </is>
      </c>
      <c r="G126" t="inlineStr">
        <is>
          <t>Frequency</t>
        </is>
      </c>
      <c r="H126" t="inlineStr">
        <is>
          <t>Target/ Actual</t>
        </is>
      </c>
      <c r="I126" s="261" t="inlineStr">
        <is>
          <t>Jan-2026</t>
        </is>
      </c>
      <c r="J126" s="261" t="inlineStr">
        <is>
          <t>Feb-2026</t>
        </is>
      </c>
      <c r="K126" s="261" t="inlineStr">
        <is>
          <t>Mar-2026</t>
        </is>
      </c>
      <c r="L126" s="261" t="inlineStr">
        <is>
          <t>Apr-2026</t>
        </is>
      </c>
      <c r="M126" s="261" t="inlineStr">
        <is>
          <t>May-2026</t>
        </is>
      </c>
      <c r="N126" s="261" t="inlineStr">
        <is>
          <t>Jun-2026</t>
        </is>
      </c>
      <c r="O126" s="261" t="inlineStr">
        <is>
          <t>Jul-2026</t>
        </is>
      </c>
      <c r="P126" s="261" t="inlineStr">
        <is>
          <t>Aug-2026</t>
        </is>
      </c>
      <c r="Q126" s="261" t="inlineStr">
        <is>
          <t>Sep-2026</t>
        </is>
      </c>
      <c r="R126" s="261" t="inlineStr">
        <is>
          <t>Oct-2026</t>
        </is>
      </c>
      <c r="S126" s="261" t="inlineStr">
        <is>
          <t>Nov-2026</t>
        </is>
      </c>
      <c r="T126" s="262" t="inlineStr">
        <is>
          <t>Dec-2026</t>
        </is>
      </c>
    </row>
    <row r="127">
      <c r="A127">
        <f>'10.EUROPE '!A14</f>
        <v/>
      </c>
      <c r="B127">
        <f>'10.EUROPE '!B14</f>
        <v/>
      </c>
      <c r="C127">
        <f>'10.EUROPE '!C14</f>
        <v/>
      </c>
      <c r="D127">
        <f>'10.EUROPE '!D14</f>
        <v/>
      </c>
      <c r="E127">
        <f>'10.EUROPE '!E14</f>
        <v/>
      </c>
      <c r="F127">
        <f>'10.EUROPE '!F14</f>
        <v/>
      </c>
      <c r="G127">
        <f>'10.EUROPE '!G14</f>
        <v/>
      </c>
      <c r="H127">
        <f>IF('10.EUROPE '!H14="","",'10.EUROPE '!H14)</f>
        <v/>
      </c>
      <c r="I127">
        <f>IF('10.EUROPE '!I14="","",'10.EUROPE '!I14)</f>
        <v/>
      </c>
      <c r="J127">
        <f>IF('10.EUROPE '!J14="","",'10.EUROPE '!J14)</f>
        <v/>
      </c>
      <c r="K127">
        <f>IF('10.EUROPE '!K14="","",'10.EUROPE '!K14)</f>
        <v/>
      </c>
      <c r="L127">
        <f>IF('10.EUROPE '!L14="","",'10.EUROPE '!L14)</f>
        <v/>
      </c>
      <c r="M127">
        <f>IF('10.EUROPE '!M14="","",'10.EUROPE '!M14)</f>
        <v/>
      </c>
      <c r="N127">
        <f>IF('10.EUROPE '!N14="","",'10.EUROPE '!N14)</f>
        <v/>
      </c>
      <c r="O127">
        <f>IF('10.EUROPE '!O14="","",'10.EUROPE '!O14)</f>
        <v/>
      </c>
      <c r="P127">
        <f>IF('10.EUROPE '!P14="","",'10.EUROPE '!P14)</f>
        <v/>
      </c>
      <c r="Q127">
        <f>IF('10.EUROPE '!Q14="","",'10.EUROPE '!Q14)</f>
        <v/>
      </c>
      <c r="R127">
        <f>IF('10.EUROPE '!R14="","",'10.EUROPE '!R14)</f>
        <v/>
      </c>
      <c r="S127">
        <f>IF('10.EUROPE '!S14="","",'10.EUROPE '!S14)</f>
        <v/>
      </c>
      <c r="T127">
        <f>IF('10.EUROPE '!T14="","",'10.EUROPE '!T14)</f>
        <v/>
      </c>
    </row>
    <row r="128">
      <c r="A128">
        <f>'10.EUROPE '!A14</f>
        <v/>
      </c>
      <c r="B128">
        <f>'10.EUROPE '!B14</f>
        <v/>
      </c>
      <c r="C128">
        <f>'10.EUROPE '!C14</f>
        <v/>
      </c>
      <c r="D128">
        <f>'10.EUROPE '!D14</f>
        <v/>
      </c>
      <c r="E128">
        <f>'10.EUROPE '!E14</f>
        <v/>
      </c>
      <c r="F128">
        <f>'10.EUROPE '!F14</f>
        <v/>
      </c>
      <c r="G128">
        <f>'10.EUROPE '!G14</f>
        <v/>
      </c>
      <c r="H128">
        <f>IF('10.EUROPE '!H15="","",'10.EUROPE '!H15)</f>
        <v/>
      </c>
      <c r="I128">
        <f>IF('10.EUROPE '!I15="","",'10.EUROPE '!I15)</f>
        <v/>
      </c>
      <c r="J128">
        <f>IF('10.EUROPE '!J15="","",'10.EUROPE '!J15)</f>
        <v/>
      </c>
      <c r="K128">
        <f>IF('10.EUROPE '!K15="","",'10.EUROPE '!K15)</f>
        <v/>
      </c>
      <c r="L128">
        <f>IF('10.EUROPE '!L15="","",'10.EUROPE '!L15)</f>
        <v/>
      </c>
      <c r="M128">
        <f>IF('10.EUROPE '!M15="","",'10.EUROPE '!M15)</f>
        <v/>
      </c>
      <c r="N128">
        <f>IF('10.EUROPE '!N15="","",'10.EUROPE '!N15)</f>
        <v/>
      </c>
      <c r="O128">
        <f>IF('10.EUROPE '!O15="","",'10.EUROPE '!O15)</f>
        <v/>
      </c>
      <c r="P128">
        <f>IF('10.EUROPE '!P15="","",'10.EUROPE '!P15)</f>
        <v/>
      </c>
      <c r="Q128">
        <f>IF('10.EUROPE '!Q15="","",'10.EUROPE '!Q15)</f>
        <v/>
      </c>
      <c r="R128">
        <f>IF('10.EUROPE '!R15="","",'10.EUROPE '!R15)</f>
        <v/>
      </c>
      <c r="S128">
        <f>IF('10.EUROPE '!S15="","",'10.EUROPE '!S15)</f>
        <v/>
      </c>
      <c r="T128">
        <f>IF('10.EUROPE '!T15="","",'10.EUROPE '!T15)</f>
        <v/>
      </c>
    </row>
    <row r="129">
      <c r="A129">
        <f>'10.EUROPE '!A16</f>
        <v/>
      </c>
      <c r="B129">
        <f>'10.EUROPE '!B16</f>
        <v/>
      </c>
      <c r="C129">
        <f>'10.EUROPE '!C16</f>
        <v/>
      </c>
      <c r="D129">
        <f>'10.EUROPE '!D16</f>
        <v/>
      </c>
      <c r="E129">
        <f>'10.EUROPE '!E16</f>
        <v/>
      </c>
      <c r="F129">
        <f>'10.EUROPE '!F16</f>
        <v/>
      </c>
      <c r="G129">
        <f>'10.EUROPE '!G16</f>
        <v/>
      </c>
      <c r="H129">
        <f>IF('10.EUROPE '!H16="","",'10.EUROPE '!H16)</f>
        <v/>
      </c>
      <c r="I129">
        <f>IF('10.EUROPE '!I16="","",'10.EUROPE '!I16)</f>
        <v/>
      </c>
      <c r="J129" s="264">
        <f>IF('10.EUROPE '!J16="","",'10.EUROPE '!J16)</f>
        <v/>
      </c>
      <c r="K129" s="264">
        <f>IF('10.EUROPE '!K16="","",'10.EUROPE '!K16)</f>
        <v/>
      </c>
      <c r="L129" s="264">
        <f>IF('10.EUROPE '!L16="","",'10.EUROPE '!L16)</f>
        <v/>
      </c>
      <c r="M129" s="264">
        <f>IF('10.EUROPE '!M16="","",'10.EUROPE '!M16)</f>
        <v/>
      </c>
      <c r="N129" s="264">
        <f>IF('10.EUROPE '!N16="","",'10.EUROPE '!N16)</f>
        <v/>
      </c>
      <c r="O129" s="264">
        <f>IF('10.EUROPE '!O16="","",'10.EUROPE '!O16)</f>
        <v/>
      </c>
      <c r="P129" s="264">
        <f>IF('10.EUROPE '!P16="","",'10.EUROPE '!P16)</f>
        <v/>
      </c>
      <c r="Q129" s="264">
        <f>IF('10.EUROPE '!Q16="","",'10.EUROPE '!Q16)</f>
        <v/>
      </c>
      <c r="R129" s="264">
        <f>IF('10.EUROPE '!R16="","",'10.EUROPE '!R16)</f>
        <v/>
      </c>
      <c r="S129" s="264">
        <f>IF('10.EUROPE '!S16="","",'10.EUROPE '!S16)</f>
        <v/>
      </c>
      <c r="T129" s="264">
        <f>IF('10.EUROPE '!T16="","",'10.EUROPE '!T16)</f>
        <v/>
      </c>
    </row>
    <row r="130">
      <c r="A130">
        <f>'10.EUROPE '!A16</f>
        <v/>
      </c>
      <c r="B130">
        <f>'10.EUROPE '!B16</f>
        <v/>
      </c>
      <c r="C130">
        <f>'10.EUROPE '!C16</f>
        <v/>
      </c>
      <c r="D130">
        <f>'10.EUROPE '!D16</f>
        <v/>
      </c>
      <c r="E130">
        <f>'10.EUROPE '!E16</f>
        <v/>
      </c>
      <c r="F130">
        <f>'10.EUROPE '!F16</f>
        <v/>
      </c>
      <c r="G130">
        <f>'10.EUROPE '!G16</f>
        <v/>
      </c>
      <c r="H130">
        <f>IF('10.EUROPE '!H17="","",'10.EUROPE '!H17)</f>
        <v/>
      </c>
      <c r="I130">
        <f>IF('10.EUROPE '!I17="","",'10.EUROPE '!I17)</f>
        <v/>
      </c>
      <c r="J130" s="264">
        <f>IF('10.EUROPE '!J17="","",'10.EUROPE '!J17)</f>
        <v/>
      </c>
      <c r="K130" s="264">
        <f>IF('10.EUROPE '!K17="","",'10.EUROPE '!K17)</f>
        <v/>
      </c>
      <c r="L130" s="264">
        <f>IF('10.EUROPE '!L17="","",'10.EUROPE '!L17)</f>
        <v/>
      </c>
      <c r="M130" s="264">
        <f>IF('10.EUROPE '!M17="","",'10.EUROPE '!M17)</f>
        <v/>
      </c>
      <c r="N130" s="264">
        <f>IF('10.EUROPE '!N17="","",'10.EUROPE '!N17)</f>
        <v/>
      </c>
      <c r="O130" s="264">
        <f>IF('10.EUROPE '!O17="","",'10.EUROPE '!O17)</f>
        <v/>
      </c>
      <c r="P130" s="264">
        <f>IF('10.EUROPE '!P17="","",'10.EUROPE '!P17)</f>
        <v/>
      </c>
      <c r="Q130" s="264">
        <f>IF('10.EUROPE '!Q17="","",'10.EUROPE '!Q17)</f>
        <v/>
      </c>
      <c r="R130" s="264">
        <f>IF('10.EUROPE '!R17="","",'10.EUROPE '!R17)</f>
        <v/>
      </c>
      <c r="S130" s="264">
        <f>IF('10.EUROPE '!S17="","",'10.EUROPE '!S17)</f>
        <v/>
      </c>
      <c r="T130" s="264">
        <f>IF('10.EUROPE '!T17="","",'10.EUROPE '!T17)</f>
        <v/>
      </c>
    </row>
    <row r="131">
      <c r="A131">
        <f>'10.EUROPE '!A18</f>
        <v/>
      </c>
      <c r="B131">
        <f>'10.EUROPE '!B18</f>
        <v/>
      </c>
      <c r="C131">
        <f>'10.EUROPE '!C18</f>
        <v/>
      </c>
      <c r="D131">
        <f>'10.EUROPE '!D18</f>
        <v/>
      </c>
      <c r="E131">
        <f>'10.EUROPE '!E18</f>
        <v/>
      </c>
      <c r="F131">
        <f>'10.EUROPE '!F18</f>
        <v/>
      </c>
      <c r="G131">
        <f>'10.EUROPE '!G18</f>
        <v/>
      </c>
      <c r="H131">
        <f>IF('10.EUROPE '!H18="","",'10.EUROPE '!H18)</f>
        <v/>
      </c>
      <c r="I131">
        <f>IF('10.EUROPE '!I18="","",'10.EUROPE '!I18)</f>
        <v/>
      </c>
      <c r="J131">
        <f>IF('10.EUROPE '!J18="","",'10.EUROPE '!J18)</f>
        <v/>
      </c>
      <c r="K131">
        <f>IF('10.EUROPE '!K18="","",'10.EUROPE '!K18)</f>
        <v/>
      </c>
      <c r="L131">
        <f>IF('10.EUROPE '!L18="","",'10.EUROPE '!L18)</f>
        <v/>
      </c>
      <c r="M131">
        <f>IF('10.EUROPE '!M18="","",'10.EUROPE '!M18)</f>
        <v/>
      </c>
      <c r="N131">
        <f>IF('10.EUROPE '!N18="","",'10.EUROPE '!N18)</f>
        <v/>
      </c>
      <c r="O131">
        <f>IF('10.EUROPE '!O18="","",'10.EUROPE '!O18)</f>
        <v/>
      </c>
      <c r="P131">
        <f>IF('10.EUROPE '!P18="","",'10.EUROPE '!P18)</f>
        <v/>
      </c>
      <c r="Q131">
        <f>IF('10.EUROPE '!Q18="","",'10.EUROPE '!Q18)</f>
        <v/>
      </c>
      <c r="R131">
        <f>IF('10.EUROPE '!R18="","",'10.EUROPE '!R18)</f>
        <v/>
      </c>
      <c r="S131">
        <f>IF('10.EUROPE '!S18="","",'10.EUROPE '!S18)</f>
        <v/>
      </c>
      <c r="T131">
        <f>IF('10.EUROPE '!T18="","",'10.EUROPE '!T18)</f>
        <v/>
      </c>
    </row>
    <row r="132">
      <c r="A132">
        <f>'10.EUROPE '!A18</f>
        <v/>
      </c>
      <c r="B132">
        <f>'10.EUROPE '!B18</f>
        <v/>
      </c>
      <c r="C132">
        <f>'10.EUROPE '!C18</f>
        <v/>
      </c>
      <c r="D132">
        <f>'10.EUROPE '!D18</f>
        <v/>
      </c>
      <c r="E132">
        <f>'10.EUROPE '!E18</f>
        <v/>
      </c>
      <c r="F132">
        <f>'10.EUROPE '!F18</f>
        <v/>
      </c>
      <c r="G132">
        <f>'10.EUROPE '!G18</f>
        <v/>
      </c>
      <c r="H132">
        <f>IF('10.EUROPE '!H19="","",'10.EUROPE '!H19)</f>
        <v/>
      </c>
      <c r="I132">
        <f>IF('10.EUROPE '!I19="","",'10.EUROPE '!I19)</f>
        <v/>
      </c>
      <c r="J132">
        <f>IF('10.EUROPE '!J19="","",'10.EUROPE '!J19)</f>
        <v/>
      </c>
      <c r="K132">
        <f>IF('10.EUROPE '!K19="","",'10.EUROPE '!K19)</f>
        <v/>
      </c>
      <c r="L132">
        <f>IF('10.EUROPE '!L19="","",'10.EUROPE '!L19)</f>
        <v/>
      </c>
      <c r="M132">
        <f>IF('10.EUROPE '!M19="","",'10.EUROPE '!M19)</f>
        <v/>
      </c>
      <c r="N132">
        <f>IF('10.EUROPE '!N19="","",'10.EUROPE '!N19)</f>
        <v/>
      </c>
      <c r="O132">
        <f>IF('10.EUROPE '!O19="","",'10.EUROPE '!O19)</f>
        <v/>
      </c>
      <c r="P132">
        <f>IF('10.EUROPE '!P19="","",'10.EUROPE '!P19)</f>
        <v/>
      </c>
      <c r="Q132">
        <f>IF('10.EUROPE '!Q19="","",'10.EUROPE '!Q19)</f>
        <v/>
      </c>
      <c r="R132">
        <f>IF('10.EUROPE '!R19="","",'10.EUROPE '!R19)</f>
        <v/>
      </c>
      <c r="S132">
        <f>IF('10.EUROPE '!S19="","",'10.EUROPE '!S19)</f>
        <v/>
      </c>
      <c r="T132">
        <f>IF('10.EUROPE '!T19="","",'10.EUROPE '!T19)</f>
        <v/>
      </c>
    </row>
    <row r="133">
      <c r="A133">
        <f>'10.EUROPE '!A20</f>
        <v/>
      </c>
      <c r="B133">
        <f>'10.EUROPE '!B20</f>
        <v/>
      </c>
      <c r="C133">
        <f>'10.EUROPE '!C20</f>
        <v/>
      </c>
      <c r="D133">
        <f>'10.EUROPE '!D20</f>
        <v/>
      </c>
      <c r="E133">
        <f>'10.EUROPE '!E20</f>
        <v/>
      </c>
      <c r="F133">
        <f>'10.EUROPE '!F20</f>
        <v/>
      </c>
      <c r="G133">
        <f>'10.EUROPE '!G20</f>
        <v/>
      </c>
      <c r="H133">
        <f>IF('10.EUROPE '!H20="","",'10.EUROPE '!H20)</f>
        <v/>
      </c>
      <c r="I133" s="264">
        <f>IF('10.EUROPE '!I20="","",'10.EUROPE '!I20)</f>
        <v/>
      </c>
      <c r="J133" s="264">
        <f>IF('10.EUROPE '!J20="","",'10.EUROPE '!J20)</f>
        <v/>
      </c>
      <c r="K133" s="264">
        <f>IF('10.EUROPE '!K20="","",'10.EUROPE '!K20)</f>
        <v/>
      </c>
      <c r="L133" s="264">
        <f>IF('10.EUROPE '!L20="","",'10.EUROPE '!L20)</f>
        <v/>
      </c>
      <c r="M133" s="264">
        <f>IF('10.EUROPE '!M20="","",'10.EUROPE '!M20)</f>
        <v/>
      </c>
      <c r="N133" s="264">
        <f>IF('10.EUROPE '!N20="","",'10.EUROPE '!N20)</f>
        <v/>
      </c>
      <c r="O133" s="264">
        <f>IF('10.EUROPE '!O20="","",'10.EUROPE '!O20)</f>
        <v/>
      </c>
      <c r="P133" s="264">
        <f>IF('10.EUROPE '!P20="","",'10.EUROPE '!P20)</f>
        <v/>
      </c>
      <c r="Q133" s="264">
        <f>IF('10.EUROPE '!Q20="","",'10.EUROPE '!Q20)</f>
        <v/>
      </c>
      <c r="R133" s="264">
        <f>IF('10.EUROPE '!R20="","",'10.EUROPE '!R20)</f>
        <v/>
      </c>
      <c r="S133" s="264">
        <f>IF('10.EUROPE '!S20="","",'10.EUROPE '!S20)</f>
        <v/>
      </c>
      <c r="T133" s="264">
        <f>IF('10.EUROPE '!T20="","",'10.EUROPE '!T20)</f>
        <v/>
      </c>
    </row>
    <row r="134">
      <c r="A134">
        <f>'10.EUROPE '!A20</f>
        <v/>
      </c>
      <c r="B134">
        <f>'10.EUROPE '!B20</f>
        <v/>
      </c>
      <c r="C134">
        <f>'10.EUROPE '!C20</f>
        <v/>
      </c>
      <c r="D134">
        <f>'10.EUROPE '!D20</f>
        <v/>
      </c>
      <c r="E134">
        <f>'10.EUROPE '!E20</f>
        <v/>
      </c>
      <c r="F134">
        <f>'10.EUROPE '!F20</f>
        <v/>
      </c>
      <c r="G134">
        <f>'10.EUROPE '!G20</f>
        <v/>
      </c>
      <c r="H134">
        <f>IF('10.EUROPE '!H21="","",'10.EUROPE '!H21)</f>
        <v/>
      </c>
      <c r="I134" s="264">
        <f>IF('10.EUROPE '!I21="","",'10.EUROPE '!I21)</f>
        <v/>
      </c>
      <c r="J134" s="264">
        <f>IF('10.EUROPE '!J21="","",'10.EUROPE '!J21)</f>
        <v/>
      </c>
      <c r="K134" s="264">
        <f>IF('10.EUROPE '!K21="","",'10.EUROPE '!K21)</f>
        <v/>
      </c>
      <c r="L134" s="264">
        <f>IF('10.EUROPE '!L21="","",'10.EUROPE '!L21)</f>
        <v/>
      </c>
      <c r="M134" s="264">
        <f>IF('10.EUROPE '!M21="","",'10.EUROPE '!M21)</f>
        <v/>
      </c>
      <c r="N134" s="264">
        <f>IF('10.EUROPE '!N21="","",'10.EUROPE '!N21)</f>
        <v/>
      </c>
      <c r="O134" s="264">
        <f>IF('10.EUROPE '!O21="","",'10.EUROPE '!O21)</f>
        <v/>
      </c>
      <c r="P134" s="264">
        <f>IF('10.EUROPE '!P21="","",'10.EUROPE '!P21)</f>
        <v/>
      </c>
      <c r="Q134" s="264">
        <f>IF('10.EUROPE '!Q21="","",'10.EUROPE '!Q21)</f>
        <v/>
      </c>
      <c r="R134" s="264">
        <f>IF('10.EUROPE '!R21="","",'10.EUROPE '!R21)</f>
        <v/>
      </c>
      <c r="S134" s="264">
        <f>IF('10.EUROPE '!S21="","",'10.EUROPE '!S21)</f>
        <v/>
      </c>
      <c r="T134" s="264">
        <f>IF('10.EUROPE '!T21="","",'10.EUROPE '!T21)</f>
        <v/>
      </c>
    </row>
    <row r="135">
      <c r="A135">
        <f>'10.EUROPE '!A22</f>
        <v/>
      </c>
      <c r="B135">
        <f>'10.EUROPE '!B22</f>
        <v/>
      </c>
      <c r="C135">
        <f>'10.EUROPE '!C22</f>
        <v/>
      </c>
      <c r="D135">
        <f>'10.EUROPE '!D22</f>
        <v/>
      </c>
      <c r="E135">
        <f>'10.EUROPE '!E22</f>
        <v/>
      </c>
      <c r="F135">
        <f>'10.EUROPE '!F22</f>
        <v/>
      </c>
      <c r="G135">
        <f>'10.EUROPE '!G22</f>
        <v/>
      </c>
      <c r="H135">
        <f>IF('10.EUROPE '!H22="","",'10.EUROPE '!H22)</f>
        <v/>
      </c>
      <c r="I135" s="264">
        <f>IF('10.EUROPE '!I22="","",'10.EUROPE '!I22)</f>
        <v/>
      </c>
      <c r="J135" s="264">
        <f>IF('10.EUROPE '!J22="","",'10.EUROPE '!J22)</f>
        <v/>
      </c>
      <c r="K135" s="264">
        <f>IF('10.EUROPE '!K22="","",'10.EUROPE '!K22)</f>
        <v/>
      </c>
      <c r="L135" s="264">
        <f>IF('10.EUROPE '!L22="","",'10.EUROPE '!L22)</f>
        <v/>
      </c>
      <c r="M135" s="264">
        <f>IF('10.EUROPE '!M22="","",'10.EUROPE '!M22)</f>
        <v/>
      </c>
      <c r="N135" s="264">
        <f>IF('10.EUROPE '!N22="","",'10.EUROPE '!N22)</f>
        <v/>
      </c>
      <c r="O135" s="264">
        <f>IF('10.EUROPE '!O22="","",'10.EUROPE '!O22)</f>
        <v/>
      </c>
      <c r="P135" s="264">
        <f>IF('10.EUROPE '!P22="","",'10.EUROPE '!P22)</f>
        <v/>
      </c>
      <c r="Q135" s="264">
        <f>IF('10.EUROPE '!Q22="","",'10.EUROPE '!Q22)</f>
        <v/>
      </c>
      <c r="R135" s="264">
        <f>IF('10.EUROPE '!R22="","",'10.EUROPE '!R22)</f>
        <v/>
      </c>
      <c r="S135" s="264">
        <f>IF('10.EUROPE '!S22="","",'10.EUROPE '!S22)</f>
        <v/>
      </c>
      <c r="T135" s="264">
        <f>IF('10.EUROPE '!T22="","",'10.EUROPE '!T22)</f>
        <v/>
      </c>
    </row>
    <row r="136">
      <c r="A136">
        <f>'10.EUROPE '!A22</f>
        <v/>
      </c>
      <c r="B136">
        <f>'10.EUROPE '!B22</f>
        <v/>
      </c>
      <c r="C136">
        <f>'10.EUROPE '!C22</f>
        <v/>
      </c>
      <c r="D136">
        <f>'10.EUROPE '!D22</f>
        <v/>
      </c>
      <c r="E136">
        <f>'10.EUROPE '!E22</f>
        <v/>
      </c>
      <c r="F136">
        <f>'10.EUROPE '!F22</f>
        <v/>
      </c>
      <c r="G136">
        <f>'10.EUROPE '!G22</f>
        <v/>
      </c>
      <c r="H136">
        <f>IF('10.EUROPE '!H23="","",'10.EUROPE '!H23)</f>
        <v/>
      </c>
      <c r="I136" s="264">
        <f>IF('10.EUROPE '!I23="","",'10.EUROPE '!I23)</f>
        <v/>
      </c>
      <c r="J136" s="264">
        <f>IF('10.EUROPE '!J23="","",'10.EUROPE '!J23)</f>
        <v/>
      </c>
      <c r="K136" s="264">
        <f>IF('10.EUROPE '!K23="","",'10.EUROPE '!K23)</f>
        <v/>
      </c>
      <c r="L136" s="264">
        <f>IF('10.EUROPE '!L23="","",'10.EUROPE '!L23)</f>
        <v/>
      </c>
      <c r="M136" s="264">
        <f>IF('10.EUROPE '!M23="","",'10.EUROPE '!M23)</f>
        <v/>
      </c>
      <c r="N136" s="264">
        <f>IF('10.EUROPE '!N23="","",'10.EUROPE '!N23)</f>
        <v/>
      </c>
      <c r="O136" s="264">
        <f>IF('10.EUROPE '!O23="","",'10.EUROPE '!O23)</f>
        <v/>
      </c>
      <c r="P136" s="264">
        <f>IF('10.EUROPE '!P23="","",'10.EUROPE '!P23)</f>
        <v/>
      </c>
      <c r="Q136" s="264">
        <f>IF('10.EUROPE '!Q23="","",'10.EUROPE '!Q23)</f>
        <v/>
      </c>
      <c r="R136" s="264">
        <f>IF('10.EUROPE '!R23="","",'10.EUROPE '!R23)</f>
        <v/>
      </c>
      <c r="S136" s="264">
        <f>IF('10.EUROPE '!S23="","",'10.EUROPE '!S23)</f>
        <v/>
      </c>
      <c r="T136" s="264">
        <f>IF('10.EUROPE '!T23="","",'10.EUROPE '!T23)</f>
        <v/>
      </c>
    </row>
    <row r="137">
      <c r="A137">
        <f>'10.EUROPE '!A24</f>
        <v/>
      </c>
      <c r="B137">
        <f>'10.EUROPE '!B24</f>
        <v/>
      </c>
      <c r="C137">
        <f>'10.EUROPE '!C24</f>
        <v/>
      </c>
      <c r="D137">
        <f>'10.EUROPE '!D24</f>
        <v/>
      </c>
      <c r="E137">
        <f>'10.EUROPE '!E24</f>
        <v/>
      </c>
      <c r="F137">
        <f>'10.EUROPE '!F24</f>
        <v/>
      </c>
      <c r="G137">
        <f>'10.EUROPE '!G24</f>
        <v/>
      </c>
      <c r="H137">
        <f>IF('10.EUROPE '!H24="","",'10.EUROPE '!H24)</f>
        <v/>
      </c>
      <c r="I137" s="266">
        <f>IF('10.EUROPE '!I24="","",'10.EUROPE '!I24)</f>
        <v/>
      </c>
      <c r="J137" s="266">
        <f>IF('10.EUROPE '!J24="","",'10.EUROPE '!J24)</f>
        <v/>
      </c>
      <c r="K137" s="266">
        <f>IF('10.EUROPE '!K24="","",'10.EUROPE '!K24)</f>
        <v/>
      </c>
      <c r="L137" s="266">
        <f>IF('10.EUROPE '!L24="","",'10.EUROPE '!L24)</f>
        <v/>
      </c>
      <c r="M137" s="266">
        <f>IF('10.EUROPE '!M24="","",'10.EUROPE '!M24)</f>
        <v/>
      </c>
      <c r="N137" s="266">
        <f>IF('10.EUROPE '!N24="","",'10.EUROPE '!N24)</f>
        <v/>
      </c>
      <c r="O137" s="266">
        <f>IF('10.EUROPE '!O24="","",'10.EUROPE '!O24)</f>
        <v/>
      </c>
      <c r="P137" s="266">
        <f>IF('10.EUROPE '!P24="","",'10.EUROPE '!P24)</f>
        <v/>
      </c>
      <c r="Q137" s="266">
        <f>IF('10.EUROPE '!Q24="","",'10.EUROPE '!Q24)</f>
        <v/>
      </c>
      <c r="R137" s="266">
        <f>IF('10.EUROPE '!R24="","",'10.EUROPE '!R24)</f>
        <v/>
      </c>
      <c r="S137" s="266">
        <f>IF('10.EUROPE '!S24="","",'10.EUROPE '!S24)</f>
        <v/>
      </c>
      <c r="T137" s="266">
        <f>IF('10.EUROPE '!T24="","",'10.EUROPE '!T24)</f>
        <v/>
      </c>
    </row>
    <row r="138">
      <c r="A138">
        <f>'10.EUROPE '!A24</f>
        <v/>
      </c>
      <c r="B138">
        <f>'10.EUROPE '!B24</f>
        <v/>
      </c>
      <c r="C138">
        <f>'10.EUROPE '!C24</f>
        <v/>
      </c>
      <c r="D138">
        <f>'10.EUROPE '!D24</f>
        <v/>
      </c>
      <c r="E138">
        <f>'10.EUROPE '!E24</f>
        <v/>
      </c>
      <c r="F138">
        <f>'10.EUROPE '!F24</f>
        <v/>
      </c>
      <c r="G138">
        <f>'10.EUROPE '!G24</f>
        <v/>
      </c>
      <c r="H138">
        <f>IF('10.EUROPE '!H25="","",'10.EUROPE '!H25)</f>
        <v/>
      </c>
      <c r="I138" s="266">
        <f>IF('10.EUROPE '!I25="","",'10.EUROPE '!I25)</f>
        <v/>
      </c>
      <c r="J138" s="266">
        <f>IF('10.EUROPE '!J25="","",'10.EUROPE '!J25)</f>
        <v/>
      </c>
      <c r="K138" s="266">
        <f>IF('10.EUROPE '!K25="","",'10.EUROPE '!K25)</f>
        <v/>
      </c>
      <c r="L138" s="266">
        <f>IF('10.EUROPE '!L25="","",'10.EUROPE '!L25)</f>
        <v/>
      </c>
      <c r="M138" s="266">
        <f>IF('10.EUROPE '!M25="","",'10.EUROPE '!M25)</f>
        <v/>
      </c>
      <c r="N138" s="266">
        <f>IF('10.EUROPE '!N25="","",'10.EUROPE '!N25)</f>
        <v/>
      </c>
      <c r="O138" s="266">
        <f>IF('10.EUROPE '!O25="","",'10.EUROPE '!O25)</f>
        <v/>
      </c>
      <c r="P138" s="266">
        <f>IF('10.EUROPE '!P25="","",'10.EUROPE '!P25)</f>
        <v/>
      </c>
      <c r="Q138" s="266">
        <f>IF('10.EUROPE '!Q25="","",'10.EUROPE '!Q25)</f>
        <v/>
      </c>
      <c r="R138" s="266">
        <f>IF('10.EUROPE '!R25="","",'10.EUROPE '!R25)</f>
        <v/>
      </c>
      <c r="S138" s="266">
        <f>IF('10.EUROPE '!S25="","",'10.EUROPE '!S25)</f>
        <v/>
      </c>
      <c r="T138" s="266">
        <f>IF('10.EUROPE '!T25="","",'10.EUROPE '!T25)</f>
        <v/>
      </c>
    </row>
    <row r="140">
      <c r="A140" s="13" t="inlineStr">
        <is>
          <t>Growth</t>
        </is>
      </c>
    </row>
    <row r="141">
      <c r="A141" t="inlineStr">
        <is>
          <t>KPI Name</t>
        </is>
      </c>
      <c r="B141" t="inlineStr">
        <is>
          <t>KPI  Definition</t>
        </is>
      </c>
      <c r="C141" t="inlineStr">
        <is>
          <t>Operators</t>
        </is>
      </c>
      <c r="D141" t="inlineStr">
        <is>
          <t>Target AOP 2026</t>
        </is>
      </c>
      <c r="E141" t="inlineStr">
        <is>
          <t>Units</t>
        </is>
      </c>
      <c r="F141" t="inlineStr">
        <is>
          <t>Metric nature</t>
        </is>
      </c>
      <c r="G141" t="inlineStr">
        <is>
          <t>Frequency</t>
        </is>
      </c>
      <c r="H141" t="inlineStr">
        <is>
          <t>Target/ Actual</t>
        </is>
      </c>
      <c r="I141" s="261" t="inlineStr">
        <is>
          <t>Jan-2026</t>
        </is>
      </c>
      <c r="J141" s="261" t="inlineStr">
        <is>
          <t>Feb-2026</t>
        </is>
      </c>
      <c r="K141" s="261" t="inlineStr">
        <is>
          <t>Mar-2026</t>
        </is>
      </c>
      <c r="L141" s="261" t="inlineStr">
        <is>
          <t>Apr-2026</t>
        </is>
      </c>
      <c r="M141" s="261" t="inlineStr">
        <is>
          <t>May-2026</t>
        </is>
      </c>
      <c r="N141" s="261" t="inlineStr">
        <is>
          <t>Jun-2026</t>
        </is>
      </c>
      <c r="O141" s="261" t="inlineStr">
        <is>
          <t>Jul-2026</t>
        </is>
      </c>
      <c r="P141" s="261" t="inlineStr">
        <is>
          <t>Aug-2026</t>
        </is>
      </c>
      <c r="Q141" s="261" t="inlineStr">
        <is>
          <t>Sep-2026</t>
        </is>
      </c>
      <c r="R141" s="261" t="inlineStr">
        <is>
          <t>Oct-2026</t>
        </is>
      </c>
      <c r="S141" s="261" t="inlineStr">
        <is>
          <t>Nov-2026</t>
        </is>
      </c>
      <c r="T141" s="262" t="inlineStr">
        <is>
          <t>Dec-2026</t>
        </is>
      </c>
    </row>
    <row r="142">
      <c r="A142">
        <f>'11.GROWTH '!A14</f>
        <v/>
      </c>
      <c r="B142">
        <f>'11.GROWTH '!B14</f>
        <v/>
      </c>
      <c r="C142">
        <f>'11.GROWTH '!C14</f>
        <v/>
      </c>
      <c r="D142">
        <f>'11.GROWTH '!D14</f>
        <v/>
      </c>
      <c r="E142">
        <f>'11.GROWTH '!E14</f>
        <v/>
      </c>
      <c r="F142">
        <f>'11.GROWTH '!F14</f>
        <v/>
      </c>
      <c r="G142">
        <f>'11.GROWTH '!G14</f>
        <v/>
      </c>
      <c r="H142">
        <f>IF('11.GROWTH '!H14="","",'11.GROWTH '!H14)</f>
        <v/>
      </c>
      <c r="I142">
        <f>IF('11.GROWTH '!I14="","",'11.GROWTH '!I14)</f>
        <v/>
      </c>
      <c r="J142" s="264">
        <f>IF('11.GROWTH '!J14="","",'11.GROWTH '!J14)</f>
        <v/>
      </c>
      <c r="K142" s="264">
        <f>IF('11.GROWTH '!K14="","",'11.GROWTH '!K14)</f>
        <v/>
      </c>
      <c r="L142" s="264">
        <f>IF('11.GROWTH '!L14="","",'11.GROWTH '!L14)</f>
        <v/>
      </c>
      <c r="M142" s="264">
        <f>IF('11.GROWTH '!M14="","",'11.GROWTH '!M14)</f>
        <v/>
      </c>
      <c r="N142" s="264">
        <f>IF('11.GROWTH '!N14="","",'11.GROWTH '!N14)</f>
        <v/>
      </c>
      <c r="O142" s="264">
        <f>IF('11.GROWTH '!O14="","",'11.GROWTH '!O14)</f>
        <v/>
      </c>
      <c r="P142" s="264">
        <f>IF('11.GROWTH '!P14="","",'11.GROWTH '!P14)</f>
        <v/>
      </c>
      <c r="Q142" s="264">
        <f>IF('11.GROWTH '!Q14="","",'11.GROWTH '!Q14)</f>
        <v/>
      </c>
      <c r="R142" s="264">
        <f>IF('11.GROWTH '!R14="","",'11.GROWTH '!R14)</f>
        <v/>
      </c>
      <c r="S142" s="264">
        <f>IF('11.GROWTH '!S14="","",'11.GROWTH '!S14)</f>
        <v/>
      </c>
      <c r="T142" s="264">
        <f>IF('11.GROWTH '!T14="","",'11.GROWTH '!T14)</f>
        <v/>
      </c>
    </row>
    <row r="143">
      <c r="A143">
        <f>'11.GROWTH '!A14</f>
        <v/>
      </c>
      <c r="B143">
        <f>'11.GROWTH '!B14</f>
        <v/>
      </c>
      <c r="C143">
        <f>'11.GROWTH '!C14</f>
        <v/>
      </c>
      <c r="D143">
        <f>'11.GROWTH '!D14</f>
        <v/>
      </c>
      <c r="E143">
        <f>'11.GROWTH '!E14</f>
        <v/>
      </c>
      <c r="F143">
        <f>'11.GROWTH '!F14</f>
        <v/>
      </c>
      <c r="G143">
        <f>'11.GROWTH '!G14</f>
        <v/>
      </c>
      <c r="H143">
        <f>IF('11.GROWTH '!H15="","",'11.GROWTH '!H15)</f>
        <v/>
      </c>
      <c r="I143">
        <f>IF('11.GROWTH '!I15="","",'11.GROWTH '!I15)</f>
        <v/>
      </c>
      <c r="J143" s="264">
        <f>IF('11.GROWTH '!J15="","",'11.GROWTH '!J15)</f>
        <v/>
      </c>
      <c r="K143" s="264">
        <f>IF('11.GROWTH '!K15="","",'11.GROWTH '!K15)</f>
        <v/>
      </c>
      <c r="L143" s="264">
        <f>IF('11.GROWTH '!L15="","",'11.GROWTH '!L15)</f>
        <v/>
      </c>
      <c r="M143" s="264">
        <f>IF('11.GROWTH '!M15="","",'11.GROWTH '!M15)</f>
        <v/>
      </c>
      <c r="N143" s="264">
        <f>IF('11.GROWTH '!N15="","",'11.GROWTH '!N15)</f>
        <v/>
      </c>
      <c r="O143" s="264">
        <f>IF('11.GROWTH '!O15="","",'11.GROWTH '!O15)</f>
        <v/>
      </c>
      <c r="P143" s="264">
        <f>IF('11.GROWTH '!P15="","",'11.GROWTH '!P15)</f>
        <v/>
      </c>
      <c r="Q143" s="264">
        <f>IF('11.GROWTH '!Q15="","",'11.GROWTH '!Q15)</f>
        <v/>
      </c>
      <c r="R143" s="264">
        <f>IF('11.GROWTH '!R15="","",'11.GROWTH '!R15)</f>
        <v/>
      </c>
      <c r="S143" s="264">
        <f>IF('11.GROWTH '!S15="","",'11.GROWTH '!S15)</f>
        <v/>
      </c>
      <c r="T143" s="264">
        <f>IF('11.GROWTH '!T15="","",'11.GROWTH '!T15)</f>
        <v/>
      </c>
    </row>
    <row r="144">
      <c r="A144">
        <f>'11.GROWTH '!A16</f>
        <v/>
      </c>
      <c r="B144">
        <f>'11.GROWTH '!B16</f>
        <v/>
      </c>
      <c r="C144">
        <f>'11.GROWTH '!C16</f>
        <v/>
      </c>
      <c r="D144">
        <f>'11.GROWTH '!D16</f>
        <v/>
      </c>
      <c r="E144">
        <f>'11.GROWTH '!E16</f>
        <v/>
      </c>
      <c r="F144">
        <f>'11.GROWTH '!F16</f>
        <v/>
      </c>
      <c r="G144">
        <f>'11.GROWTH '!G16</f>
        <v/>
      </c>
      <c r="H144">
        <f>IF('11.GROWTH '!H16="","",'11.GROWTH '!H16)</f>
        <v/>
      </c>
      <c r="I144">
        <f>IF('11.GROWTH '!I16="","",'11.GROWTH '!I16)</f>
        <v/>
      </c>
      <c r="J144" s="264">
        <f>IF('11.GROWTH '!J16="","",'11.GROWTH '!J16)</f>
        <v/>
      </c>
      <c r="K144" s="264">
        <f>IF('11.GROWTH '!K16="","",'11.GROWTH '!K16)</f>
        <v/>
      </c>
      <c r="L144" s="264">
        <f>IF('11.GROWTH '!L16="","",'11.GROWTH '!L16)</f>
        <v/>
      </c>
      <c r="M144" s="264">
        <f>IF('11.GROWTH '!M16="","",'11.GROWTH '!M16)</f>
        <v/>
      </c>
      <c r="N144" s="264">
        <f>IF('11.GROWTH '!N16="","",'11.GROWTH '!N16)</f>
        <v/>
      </c>
      <c r="O144" s="264">
        <f>IF('11.GROWTH '!O16="","",'11.GROWTH '!O16)</f>
        <v/>
      </c>
      <c r="P144" s="264">
        <f>IF('11.GROWTH '!P16="","",'11.GROWTH '!P16)</f>
        <v/>
      </c>
      <c r="Q144" s="264">
        <f>IF('11.GROWTH '!Q16="","",'11.GROWTH '!Q16)</f>
        <v/>
      </c>
      <c r="R144" s="264">
        <f>IF('11.GROWTH '!R16="","",'11.GROWTH '!R16)</f>
        <v/>
      </c>
      <c r="S144" s="264">
        <f>IF('11.GROWTH '!S16="","",'11.GROWTH '!S16)</f>
        <v/>
      </c>
      <c r="T144" s="264">
        <f>IF('11.GROWTH '!T16="","",'11.GROWTH '!T16)</f>
        <v/>
      </c>
    </row>
    <row r="145">
      <c r="A145">
        <f>'11.GROWTH '!A16</f>
        <v/>
      </c>
      <c r="B145">
        <f>'11.GROWTH '!B16</f>
        <v/>
      </c>
      <c r="C145">
        <f>'11.GROWTH '!C16</f>
        <v/>
      </c>
      <c r="D145">
        <f>'11.GROWTH '!D16</f>
        <v/>
      </c>
      <c r="E145">
        <f>'11.GROWTH '!E16</f>
        <v/>
      </c>
      <c r="F145">
        <f>'11.GROWTH '!F16</f>
        <v/>
      </c>
      <c r="G145">
        <f>'11.GROWTH '!G16</f>
        <v/>
      </c>
      <c r="H145">
        <f>IF('11.GROWTH '!H17="","",'11.GROWTH '!H17)</f>
        <v/>
      </c>
      <c r="I145">
        <f>IF('11.GROWTH '!I17="","",'11.GROWTH '!I17)</f>
        <v/>
      </c>
      <c r="J145" s="264">
        <f>IF('11.GROWTH '!J17="","",'11.GROWTH '!J17)</f>
        <v/>
      </c>
      <c r="K145" s="264">
        <f>IF('11.GROWTH '!K17="","",'11.GROWTH '!K17)</f>
        <v/>
      </c>
      <c r="L145" s="264">
        <f>IF('11.GROWTH '!L17="","",'11.GROWTH '!L17)</f>
        <v/>
      </c>
      <c r="M145" s="264">
        <f>IF('11.GROWTH '!M17="","",'11.GROWTH '!M17)</f>
        <v/>
      </c>
      <c r="N145" s="264">
        <f>IF('11.GROWTH '!N17="","",'11.GROWTH '!N17)</f>
        <v/>
      </c>
      <c r="O145" s="264">
        <f>IF('11.GROWTH '!O17="","",'11.GROWTH '!O17)</f>
        <v/>
      </c>
      <c r="P145" s="264">
        <f>IF('11.GROWTH '!P17="","",'11.GROWTH '!P17)</f>
        <v/>
      </c>
      <c r="Q145" s="264">
        <f>IF('11.GROWTH '!Q17="","",'11.GROWTH '!Q17)</f>
        <v/>
      </c>
      <c r="R145" s="264">
        <f>IF('11.GROWTH '!R17="","",'11.GROWTH '!R17)</f>
        <v/>
      </c>
      <c r="S145" s="264">
        <f>IF('11.GROWTH '!S17="","",'11.GROWTH '!S17)</f>
        <v/>
      </c>
      <c r="T145" s="264">
        <f>IF('11.GROWTH '!T17="","",'11.GROWTH '!T17)</f>
        <v/>
      </c>
    </row>
    <row r="146">
      <c r="A146">
        <f>'11.GROWTH '!A18</f>
        <v/>
      </c>
      <c r="B146">
        <f>'11.GROWTH '!B18</f>
        <v/>
      </c>
      <c r="C146">
        <f>'11.GROWTH '!C18</f>
        <v/>
      </c>
      <c r="D146">
        <f>'11.GROWTH '!D18</f>
        <v/>
      </c>
      <c r="E146">
        <f>'11.GROWTH '!E18</f>
        <v/>
      </c>
      <c r="F146">
        <f>'11.GROWTH '!F18</f>
        <v/>
      </c>
      <c r="G146">
        <f>'11.GROWTH '!G18</f>
        <v/>
      </c>
      <c r="H146">
        <f>IF('11.GROWTH '!H18="","",'11.GROWTH '!H18)</f>
        <v/>
      </c>
      <c r="I146">
        <f>IF('11.GROWTH '!I18="","",'11.GROWTH '!I18)</f>
        <v/>
      </c>
      <c r="J146">
        <f>IF('11.GROWTH '!J18="","",'11.GROWTH '!J18)</f>
        <v/>
      </c>
      <c r="K146">
        <f>IF('11.GROWTH '!K18="","",'11.GROWTH '!K18)</f>
        <v/>
      </c>
      <c r="L146">
        <f>IF('11.GROWTH '!L18="","",'11.GROWTH '!L18)</f>
        <v/>
      </c>
      <c r="M146">
        <f>IF('11.GROWTH '!M18="","",'11.GROWTH '!M18)</f>
        <v/>
      </c>
      <c r="N146">
        <f>IF('11.GROWTH '!N18="","",'11.GROWTH '!N18)</f>
        <v/>
      </c>
      <c r="O146">
        <f>IF('11.GROWTH '!O18="","",'11.GROWTH '!O18)</f>
        <v/>
      </c>
      <c r="P146">
        <f>IF('11.GROWTH '!P18="","",'11.GROWTH '!P18)</f>
        <v/>
      </c>
      <c r="Q146">
        <f>IF('11.GROWTH '!Q18="","",'11.GROWTH '!Q18)</f>
        <v/>
      </c>
      <c r="R146">
        <f>IF('11.GROWTH '!R18="","",'11.GROWTH '!R18)</f>
        <v/>
      </c>
      <c r="S146">
        <f>IF('11.GROWTH '!S18="","",'11.GROWTH '!S18)</f>
        <v/>
      </c>
      <c r="T146">
        <f>IF('11.GROWTH '!T18="","",'11.GROWTH '!T18)</f>
        <v/>
      </c>
    </row>
    <row r="147">
      <c r="A147">
        <f>'11.GROWTH '!A18</f>
        <v/>
      </c>
      <c r="B147">
        <f>'11.GROWTH '!B18</f>
        <v/>
      </c>
      <c r="C147">
        <f>'11.GROWTH '!C18</f>
        <v/>
      </c>
      <c r="D147">
        <f>'11.GROWTH '!D18</f>
        <v/>
      </c>
      <c r="E147">
        <f>'11.GROWTH '!E18</f>
        <v/>
      </c>
      <c r="F147">
        <f>'11.GROWTH '!F18</f>
        <v/>
      </c>
      <c r="G147">
        <f>'11.GROWTH '!G18</f>
        <v/>
      </c>
      <c r="H147">
        <f>IF('11.GROWTH '!H19="","",'11.GROWTH '!H19)</f>
        <v/>
      </c>
      <c r="I147">
        <f>IF('11.GROWTH '!I19="","",'11.GROWTH '!I19)</f>
        <v/>
      </c>
      <c r="J147">
        <f>IF('11.GROWTH '!J19="","",'11.GROWTH '!J19)</f>
        <v/>
      </c>
      <c r="K147">
        <f>IF('11.GROWTH '!K19="","",'11.GROWTH '!K19)</f>
        <v/>
      </c>
      <c r="L147">
        <f>IF('11.GROWTH '!L19="","",'11.GROWTH '!L19)</f>
        <v/>
      </c>
      <c r="M147">
        <f>IF('11.GROWTH '!M19="","",'11.GROWTH '!M19)</f>
        <v/>
      </c>
      <c r="N147">
        <f>IF('11.GROWTH '!N19="","",'11.GROWTH '!N19)</f>
        <v/>
      </c>
      <c r="O147">
        <f>IF('11.GROWTH '!O19="","",'11.GROWTH '!O19)</f>
        <v/>
      </c>
      <c r="P147">
        <f>IF('11.GROWTH '!P19="","",'11.GROWTH '!P19)</f>
        <v/>
      </c>
      <c r="Q147">
        <f>IF('11.GROWTH '!Q19="","",'11.GROWTH '!Q19)</f>
        <v/>
      </c>
      <c r="R147">
        <f>IF('11.GROWTH '!R19="","",'11.GROWTH '!R19)</f>
        <v/>
      </c>
      <c r="S147">
        <f>IF('11.GROWTH '!S19="","",'11.GROWTH '!S19)</f>
        <v/>
      </c>
      <c r="T147">
        <f>IF('11.GROWTH '!T19="","",'11.GROWTH '!T19)</f>
        <v/>
      </c>
    </row>
    <row r="148">
      <c r="A148">
        <f>'11.GROWTH '!A20</f>
        <v/>
      </c>
      <c r="B148">
        <f>'11.GROWTH '!B20</f>
        <v/>
      </c>
      <c r="C148">
        <f>'11.GROWTH '!C20</f>
        <v/>
      </c>
      <c r="D148">
        <f>'11.GROWTH '!D20</f>
        <v/>
      </c>
      <c r="E148">
        <f>'11.GROWTH '!E20</f>
        <v/>
      </c>
      <c r="F148">
        <f>'11.GROWTH '!F20</f>
        <v/>
      </c>
      <c r="G148">
        <f>'11.GROWTH '!G20</f>
        <v/>
      </c>
      <c r="H148">
        <f>IF('11.GROWTH '!H20="","",'11.GROWTH '!H20)</f>
        <v/>
      </c>
      <c r="I148">
        <f>IF('11.GROWTH '!I20="","",'11.GROWTH '!I20)</f>
        <v/>
      </c>
      <c r="J148" s="264">
        <f>IF('11.GROWTH '!J20="","",'11.GROWTH '!J20)</f>
        <v/>
      </c>
      <c r="K148" s="264">
        <f>IF('11.GROWTH '!K20="","",'11.GROWTH '!K20)</f>
        <v/>
      </c>
      <c r="L148" s="264">
        <f>IF('11.GROWTH '!L20="","",'11.GROWTH '!L20)</f>
        <v/>
      </c>
      <c r="M148" s="264">
        <f>IF('11.GROWTH '!M20="","",'11.GROWTH '!M20)</f>
        <v/>
      </c>
      <c r="N148" s="264">
        <f>IF('11.GROWTH '!N20="","",'11.GROWTH '!N20)</f>
        <v/>
      </c>
      <c r="O148" s="264">
        <f>IF('11.GROWTH '!O20="","",'11.GROWTH '!O20)</f>
        <v/>
      </c>
      <c r="P148" s="264">
        <f>IF('11.GROWTH '!P20="","",'11.GROWTH '!P20)</f>
        <v/>
      </c>
      <c r="Q148" s="264">
        <f>IF('11.GROWTH '!Q20="","",'11.GROWTH '!Q20)</f>
        <v/>
      </c>
      <c r="R148" s="264">
        <f>IF('11.GROWTH '!R20="","",'11.GROWTH '!R20)</f>
        <v/>
      </c>
      <c r="S148" s="264">
        <f>IF('11.GROWTH '!S20="","",'11.GROWTH '!S20)</f>
        <v/>
      </c>
      <c r="T148" s="264">
        <f>IF('11.GROWTH '!T20="","",'11.GROWTH '!T20)</f>
        <v/>
      </c>
    </row>
    <row r="149">
      <c r="A149">
        <f>'11.GROWTH '!A20</f>
        <v/>
      </c>
      <c r="B149">
        <f>'11.GROWTH '!B20</f>
        <v/>
      </c>
      <c r="C149">
        <f>'11.GROWTH '!C20</f>
        <v/>
      </c>
      <c r="D149">
        <f>'11.GROWTH '!D20</f>
        <v/>
      </c>
      <c r="E149">
        <f>'11.GROWTH '!E20</f>
        <v/>
      </c>
      <c r="F149">
        <f>'11.GROWTH '!F20</f>
        <v/>
      </c>
      <c r="G149">
        <f>'11.GROWTH '!G20</f>
        <v/>
      </c>
      <c r="H149">
        <f>IF('11.GROWTH '!H21="","",'11.GROWTH '!H21)</f>
        <v/>
      </c>
      <c r="I149">
        <f>IF('11.GROWTH '!I21="","",'11.GROWTH '!I21)</f>
        <v/>
      </c>
      <c r="J149" s="264">
        <f>IF('11.GROWTH '!J21="","",'11.GROWTH '!J21)</f>
        <v/>
      </c>
      <c r="K149" s="264">
        <f>IF('11.GROWTH '!K21="","",'11.GROWTH '!K21)</f>
        <v/>
      </c>
      <c r="L149" s="264">
        <f>IF('11.GROWTH '!L21="","",'11.GROWTH '!L21)</f>
        <v/>
      </c>
      <c r="M149" s="264">
        <f>IF('11.GROWTH '!M21="","",'11.GROWTH '!M21)</f>
        <v/>
      </c>
      <c r="N149" s="264">
        <f>IF('11.GROWTH '!N21="","",'11.GROWTH '!N21)</f>
        <v/>
      </c>
      <c r="O149" s="264">
        <f>IF('11.GROWTH '!O21="","",'11.GROWTH '!O21)</f>
        <v/>
      </c>
      <c r="P149" s="264">
        <f>IF('11.GROWTH '!P21="","",'11.GROWTH '!P21)</f>
        <v/>
      </c>
      <c r="Q149" s="264">
        <f>IF('11.GROWTH '!Q21="","",'11.GROWTH '!Q21)</f>
        <v/>
      </c>
      <c r="R149" s="264">
        <f>IF('11.GROWTH '!R21="","",'11.GROWTH '!R21)</f>
        <v/>
      </c>
      <c r="S149" s="264">
        <f>IF('11.GROWTH '!S21="","",'11.GROWTH '!S21)</f>
        <v/>
      </c>
      <c r="T149" s="264">
        <f>IF('11.GROWTH '!T21="","",'11.GROWTH '!T21)</f>
        <v/>
      </c>
    </row>
    <row r="150">
      <c r="A150">
        <f>'11.GROWTH '!A22</f>
        <v/>
      </c>
      <c r="B150">
        <f>'11.GROWTH '!B22</f>
        <v/>
      </c>
      <c r="C150">
        <f>'11.GROWTH '!C22</f>
        <v/>
      </c>
      <c r="D150">
        <f>'11.GROWTH '!D22</f>
        <v/>
      </c>
      <c r="E150">
        <f>'11.GROWTH '!E22</f>
        <v/>
      </c>
      <c r="F150">
        <f>'11.GROWTH '!F22</f>
        <v/>
      </c>
      <c r="G150">
        <f>'11.GROWTH '!G22</f>
        <v/>
      </c>
      <c r="H150">
        <f>IF('11.GROWTH '!H22="","",'11.GROWTH '!H22)</f>
        <v/>
      </c>
      <c r="I150">
        <f>IF('11.GROWTH '!I22="","",'11.GROWTH '!I22)</f>
        <v/>
      </c>
      <c r="J150">
        <f>IF('11.GROWTH '!J22="","",'11.GROWTH '!J22)</f>
        <v/>
      </c>
      <c r="K150">
        <f>IF('11.GROWTH '!K22="","",'11.GROWTH '!K22)</f>
        <v/>
      </c>
      <c r="L150">
        <f>IF('11.GROWTH '!L22="","",'11.GROWTH '!L22)</f>
        <v/>
      </c>
      <c r="M150">
        <f>IF('11.GROWTH '!M22="","",'11.GROWTH '!M22)</f>
        <v/>
      </c>
      <c r="N150">
        <f>IF('11.GROWTH '!N22="","",'11.GROWTH '!N22)</f>
        <v/>
      </c>
      <c r="O150">
        <f>IF('11.GROWTH '!O22="","",'11.GROWTH '!O22)</f>
        <v/>
      </c>
      <c r="P150">
        <f>IF('11.GROWTH '!P22="","",'11.GROWTH '!P22)</f>
        <v/>
      </c>
      <c r="Q150">
        <f>IF('11.GROWTH '!Q22="","",'11.GROWTH '!Q22)</f>
        <v/>
      </c>
      <c r="R150">
        <f>IF('11.GROWTH '!R22="","",'11.GROWTH '!R22)</f>
        <v/>
      </c>
      <c r="S150">
        <f>IF('11.GROWTH '!S22="","",'11.GROWTH '!S22)</f>
        <v/>
      </c>
      <c r="T150">
        <f>IF('11.GROWTH '!T22="","",'11.GROWTH '!T22)</f>
        <v/>
      </c>
    </row>
    <row r="151">
      <c r="A151">
        <f>'11.GROWTH '!A22</f>
        <v/>
      </c>
      <c r="B151">
        <f>'11.GROWTH '!B22</f>
        <v/>
      </c>
      <c r="C151">
        <f>'11.GROWTH '!C22</f>
        <v/>
      </c>
      <c r="D151">
        <f>'11.GROWTH '!D22</f>
        <v/>
      </c>
      <c r="E151">
        <f>'11.GROWTH '!E22</f>
        <v/>
      </c>
      <c r="F151">
        <f>'11.GROWTH '!F22</f>
        <v/>
      </c>
      <c r="G151">
        <f>'11.GROWTH '!G22</f>
        <v/>
      </c>
      <c r="H151">
        <f>IF('11.GROWTH '!H23="","",'11.GROWTH '!H23)</f>
        <v/>
      </c>
      <c r="I151">
        <f>IF('11.GROWTH '!I23="","",'11.GROWTH '!I23)</f>
        <v/>
      </c>
      <c r="J151">
        <f>IF('11.GROWTH '!J23="","",'11.GROWTH '!J23)</f>
        <v/>
      </c>
      <c r="K151">
        <f>IF('11.GROWTH '!K23="","",'11.GROWTH '!K23)</f>
        <v/>
      </c>
      <c r="L151">
        <f>IF('11.GROWTH '!L23="","",'11.GROWTH '!L23)</f>
        <v/>
      </c>
      <c r="M151">
        <f>IF('11.GROWTH '!M23="","",'11.GROWTH '!M23)</f>
        <v/>
      </c>
      <c r="N151">
        <f>IF('11.GROWTH '!N23="","",'11.GROWTH '!N23)</f>
        <v/>
      </c>
      <c r="O151">
        <f>IF('11.GROWTH '!O23="","",'11.GROWTH '!O23)</f>
        <v/>
      </c>
      <c r="P151">
        <f>IF('11.GROWTH '!P23="","",'11.GROWTH '!P23)</f>
        <v/>
      </c>
      <c r="Q151">
        <f>IF('11.GROWTH '!Q23="","",'11.GROWTH '!Q23)</f>
        <v/>
      </c>
      <c r="R151">
        <f>IF('11.GROWTH '!R23="","",'11.GROWTH '!R23)</f>
        <v/>
      </c>
      <c r="S151">
        <f>IF('11.GROWTH '!S23="","",'11.GROWTH '!S23)</f>
        <v/>
      </c>
      <c r="T151">
        <f>IF('11.GROWTH '!T23="","",'11.GROWTH '!T23)</f>
        <v/>
      </c>
    </row>
    <row r="152">
      <c r="A152">
        <f>'11.GROWTH '!A24</f>
        <v/>
      </c>
      <c r="B152">
        <f>'11.GROWTH '!B24</f>
        <v/>
      </c>
      <c r="C152">
        <f>'11.GROWTH '!C24</f>
        <v/>
      </c>
      <c r="D152">
        <f>'11.GROWTH '!D24</f>
        <v/>
      </c>
      <c r="E152">
        <f>'11.GROWTH '!E24</f>
        <v/>
      </c>
      <c r="F152">
        <f>'11.GROWTH '!F24</f>
        <v/>
      </c>
      <c r="G152">
        <f>'11.GROWTH '!G24</f>
        <v/>
      </c>
      <c r="H152">
        <f>IF('11.GROWTH '!H24="","",'11.GROWTH '!H24)</f>
        <v/>
      </c>
      <c r="I152">
        <f>IF('11.GROWTH '!I24="","",'11.GROWTH '!I24)</f>
        <v/>
      </c>
      <c r="J152" s="264">
        <f>IF('11.GROWTH '!J24="","",'11.GROWTH '!J24)</f>
        <v/>
      </c>
      <c r="K152" s="264">
        <f>IF('11.GROWTH '!K24="","",'11.GROWTH '!K24)</f>
        <v/>
      </c>
      <c r="L152" s="264">
        <f>IF('11.GROWTH '!L24="","",'11.GROWTH '!L24)</f>
        <v/>
      </c>
      <c r="M152" s="264">
        <f>IF('11.GROWTH '!M24="","",'11.GROWTH '!M24)</f>
        <v/>
      </c>
      <c r="N152" s="264">
        <f>IF('11.GROWTH '!N24="","",'11.GROWTH '!N24)</f>
        <v/>
      </c>
      <c r="O152" s="264">
        <f>IF('11.GROWTH '!O24="","",'11.GROWTH '!O24)</f>
        <v/>
      </c>
      <c r="P152" s="264">
        <f>IF('11.GROWTH '!P24="","",'11.GROWTH '!P24)</f>
        <v/>
      </c>
      <c r="Q152" s="264">
        <f>IF('11.GROWTH '!Q24="","",'11.GROWTH '!Q24)</f>
        <v/>
      </c>
      <c r="R152" s="264">
        <f>IF('11.GROWTH '!R24="","",'11.GROWTH '!R24)</f>
        <v/>
      </c>
      <c r="S152" s="264">
        <f>IF('11.GROWTH '!S24="","",'11.GROWTH '!S24)</f>
        <v/>
      </c>
      <c r="T152" s="264">
        <f>IF('11.GROWTH '!T24="","",'11.GROWTH '!T24)</f>
        <v/>
      </c>
    </row>
    <row r="153">
      <c r="A153">
        <f>'11.GROWTH '!A24</f>
        <v/>
      </c>
      <c r="B153">
        <f>'11.GROWTH '!B24</f>
        <v/>
      </c>
      <c r="C153">
        <f>'11.GROWTH '!C24</f>
        <v/>
      </c>
      <c r="D153">
        <f>'11.GROWTH '!D24</f>
        <v/>
      </c>
      <c r="E153">
        <f>'11.GROWTH '!E24</f>
        <v/>
      </c>
      <c r="F153">
        <f>'11.GROWTH '!F24</f>
        <v/>
      </c>
      <c r="G153">
        <f>'11.GROWTH '!G24</f>
        <v/>
      </c>
      <c r="H153">
        <f>IF('11.GROWTH '!H25="","",'11.GROWTH '!H25)</f>
        <v/>
      </c>
      <c r="I153">
        <f>IF('11.GROWTH '!I25="","",'11.GROWTH '!I25)</f>
        <v/>
      </c>
      <c r="J153" s="264">
        <f>IF('11.GROWTH '!J25="","",'11.GROWTH '!J25)</f>
        <v/>
      </c>
      <c r="K153" s="264">
        <f>IF('11.GROWTH '!K25="","",'11.GROWTH '!K25)</f>
        <v/>
      </c>
      <c r="L153" s="264">
        <f>IF('11.GROWTH '!L25="","",'11.GROWTH '!L25)</f>
        <v/>
      </c>
      <c r="M153" s="264">
        <f>IF('11.GROWTH '!M25="","",'11.GROWTH '!M25)</f>
        <v/>
      </c>
      <c r="N153" s="264">
        <f>IF('11.GROWTH '!N25="","",'11.GROWTH '!N25)</f>
        <v/>
      </c>
      <c r="O153" s="264">
        <f>IF('11.GROWTH '!O25="","",'11.GROWTH '!O25)</f>
        <v/>
      </c>
      <c r="P153" s="264">
        <f>IF('11.GROWTH '!P25="","",'11.GROWTH '!P25)</f>
        <v/>
      </c>
      <c r="Q153" s="264">
        <f>IF('11.GROWTH '!Q25="","",'11.GROWTH '!Q25)</f>
        <v/>
      </c>
      <c r="R153" s="264">
        <f>IF('11.GROWTH '!R25="","",'11.GROWTH '!R25)</f>
        <v/>
      </c>
      <c r="S153" s="264">
        <f>IF('11.GROWTH '!S25="","",'11.GROWTH '!S25)</f>
        <v/>
      </c>
      <c r="T153" s="264">
        <f>IF('11.GROWTH '!T25="","",'11.GROWTH '!T25)</f>
        <v/>
      </c>
    </row>
    <row r="154">
      <c r="A154">
        <f>'11.GROWTH '!A26</f>
        <v/>
      </c>
      <c r="B154">
        <f>'11.GROWTH '!B26</f>
        <v/>
      </c>
      <c r="C154">
        <f>'11.GROWTH '!C26</f>
        <v/>
      </c>
      <c r="D154">
        <f>'11.GROWTH '!D26</f>
        <v/>
      </c>
      <c r="E154">
        <f>'11.GROWTH '!E26</f>
        <v/>
      </c>
      <c r="F154">
        <f>'11.GROWTH '!F26</f>
        <v/>
      </c>
      <c r="G154">
        <f>'11.GROWTH '!G26</f>
        <v/>
      </c>
      <c r="H154">
        <f>IF('11.GROWTH '!H26="","",'11.GROWTH '!H26)</f>
        <v/>
      </c>
      <c r="I154">
        <f>IF('11.GROWTH '!I26="","",'11.GROWTH '!I26)</f>
        <v/>
      </c>
      <c r="J154" s="264">
        <f>IF('11.GROWTH '!J26="","",'11.GROWTH '!J26)</f>
        <v/>
      </c>
      <c r="K154" s="264">
        <f>IF('11.GROWTH '!K26="","",'11.GROWTH '!K26)</f>
        <v/>
      </c>
      <c r="L154" s="264">
        <f>IF('11.GROWTH '!L26="","",'11.GROWTH '!L26)</f>
        <v/>
      </c>
      <c r="M154" s="264">
        <f>IF('11.GROWTH '!M26="","",'11.GROWTH '!M26)</f>
        <v/>
      </c>
      <c r="N154" s="264">
        <f>IF('11.GROWTH '!N26="","",'11.GROWTH '!N26)</f>
        <v/>
      </c>
      <c r="O154" s="264">
        <f>IF('11.GROWTH '!O26="","",'11.GROWTH '!O26)</f>
        <v/>
      </c>
      <c r="P154" s="264">
        <f>IF('11.GROWTH '!P26="","",'11.GROWTH '!P26)</f>
        <v/>
      </c>
      <c r="Q154" s="264">
        <f>IF('11.GROWTH '!Q26="","",'11.GROWTH '!Q26)</f>
        <v/>
      </c>
      <c r="R154" s="264">
        <f>IF('11.GROWTH '!R26="","",'11.GROWTH '!R26)</f>
        <v/>
      </c>
      <c r="S154" s="264">
        <f>IF('11.GROWTH '!S26="","",'11.GROWTH '!S26)</f>
        <v/>
      </c>
      <c r="T154" s="264">
        <f>IF('11.GROWTH '!T26="","",'11.GROWTH '!T26)</f>
        <v/>
      </c>
    </row>
    <row r="155">
      <c r="A155">
        <f>'11.GROWTH '!A26</f>
        <v/>
      </c>
      <c r="B155">
        <f>'11.GROWTH '!B26</f>
        <v/>
      </c>
      <c r="C155">
        <f>'11.GROWTH '!C26</f>
        <v/>
      </c>
      <c r="D155">
        <f>'11.GROWTH '!D26</f>
        <v/>
      </c>
      <c r="E155">
        <f>'11.GROWTH '!E26</f>
        <v/>
      </c>
      <c r="F155">
        <f>'11.GROWTH '!F26</f>
        <v/>
      </c>
      <c r="G155">
        <f>'11.GROWTH '!G26</f>
        <v/>
      </c>
      <c r="H155">
        <f>IF('11.GROWTH '!H27="","",'11.GROWTH '!H27)</f>
        <v/>
      </c>
      <c r="I155">
        <f>IF('11.GROWTH '!I27="","",'11.GROWTH '!I27)</f>
        <v/>
      </c>
      <c r="J155" s="264">
        <f>IF('11.GROWTH '!J27="","",'11.GROWTH '!J27)</f>
        <v/>
      </c>
      <c r="K155" s="264">
        <f>IF('11.GROWTH '!K27="","",'11.GROWTH '!K27)</f>
        <v/>
      </c>
      <c r="L155" s="264">
        <f>IF('11.GROWTH '!L27="","",'11.GROWTH '!L27)</f>
        <v/>
      </c>
      <c r="M155" s="264">
        <f>IF('11.GROWTH '!M27="","",'11.GROWTH '!M27)</f>
        <v/>
      </c>
      <c r="N155" s="264">
        <f>IF('11.GROWTH '!N27="","",'11.GROWTH '!N27)</f>
        <v/>
      </c>
      <c r="O155" s="264">
        <f>IF('11.GROWTH '!O27="","",'11.GROWTH '!O27)</f>
        <v/>
      </c>
      <c r="P155" s="264">
        <f>IF('11.GROWTH '!P27="","",'11.GROWTH '!P27)</f>
        <v/>
      </c>
      <c r="Q155" s="264">
        <f>IF('11.GROWTH '!Q27="","",'11.GROWTH '!Q27)</f>
        <v/>
      </c>
      <c r="R155" s="264">
        <f>IF('11.GROWTH '!R27="","",'11.GROWTH '!R27)</f>
        <v/>
      </c>
      <c r="S155" s="264">
        <f>IF('11.GROWTH '!S27="","",'11.GROWTH '!S27)</f>
        <v/>
      </c>
      <c r="T155" s="264">
        <f>IF('11.GROWTH '!T27="","",'11.GROWTH '!T27)</f>
        <v/>
      </c>
    </row>
    <row r="156">
      <c r="E156" t="inlineStr">
        <is>
          <t xml:space="preserve">
</t>
        </is>
      </c>
    </row>
  </sheetData>
  <pageMargins left="0.7" right="0.7" top="0.75" bottom="0.75" header="0.3" footer="0.3"/>
  <tableParts count="12">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s>
</worksheet>
</file>

<file path=xl/worksheets/sheet3.xml><?xml version="1.0" encoding="utf-8"?>
<worksheet xmlns="http://schemas.openxmlformats.org/spreadsheetml/2006/main">
  <sheetPr codeName="Sheet2">
    <outlinePr summaryBelow="1" summaryRight="1"/>
    <pageSetUpPr/>
  </sheetPr>
  <dimension ref="A1:AI109"/>
  <sheetViews>
    <sheetView tabSelected="1" zoomScale="90" zoomScaleNormal="90" workbookViewId="0">
      <pane xSplit="1" ySplit="5" topLeftCell="I6" activePane="bottomRight" state="frozen"/>
      <selection pane="bottomRight" activeCell="P9" sqref="P9"/>
      <selection pane="bottomLeft" activeCell="A6" sqref="A6"/>
      <selection pane="topRight" activeCell="B1" sqref="B1"/>
    </sheetView>
  </sheetViews>
  <sheetFormatPr baseColWidth="8" defaultRowHeight="14.45"/>
  <cols>
    <col width="38.5703125" customWidth="1" min="1" max="1"/>
    <col width="25" customWidth="1" style="269" min="2" max="2"/>
    <col width="25" customWidth="1" min="3" max="3"/>
    <col width="27.5703125" bestFit="1" customWidth="1" min="4" max="4"/>
    <col width="15.5703125" customWidth="1" min="5" max="5"/>
    <col width="17.5703125" customWidth="1" min="6" max="6"/>
    <col width="10.5703125" customWidth="1" min="7" max="7"/>
    <col width="14.5703125" customWidth="1" min="8" max="8"/>
    <col width="15.42578125" customWidth="1" min="9" max="9"/>
    <col width="16.42578125" customWidth="1" min="10" max="10"/>
    <col width="17" customWidth="1" min="11" max="11"/>
    <col width="16.5703125" customWidth="1" min="12" max="12"/>
    <col width="15.5703125" customWidth="1" min="13" max="13"/>
    <col width="16" customWidth="1" min="14" max="14"/>
    <col width="17" customWidth="1" min="15" max="15"/>
    <col width="17.5703125" customWidth="1" min="16" max="16"/>
    <col width="14.5703125" customWidth="1" min="17" max="17"/>
    <col width="14.42578125" customWidth="1" min="18" max="18"/>
    <col width="14.5703125" customWidth="1" min="19" max="19"/>
    <col width="14.42578125" customWidth="1" min="20" max="20"/>
    <col width="13.5703125" customWidth="1" min="21" max="21"/>
    <col width="9.42578125" customWidth="1" min="22" max="22"/>
    <col hidden="1" width="11.5703125" customWidth="1" min="23" max="23"/>
    <col hidden="1" width="5.42578125" customWidth="1" min="24" max="24"/>
    <col hidden="1" width="14.42578125" customWidth="1" min="25" max="25"/>
    <col hidden="1" width="8.5703125" customWidth="1" min="26" max="35"/>
    <col width="9.42578125" customWidth="1" min="36" max="36"/>
    <col width="8.5703125" customWidth="1" min="37" max="49"/>
  </cols>
  <sheetData>
    <row r="1" ht="19.35" customHeight="1">
      <c r="A1" s="12" t="inlineStr">
        <is>
          <t>Month</t>
        </is>
      </c>
      <c r="B1" s="666" t="n">
        <v>46023</v>
      </c>
      <c r="C1" s="12" t="inlineStr">
        <is>
          <t xml:space="preserve">MT Owner: </t>
        </is>
      </c>
      <c r="D1" s="121" t="inlineStr">
        <is>
          <t>Neena S</t>
        </is>
      </c>
      <c r="E1" s="12" t="inlineStr">
        <is>
          <t>MT Delegate:</t>
        </is>
      </c>
      <c r="F1" s="39" t="n"/>
      <c r="W1" t="inlineStr">
        <is>
          <t>Actual green</t>
        </is>
      </c>
      <c r="X1">
        <f>IF(I21&lt;&gt;"",IF($F20="Higher the better",IF(I21&gt;=I20,I21,NA()),IF(I21&lt;=I20,I21,NA())),NA())</f>
        <v/>
      </c>
      <c r="Y1">
        <f>IF(J21&lt;&gt;"",IF($F20="Higher the better",IF(J21&gt;=J20,J21,NA()),IF(J21&lt;=J20,J21,NA())),NA())</f>
        <v/>
      </c>
      <c r="Z1">
        <f>IF(K21&lt;&gt;"",IF($F20="Higher the better",IF(K21&gt;=K20,K21,NA()),IF(K21&lt;=K20,K21,NA())),NA())</f>
        <v/>
      </c>
      <c r="AA1">
        <f>IF(L21&lt;&gt;"",IF($F20="Higher the better",IF(L21&gt;=L20,L21,NA()),IF(L21&lt;=L20,L21,NA())),NA())</f>
        <v/>
      </c>
      <c r="AB1">
        <f>IF(M21&lt;&gt;"",IF($F20="Higher the better",IF(M21&gt;=M20,M21,NA()),IF(M21&lt;=M20,M21,NA())),NA())</f>
        <v/>
      </c>
      <c r="AC1">
        <f>IF(N21&lt;&gt;"",IF($F20="Higher the better",IF(N21&gt;=N20,N21,NA()),IF(N21&lt;=N20,N21,NA())),NA())</f>
        <v/>
      </c>
      <c r="AD1">
        <f>IF(O21&lt;&gt;"",IF($F20="Higher the better",IF(O21&gt;=O20,O21,NA()),IF(O21&lt;=O20,O21,NA())),NA())</f>
        <v/>
      </c>
      <c r="AE1">
        <f>IF(P21&lt;&gt;"",IF($F20="Higher the better",IF(P21&gt;=P20,P21,NA()),IF(P21&lt;=P20,P21,NA())),NA())</f>
        <v/>
      </c>
      <c r="AF1">
        <f>IF(Q21&lt;&gt;"",IF($F20="Higher the better",IF(Q21&gt;=Q20,Q21,NA()),IF(Q21&lt;=Q20,Q21,NA())),NA())</f>
        <v/>
      </c>
      <c r="AG1">
        <f>IF(R21&lt;&gt;"",IF($F20="Higher the better",IF(R21&gt;=R20,R21,NA()),IF(R21&lt;=R20,R21,NA())),NA())</f>
        <v/>
      </c>
      <c r="AH1">
        <f>IF(S21&lt;&gt;"",IF($F20="Higher the better",IF(S21&gt;=S20,S21,NA()),IF(S21&lt;=S20,S21,NA())),NA())</f>
        <v/>
      </c>
      <c r="AI1">
        <f>IF(T21&lt;&gt;"",IF($F20="Higher the better",IF(T21&gt;=T20,T21,NA()),IF(T21&lt;=T20,T21,NA())),NA())</f>
        <v/>
      </c>
    </row>
    <row r="2" ht="19.35" customHeight="1">
      <c r="A2" s="13" t="n"/>
      <c r="B2" s="683" t="n"/>
      <c r="D2" s="13" t="n"/>
      <c r="E2" s="13" t="n"/>
      <c r="W2" t="inlineStr">
        <is>
          <t>Actual red</t>
        </is>
      </c>
      <c r="X2">
        <f>IF(I21&lt;&gt;"",IF($F20="Higher the better",IF(I21&lt;I20,I21,NA()),IF(I21&gt;I20,I21,NA())),NA())</f>
        <v/>
      </c>
      <c r="Y2">
        <f>IF(J21&lt;&gt;"",IF($F20="Higher the better",IF(J21&lt;J20,J21,NA()),IF(J21&gt;J20,J21,NA())),NA())</f>
        <v/>
      </c>
      <c r="Z2">
        <f>IF(K21&lt;&gt;"",IF($F20="Higher the better",IF(K21&lt;K20,K21,NA()),IF(K21&gt;K20,K21,NA())),NA())</f>
        <v/>
      </c>
      <c r="AA2">
        <f>IF(L21&lt;&gt;"",IF($F20="Higher the better",IF(L21&lt;L20,L21,NA()),IF(L21&gt;L20,L21,NA())),NA())</f>
        <v/>
      </c>
      <c r="AB2">
        <f>IF(M21&lt;&gt;"",IF($F20="Higher the better",IF(M21&lt;M20,M21,NA()),IF(M21&gt;M20,M21,NA())),NA())</f>
        <v/>
      </c>
      <c r="AC2">
        <f>IF(N21&lt;&gt;"",IF($F20="Higher the better",IF(N21&lt;N20,N21,NA()),IF(N21&gt;N20,N21,NA())),NA())</f>
        <v/>
      </c>
      <c r="AD2">
        <f>IF(O21&lt;&gt;"",IF($F20="Higher the better",IF(O21&lt;O20,O21,NA()),IF(O21&gt;O20,O21,NA())),NA())</f>
        <v/>
      </c>
      <c r="AE2">
        <f>IF(P21&lt;&gt;"",IF($F20="Higher the better",IF(P21&lt;P20,P21,NA()),IF(P21&gt;P20,P21,NA())),NA())</f>
        <v/>
      </c>
      <c r="AF2">
        <f>IF(Q21&lt;&gt;"",IF($F20="Higher the better",IF(Q21&lt;Q20,Q21,NA()),IF(Q21&gt;Q20,Q21,NA())),NA())</f>
        <v/>
      </c>
      <c r="AG2">
        <f>IF(R21&lt;&gt;"",IF($F20="Higher the better",IF(R21&lt;R20,R21,NA()),IF(R21&gt;R20,R21,NA())),NA())</f>
        <v/>
      </c>
      <c r="AH2">
        <f>IF(S21&lt;&gt;"",IF($F20="Higher the better",IF(S21&lt;S20,S21,NA()),IF(S21&gt;S20,S21,NA())),NA())</f>
        <v/>
      </c>
      <c r="AI2">
        <f>IF(T21&lt;&gt;"",IF($F20="Higher the better",IF(T21&lt;T20,T21,NA()),IF(T21&gt;T20,T21,NA())),NA())</f>
        <v/>
      </c>
    </row>
    <row r="3" ht="20.1" customHeight="1">
      <c r="A3" s="449" t="inlineStr">
        <is>
          <t>Patient Safety &amp; Quality DMB</t>
        </is>
      </c>
      <c r="W3" t="inlineStr">
        <is>
          <t>Actual green</t>
        </is>
      </c>
      <c r="X3">
        <f>IF(I23&lt;&gt;"",IF($F22="Higher the better",IF(I23&gt;=I22,I23,NA()),IF(I23&lt;=I22,I23,NA())),NA())</f>
        <v/>
      </c>
      <c r="Y3">
        <f>IF(J23&lt;&gt;"",IF($F22="Higher the better",IF(J23&gt;=J22,J23,NA()),IF(J23&lt;=J22,J23,NA())),NA())</f>
        <v/>
      </c>
      <c r="Z3">
        <f>IF(K23&lt;&gt;"",IF($F22="Higher the better",IF(K23&gt;=K22,K23,NA()),IF(K23&lt;=K22,K23,NA())),NA())</f>
        <v/>
      </c>
      <c r="AA3">
        <f>IF(L23&lt;&gt;"",IF($F22="Higher the better",IF(L23&gt;=L22,L23,NA()),IF(L23&lt;=L22,L23,NA())),NA())</f>
        <v/>
      </c>
      <c r="AB3">
        <f>IF(M23&lt;&gt;"",IF($F22="Higher the better",IF(M23&gt;=M22,M23,NA()),IF(M23&lt;=M22,M23,NA())),NA())</f>
        <v/>
      </c>
      <c r="AC3">
        <f>IF(N23&lt;&gt;"",IF($F22="Higher the better",IF(N23&gt;=N22,N23,NA()),IF(N23&lt;=N22,N23,NA())),NA())</f>
        <v/>
      </c>
      <c r="AD3">
        <f>IF(O23&lt;&gt;"",IF($F22="Higher the better",IF(O23&gt;=O22,O23,NA()),IF(O23&lt;=O22,O23,NA())),NA())</f>
        <v/>
      </c>
      <c r="AE3">
        <f>IF(P23&lt;&gt;"",IF($F22="Higher the better",IF(P23&gt;=P22,P23,NA()),IF(P23&lt;=P22,P23,NA())),NA())</f>
        <v/>
      </c>
      <c r="AF3">
        <f>IF(Q23&lt;&gt;"",IF($F22="Higher the better",IF(Q23&gt;=Q22,Q23,NA()),IF(Q23&lt;=Q22,Q23,NA())),NA())</f>
        <v/>
      </c>
      <c r="AG3">
        <f>IF(R23&lt;&gt;"",IF($F22="Higher the better",IF(R23&gt;=R22,R23,NA()),IF(R23&lt;=R22,R23,NA())),NA())</f>
        <v/>
      </c>
      <c r="AH3">
        <f>IF(S23&lt;&gt;"",IF($F22="Higher the better",IF(S23&gt;=S22,S23,NA()),IF(S23&lt;=S22,S23,NA())),NA())</f>
        <v/>
      </c>
      <c r="AI3">
        <f>IF(T23&lt;&gt;"",IF($F22="Higher the better",IF(T23&gt;=T22,T23,NA()),IF(T23&lt;=T22,T23,NA())),NA())</f>
        <v/>
      </c>
    </row>
    <row r="4" ht="18.6" customHeight="1">
      <c r="A4" s="11" t="inlineStr">
        <is>
          <t>Mandatory Outcome KPI's (1-3)</t>
        </is>
      </c>
      <c r="B4" s="268" t="n"/>
      <c r="W4" t="inlineStr">
        <is>
          <t>Actual red</t>
        </is>
      </c>
      <c r="X4">
        <f t="array" ref="X4">IF(I23&lt;&gt;"",IF($F22="Higher the better",IF(I23&lt;X5I22,I23,NA()),IF(I23&gt;I22,I23,NA())),NA())</f>
        <v/>
      </c>
      <c r="Y4">
        <f>IF(J23&lt;&gt;"",IF($F22="Higher the better",IF(J23&lt;J22,J23,NA()),IF(J23&gt;J22,J23,NA())),NA())</f>
        <v/>
      </c>
      <c r="Z4">
        <f>IF(K23&lt;&gt;"",IF($F22="Higher the better",IF(K23&lt;K22,K23,NA()),IF(K23&gt;K22,K23,NA())),NA())</f>
        <v/>
      </c>
      <c r="AA4">
        <f>IF(L23&lt;&gt;"",IF($F22="Higher the better",IF(L23&lt;L22,L23,NA()),IF(L23&gt;L22,L23,NA())),NA())</f>
        <v/>
      </c>
      <c r="AB4">
        <f>IF(M23&lt;&gt;"",IF($F22="Higher the better",IF(M23&lt;M22,M23,NA()),IF(M23&gt;M22,M23,NA())),NA())</f>
        <v/>
      </c>
      <c r="AC4">
        <f>IF(N23&lt;&gt;"",IF($F22="Higher the better",IF(N23&lt;N22,N23,NA()),IF(N23&gt;N22,N23,NA())),NA())</f>
        <v/>
      </c>
      <c r="AD4">
        <f>IF(O23&lt;&gt;"",IF($F22="Higher the better",IF(O23&lt;O22,O23,NA()),IF(O23&gt;O22,O23,NA())),NA())</f>
        <v/>
      </c>
      <c r="AE4">
        <f>IF(P23&lt;&gt;"",IF($F22="Higher the better",IF(P23&lt;P22,P23,NA()),IF(P23&gt;P22,P23,NA())),NA())</f>
        <v/>
      </c>
      <c r="AF4">
        <f>IF(Q23&lt;&gt;"",IF($F22="Higher the better",IF(Q23&lt;Q22,Q23,NA()),IF(Q23&gt;Q22,Q23,NA())),NA())</f>
        <v/>
      </c>
      <c r="AG4">
        <f>IF(R23&lt;&gt;"",IF($F22="Higher the better",IF(R23&lt;R22,R23,NA()),IF(R23&gt;R22,R23,NA())),NA())</f>
        <v/>
      </c>
      <c r="AH4">
        <f>IF(S23&lt;&gt;"",IF($F22="Higher the better",IF(S23&lt;S22,S23,NA()),IF(S23&gt;S22,S23,NA())),NA())</f>
        <v/>
      </c>
      <c r="AI4">
        <f>IF(T23&lt;&gt;"",IF($F22="Higher the better",IF(T23&lt;T22,T23,NA()),IF(T23&gt;T22,T23,NA())),NA())</f>
        <v/>
      </c>
    </row>
    <row r="5" ht="29.1" customHeight="1">
      <c r="A5" s="267" t="inlineStr">
        <is>
          <t xml:space="preserve">KPI Name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t="inlineStr">
        <is>
          <t>Actual green</t>
        </is>
      </c>
      <c r="X5">
        <f>IF(#REF!&lt;&gt;"",IF(#REF!="Higher the better",IF(#REF!&gt;=#REF!,#REF!,NA()),IF(#REF!&lt;=#REF!,#REF!,NA())),NA())</f>
        <v/>
      </c>
      <c r="Y5">
        <f>IF(#REF!&lt;&gt;"",IF(#REF!="Higher the better",IF(#REF!&gt;=#REF!,#REF!,NA()),IF(#REF!&lt;=#REF!,#REF!,NA())),NA())</f>
        <v/>
      </c>
      <c r="Z5">
        <f>IF(#REF!&lt;&gt;"",IF(#REF!="Higher the better",IF(#REF!&gt;=#REF!,#REF!,NA()),IF(#REF!&lt;=#REF!,#REF!,NA())),NA())</f>
        <v/>
      </c>
      <c r="AA5">
        <f>IF(#REF!&lt;&gt;"",IF(#REF!="Higher the better",IF(#REF!&gt;=#REF!,#REF!,NA()),IF(#REF!&lt;=#REF!,#REF!,NA())),NA())</f>
        <v/>
      </c>
      <c r="AB5">
        <f>IF(#REF!&lt;&gt;"",IF(#REF!="Higher the better",IF(#REF!&gt;=#REF!,#REF!,NA()),IF(#REF!&lt;=#REF!,#REF!,NA())),NA())</f>
        <v/>
      </c>
      <c r="AC5">
        <f>IF(#REF!&lt;&gt;"",IF(#REF!="Higher the better",IF(#REF!&gt;=#REF!,#REF!,NA()),IF(#REF!&lt;=#REF!,#REF!,NA())),NA())</f>
        <v/>
      </c>
      <c r="AD5">
        <f>IF(#REF!&lt;&gt;"",IF(#REF!="Higher the better",IF(#REF!&gt;=#REF!,#REF!,NA()),IF(#REF!&lt;=#REF!,#REF!,NA())),NA())</f>
        <v/>
      </c>
      <c r="AE5">
        <f>IF(#REF!&lt;&gt;"",IF(#REF!="Higher the better",IF(#REF!&gt;=#REF!,#REF!,NA()),IF(#REF!&lt;=#REF!,#REF!,NA())),NA())</f>
        <v/>
      </c>
      <c r="AF5">
        <f>IF(#REF!&lt;&gt;"",IF(#REF!="Higher the better",IF(#REF!&gt;=#REF!,#REF!,NA()),IF(#REF!&lt;=#REF!,#REF!,NA())),NA())</f>
        <v/>
      </c>
      <c r="AG5">
        <f>IF(#REF!&lt;&gt;"",IF(#REF!="Higher the better",IF(#REF!&gt;=#REF!,#REF!,NA()),IF(#REF!&lt;=#REF!,#REF!,NA())),NA())</f>
        <v/>
      </c>
      <c r="AH5">
        <f>IF(#REF!&lt;&gt;"",IF(#REF!="Higher the better",IF(#REF!&gt;=#REF!,#REF!,NA()),IF(#REF!&lt;=#REF!,#REF!,NA())),NA())</f>
        <v/>
      </c>
      <c r="AI5">
        <f>IF(#REF!&lt;&gt;"",IF(#REF!="Higher the better",IF(#REF!&gt;=#REF!,#REF!,NA()),IF(#REF!&lt;=#REF!,#REF!,NA())),NA())</f>
        <v/>
      </c>
    </row>
    <row r="6">
      <c r="A6" s="426" t="inlineStr">
        <is>
          <t>%  CAPA Investigations Currently ≤ 90 days</t>
        </is>
      </c>
      <c r="B6" s="427" t="inlineStr">
        <is>
          <t>Timeliness of investigations</t>
        </is>
      </c>
      <c r="C6" s="230" t="inlineStr">
        <is>
          <t>&gt;=</t>
        </is>
      </c>
      <c r="D6" s="230" t="n">
        <v>90</v>
      </c>
      <c r="E6" s="230" t="inlineStr">
        <is>
          <t>%</t>
        </is>
      </c>
      <c r="F6" s="388" t="inlineStr">
        <is>
          <t>Higher the better</t>
        </is>
      </c>
      <c r="G6" s="230" t="inlineStr">
        <is>
          <t>Monthly</t>
        </is>
      </c>
      <c r="H6" s="14" t="inlineStr">
        <is>
          <t>Target</t>
        </is>
      </c>
      <c r="I6" s="4" t="n">
        <v>0.9</v>
      </c>
      <c r="J6" s="4" t="n">
        <v>0.9</v>
      </c>
      <c r="K6" s="4" t="n">
        <v>0.9</v>
      </c>
      <c r="L6" s="4" t="n">
        <v>0.9</v>
      </c>
      <c r="M6" s="4" t="n">
        <v>0.9</v>
      </c>
      <c r="N6" s="4" t="n">
        <v>0.9</v>
      </c>
      <c r="O6" s="4" t="n">
        <v>0.9</v>
      </c>
      <c r="P6" s="4" t="n">
        <v>0.9</v>
      </c>
      <c r="Q6" s="4" t="n">
        <v>0.9</v>
      </c>
      <c r="R6" s="4" t="n">
        <v>0.9</v>
      </c>
      <c r="S6" s="4" t="n">
        <v>0.9</v>
      </c>
      <c r="T6" s="4" t="n">
        <v>0.9</v>
      </c>
      <c r="W6" t="inlineStr">
        <is>
          <t>Actual red</t>
        </is>
      </c>
      <c r="X6">
        <f>IF(#REF!&lt;&gt;"",IF(#REF!="Higher the better",IF(#REF!&lt;#REF!,#REF!,NA()),IF(#REF!&gt;#REF!,#REF!,NA())),NA())</f>
        <v/>
      </c>
      <c r="Y6">
        <f>IF(#REF!&lt;&gt;"",IF(#REF!="Higher the better",IF(#REF!&lt;#REF!,#REF!,NA()),IF(#REF!&gt;#REF!,#REF!,NA())),NA())</f>
        <v/>
      </c>
      <c r="Z6">
        <f>IF(#REF!&lt;&gt;"",IF(#REF!="Higher the better",IF(#REF!&lt;#REF!,#REF!,NA()),IF(#REF!&gt;#REF!,#REF!,NA())),NA())</f>
        <v/>
      </c>
      <c r="AA6">
        <f>IF(#REF!&lt;&gt;"",IF(#REF!="Higher the better",IF(#REF!&lt;#REF!,#REF!,NA()),IF(#REF!&gt;#REF!,#REF!,NA())),NA())</f>
        <v/>
      </c>
      <c r="AB6">
        <f>IF(#REF!&lt;&gt;"",IF(#REF!="Higher the better",IF(#REF!&lt;#REF!,#REF!,NA()),IF(#REF!&gt;#REF!,#REF!,NA())),NA())</f>
        <v/>
      </c>
      <c r="AC6">
        <f>IF(#REF!&lt;&gt;"",IF(#REF!="Higher the better",IF(#REF!&lt;#REF!,#REF!,NA()),IF(#REF!&gt;#REF!,#REF!,NA())),NA())</f>
        <v/>
      </c>
      <c r="AD6">
        <f>IF(#REF!&lt;&gt;"",IF(#REF!="Higher the better",IF(#REF!&lt;#REF!,#REF!,NA()),IF(#REF!&gt;#REF!,#REF!,NA())),NA())</f>
        <v/>
      </c>
      <c r="AE6">
        <f>IF(#REF!&lt;&gt;"",IF(#REF!="Higher the better",IF(#REF!&lt;#REF!,#REF!,NA()),IF(#REF!&gt;#REF!,#REF!,NA())),NA())</f>
        <v/>
      </c>
      <c r="AF6">
        <f>IF(#REF!&lt;&gt;"",IF(#REF!="Higher the better",IF(#REF!&lt;#REF!,#REF!,NA()),IF(#REF!&gt;#REF!,#REF!,NA())),NA())</f>
        <v/>
      </c>
      <c r="AG6">
        <f>IF(#REF!&lt;&gt;"",IF(#REF!="Higher the better",IF(#REF!&lt;#REF!,#REF!,NA()),IF(#REF!&gt;#REF!,#REF!,NA())),NA())</f>
        <v/>
      </c>
      <c r="AH6">
        <f>IF(#REF!&lt;&gt;"",IF(#REF!="Higher the better",IF(#REF!&lt;#REF!,#REF!,NA()),IF(#REF!&gt;#REF!,#REF!,NA())),NA())</f>
        <v/>
      </c>
      <c r="AI6">
        <f>IF(#REF!&lt;&gt;"",IF(#REF!="Higher the better",IF(#REF!&lt;#REF!,#REF!,NA()),IF(#REF!&gt;#REF!,#REF!,NA())),NA())</f>
        <v/>
      </c>
    </row>
    <row r="7">
      <c r="A7" s="671" t="n"/>
      <c r="B7" s="671" t="n"/>
      <c r="C7" s="671" t="n"/>
      <c r="D7" s="671" t="n"/>
      <c r="E7" s="671" t="n"/>
      <c r="F7" s="671" t="n"/>
      <c r="G7" s="671" t="n"/>
      <c r="H7" s="14" t="inlineStr">
        <is>
          <t>Actual</t>
        </is>
      </c>
      <c r="I7" s="5" t="n">
        <v>1</v>
      </c>
      <c r="J7" s="5" t="n">
        <v>0.75</v>
      </c>
      <c r="K7" s="5" t="n">
        <v>0.4</v>
      </c>
      <c r="L7" s="5" t="n">
        <v>0</v>
      </c>
      <c r="M7" s="5" t="n">
        <v>0</v>
      </c>
      <c r="N7" s="5" t="n">
        <v>0</v>
      </c>
      <c r="O7" s="5" t="n">
        <v>1</v>
      </c>
      <c r="P7" s="5" t="n">
        <v>1</v>
      </c>
      <c r="Q7" s="5" t="n">
        <v>1</v>
      </c>
      <c r="R7" s="5" t="n"/>
      <c r="S7" s="5" t="n"/>
      <c r="T7" s="5" t="n"/>
      <c r="W7" t="inlineStr">
        <is>
          <t>Actual green</t>
        </is>
      </c>
      <c r="X7">
        <f>IF(#REF!&lt;&gt;"",IF(#REF!="Higher the better",IF(#REF!&gt;=#REF!,#REF!,NA()),IF(#REF!&lt;=#REF!,#REF!,NA())),NA())</f>
        <v/>
      </c>
      <c r="Y7">
        <f>IF(#REF!&lt;&gt;"",IF(#REF!="Higher the better",IF(#REF!&gt;=#REF!,#REF!,NA()),IF(#REF!&lt;=#REF!,#REF!,NA())),NA())</f>
        <v/>
      </c>
      <c r="Z7">
        <f>IF(#REF!&lt;&gt;"",IF(#REF!="Higher the better",IF(#REF!&gt;=#REF!,#REF!,NA()),IF(#REF!&lt;=#REF!,#REF!,NA())),NA())</f>
        <v/>
      </c>
      <c r="AA7">
        <f>IF(#REF!&lt;&gt;"",IF(#REF!="Higher the better",IF(#REF!&gt;=#REF!,#REF!,NA()),IF(#REF!&lt;=#REF!,#REF!,NA())),NA())</f>
        <v/>
      </c>
      <c r="AB7">
        <f>IF(#REF!&lt;&gt;"",IF(#REF!="Higher the better",IF(#REF!&gt;=#REF!,#REF!,NA()),IF(#REF!&lt;=#REF!,#REF!,NA())),NA())</f>
        <v/>
      </c>
      <c r="AC7">
        <f>IF(#REF!&lt;&gt;"",IF(#REF!="Higher the better",IF(#REF!&gt;=#REF!,#REF!,NA()),IF(#REF!&lt;=#REF!,#REF!,NA())),NA())</f>
        <v/>
      </c>
      <c r="AD7">
        <f>IF(#REF!&lt;&gt;"",IF(#REF!="Higher the better",IF(#REF!&gt;=#REF!,#REF!,NA()),IF(#REF!&lt;=#REF!,#REF!,NA())),NA())</f>
        <v/>
      </c>
      <c r="AE7">
        <f>IF(#REF!&lt;&gt;"",IF(#REF!="Higher the better",IF(#REF!&gt;=#REF!,#REF!,NA()),IF(#REF!&lt;=#REF!,#REF!,NA())),NA())</f>
        <v/>
      </c>
      <c r="AF7">
        <f>IF(#REF!&lt;&gt;"",IF(#REF!="Higher the better",IF(#REF!&gt;=#REF!,#REF!,NA()),IF(#REF!&lt;=#REF!,#REF!,NA())),NA())</f>
        <v/>
      </c>
      <c r="AG7">
        <f>IF(#REF!&lt;&gt;"",IF(#REF!="Higher the better",IF(#REF!&gt;=#REF!,#REF!,NA()),IF(#REF!&lt;=#REF!,#REF!,NA())),NA())</f>
        <v/>
      </c>
      <c r="AH7">
        <f>IF(#REF!&lt;&gt;"",IF(#REF!="Higher the better",IF(#REF!&gt;=#REF!,#REF!,NA()),IF(#REF!&lt;=#REF!,#REF!,NA())),NA())</f>
        <v/>
      </c>
      <c r="AI7">
        <f>IF(#REF!&lt;&gt;"",IF(#REF!="Higher the better",IF(#REF!&gt;=#REF!,#REF!,NA()),IF(#REF!&lt;=#REF!,#REF!,NA())),NA())</f>
        <v/>
      </c>
    </row>
    <row r="8">
      <c r="A8" s="453" t="inlineStr">
        <is>
          <t>% Complaints Open &gt; 90 days</t>
        </is>
      </c>
      <c r="B8" s="354" t="inlineStr">
        <is>
          <t xml:space="preserve">Measures complaint closures </t>
        </is>
      </c>
      <c r="C8" s="230" t="inlineStr">
        <is>
          <t>&lt;=</t>
        </is>
      </c>
      <c r="D8" s="106" t="inlineStr">
        <is>
          <t>Q1 (8%), Q2 (7%) Q3 (6%) Q4 (5%)</t>
        </is>
      </c>
      <c r="E8" s="230" t="inlineStr">
        <is>
          <t>%</t>
        </is>
      </c>
      <c r="F8" s="388" t="inlineStr">
        <is>
          <t>Lower the better</t>
        </is>
      </c>
      <c r="G8" s="230" t="inlineStr">
        <is>
          <t>Monthly</t>
        </is>
      </c>
      <c r="H8" s="14" t="inlineStr">
        <is>
          <t>Target</t>
        </is>
      </c>
      <c r="I8" s="4" t="n">
        <v>0.08</v>
      </c>
      <c r="J8" s="4" t="n">
        <v>0.08</v>
      </c>
      <c r="K8" s="4" t="n">
        <v>0.08</v>
      </c>
      <c r="L8" s="4" t="n">
        <v>0.07000000000000001</v>
      </c>
      <c r="M8" s="4" t="n">
        <v>0.07000000000000001</v>
      </c>
      <c r="N8" s="4" t="n">
        <v>0.07000000000000001</v>
      </c>
      <c r="O8" s="4" t="n">
        <v>0.06</v>
      </c>
      <c r="P8" s="4" t="n">
        <v>0.06</v>
      </c>
      <c r="Q8" s="4" t="n">
        <v>0.06</v>
      </c>
      <c r="R8" s="4" t="n">
        <v>0.05</v>
      </c>
      <c r="S8" s="4" t="n">
        <v>0.05</v>
      </c>
      <c r="T8" s="4" t="n">
        <v>0.05</v>
      </c>
      <c r="W8" t="inlineStr">
        <is>
          <t>Actual red</t>
        </is>
      </c>
      <c r="X8">
        <f>IF(#REF!&lt;&gt;"",IF(#REF!="Higher the better",IF(#REF!&lt;#REF!,#REF!,NA()),IF(#REF!&gt;#REF!,#REF!,NA())),NA())</f>
        <v/>
      </c>
      <c r="Y8">
        <f>IF(#REF!&lt;&gt;"",IF(#REF!="Higher the better",IF(#REF!&lt;#REF!,#REF!,NA()),IF(#REF!&gt;#REF!,#REF!,NA())),NA())</f>
        <v/>
      </c>
      <c r="Z8">
        <f>IF(#REF!&lt;&gt;"",IF(#REF!="Higher the better",IF(#REF!&lt;#REF!,#REF!,NA()),IF(#REF!&gt;#REF!,#REF!,NA())),NA())</f>
        <v/>
      </c>
      <c r="AA8">
        <f>IF(#REF!&lt;&gt;"",IF(#REF!="Higher the better",IF(#REF!&lt;#REF!,#REF!,NA()),IF(#REF!&gt;#REF!,#REF!,NA())),NA())</f>
        <v/>
      </c>
      <c r="AB8">
        <f>IF(#REF!&lt;&gt;"",IF(#REF!="Higher the better",IF(#REF!&lt;#REF!,#REF!,NA()),IF(#REF!&gt;#REF!,#REF!,NA())),NA())</f>
        <v/>
      </c>
      <c r="AC8">
        <f>IF(#REF!&lt;&gt;"",IF(#REF!="Higher the better",IF(#REF!&lt;#REF!,#REF!,NA()),IF(#REF!&gt;#REF!,#REF!,NA())),NA())</f>
        <v/>
      </c>
      <c r="AD8">
        <f>IF(#REF!&lt;&gt;"",IF(#REF!="Higher the better",IF(#REF!&lt;#REF!,#REF!,NA()),IF(#REF!&gt;#REF!,#REF!,NA())),NA())</f>
        <v/>
      </c>
      <c r="AE8">
        <f>IF(#REF!&lt;&gt;"",IF(#REF!="Higher the better",IF(#REF!&lt;#REF!,#REF!,NA()),IF(#REF!&gt;#REF!,#REF!,NA())),NA())</f>
        <v/>
      </c>
      <c r="AF8">
        <f>IF(#REF!&lt;&gt;"",IF(#REF!="Higher the better",IF(#REF!&lt;#REF!,#REF!,NA()),IF(#REF!&gt;#REF!,#REF!,NA())),NA())</f>
        <v/>
      </c>
      <c r="AG8">
        <f>IF(#REF!&lt;&gt;"",IF(#REF!="Higher the better",IF(#REF!&lt;#REF!,#REF!,NA()),IF(#REF!&gt;#REF!,#REF!,NA())),NA())</f>
        <v/>
      </c>
      <c r="AH8">
        <f>IF(#REF!&lt;&gt;"",IF(#REF!="Higher the better",IF(#REF!&lt;#REF!,#REF!,NA()),IF(#REF!&gt;#REF!,#REF!,NA())),NA())</f>
        <v/>
      </c>
      <c r="AI8">
        <f>IF(#REF!&lt;&gt;"",IF(#REF!="Higher the better",IF(#REF!&lt;#REF!,#REF!,NA()),IF(#REF!&gt;#REF!,#REF!,NA())),NA())</f>
        <v/>
      </c>
    </row>
    <row r="9">
      <c r="A9" s="685" t="n"/>
      <c r="B9" s="685" t="n"/>
      <c r="C9" s="671" t="n"/>
      <c r="D9" s="671" t="n"/>
      <c r="E9" s="671" t="n"/>
      <c r="F9" s="671" t="n"/>
      <c r="G9" s="671" t="n"/>
      <c r="H9" s="14" t="inlineStr">
        <is>
          <t>Actual</t>
        </is>
      </c>
      <c r="I9" s="686" t="n">
        <v>0.038</v>
      </c>
      <c r="J9" s="686" t="n">
        <v>0.038</v>
      </c>
      <c r="K9" s="686" t="n">
        <v>0.028</v>
      </c>
      <c r="L9" s="686" t="n">
        <v>0.026</v>
      </c>
      <c r="M9" s="686" t="n">
        <v>0.026</v>
      </c>
      <c r="N9" s="686" t="n">
        <v>0.03</v>
      </c>
      <c r="O9" s="686" t="n">
        <v>0.03</v>
      </c>
      <c r="P9" s="686" t="n">
        <v>0.035</v>
      </c>
      <c r="Q9" s="686" t="n">
        <v>0.035</v>
      </c>
      <c r="R9" s="686" t="n"/>
      <c r="S9" s="686" t="n"/>
      <c r="T9" s="686" t="n"/>
      <c r="W9" t="inlineStr">
        <is>
          <t>Actual green</t>
        </is>
      </c>
      <c r="X9">
        <f>IF(I25&lt;&gt;"",IF($F24="Higher the better",IF(I25&gt;=I24,I25,NA()),IF(I25&lt;=I24,I25,NA())),NA())</f>
        <v/>
      </c>
      <c r="Y9">
        <f>IF(J43&lt;&gt;"",IF($F42="Higher the better",IF(J43&gt;=J42,J43,NA()),IF(J43&lt;=J42,J43,NA())),NA())</f>
        <v/>
      </c>
      <c r="Z9">
        <f>IF(K43&lt;&gt;"",IF($F42="Higher the better",IF(K43&gt;=K42,K43,NA()),IF(K43&lt;=K42,K43,NA())),NA())</f>
        <v/>
      </c>
      <c r="AA9">
        <f>IF(L43&lt;&gt;"",IF($F42="Higher the better",IF(L43&gt;=L42,L43,NA()),IF(L43&lt;=L42,L43,NA())),NA())</f>
        <v/>
      </c>
      <c r="AB9">
        <f>IF(M43&lt;&gt;"",IF($F42="Higher the better",IF(M43&gt;=M42,M43,NA()),IF(M43&lt;=M42,M43,NA())),NA())</f>
        <v/>
      </c>
      <c r="AC9">
        <f>IF(N43&lt;&gt;"",IF($F42="Higher the better",IF(N43&gt;=N42,N43,NA()),IF(N43&lt;=N42,N43,NA())),NA())</f>
        <v/>
      </c>
      <c r="AD9">
        <f>IF(O43&lt;&gt;"",IF($F42="Higher the better",IF(O43&gt;=O42,O43,NA()),IF(O43&lt;=O42,O43,NA())),NA())</f>
        <v/>
      </c>
      <c r="AE9">
        <f>IF(P43&lt;&gt;"",IF($F42="Higher the better",IF(P43&gt;=P42,P43,NA()),IF(P43&lt;=P42,P43,NA())),NA())</f>
        <v/>
      </c>
      <c r="AF9">
        <f>IF(Q43&lt;&gt;"",IF($F42="Higher the better",IF(Q43&gt;=Q42,Q43,NA()),IF(Q43&lt;=Q42,Q43,NA())),NA())</f>
        <v/>
      </c>
      <c r="AG9">
        <f>IF(R43&lt;&gt;"",IF($F42="Higher the better",IF(R43&gt;=R42,R43,NA()),IF(R43&lt;=R42,R43,NA())),NA())</f>
        <v/>
      </c>
      <c r="AH9">
        <f>IF(S43&lt;&gt;"",IF($F42="Higher the better",IF(S43&gt;=S42,S43,NA()),IF(S43&lt;=S42,S43,NA())),NA())</f>
        <v/>
      </c>
      <c r="AI9">
        <f>IF(T43&lt;&gt;"",IF($F42="Higher the better",IF(T43&gt;=T42,T43,NA()),IF(T43&lt;=T42,T43,NA())),NA())</f>
        <v/>
      </c>
    </row>
    <row r="10">
      <c r="A10" s="459" t="inlineStr">
        <is>
          <t>Complaint Rate of NPI products</t>
        </is>
      </c>
      <c r="B10" s="461" t="inlineStr">
        <is>
          <t>Complaint rate for Z10</t>
        </is>
      </c>
      <c r="C10" s="230" t="inlineStr">
        <is>
          <t>&lt;=</t>
        </is>
      </c>
      <c r="D10" s="352" t="n">
        <v>1.8</v>
      </c>
      <c r="E10" s="230" t="inlineStr">
        <is>
          <t>No.</t>
        </is>
      </c>
      <c r="F10" s="352" t="inlineStr">
        <is>
          <t>Lower the better</t>
        </is>
      </c>
      <c r="G10" s="230" t="inlineStr">
        <is>
          <t>Monthly</t>
        </is>
      </c>
      <c r="H10" s="14" t="inlineStr">
        <is>
          <t>Target</t>
        </is>
      </c>
      <c r="I10" s="211" t="n">
        <v>1.8</v>
      </c>
      <c r="J10" s="211" t="n">
        <v>1.8</v>
      </c>
      <c r="K10" s="211" t="n">
        <v>1.8</v>
      </c>
      <c r="L10" s="211" t="n">
        <v>1.8</v>
      </c>
      <c r="M10" s="211" t="n">
        <v>1.8</v>
      </c>
      <c r="N10" s="211" t="n">
        <v>1.8</v>
      </c>
      <c r="O10" s="211" t="n">
        <v>1.8</v>
      </c>
      <c r="P10" s="211" t="n">
        <v>1.8</v>
      </c>
      <c r="Q10" s="211" t="n">
        <v>1.8</v>
      </c>
      <c r="R10" s="211" t="n">
        <v>1.8</v>
      </c>
      <c r="S10" s="211" t="n">
        <v>1.8</v>
      </c>
      <c r="T10" s="211" t="n">
        <v>1.8</v>
      </c>
      <c r="W10" t="inlineStr">
        <is>
          <t>Actual red</t>
        </is>
      </c>
      <c r="X10">
        <f>IF(I25&lt;&gt;"",IF($F24="Higher the better",IF(I25&lt;I24,I25,NA()),IF(I25&gt;I24,I25,NA())),NA())</f>
        <v/>
      </c>
      <c r="Y10">
        <f>IF(J25&lt;&gt;"",IF($F24="Higher the better",IF(J25&lt;J24,J25,NA()),IF(J25&gt;J24,J25,NA())),NA())</f>
        <v/>
      </c>
      <c r="Z10">
        <f>IF(K25&lt;&gt;"",IF($F24="Higher the better",IF(K25&lt;K24,K25,NA()),IF(K25&gt;K24,K25,NA())),NA())</f>
        <v/>
      </c>
      <c r="AA10">
        <f>IF(L25&lt;&gt;"",IF($F24="Higher the better",IF(L25&lt;L24,L25,NA()),IF(L25&gt;L24,L25,NA())),NA())</f>
        <v/>
      </c>
      <c r="AB10">
        <f>IF(M25&lt;&gt;"",IF($F24="Higher the better",IF(M25&lt;M24,M25,NA()),IF(M25&gt;M24,M25,NA())),NA())</f>
        <v/>
      </c>
      <c r="AC10">
        <f>IF(N25&lt;&gt;"",IF($F24="Higher the better",IF(N25&lt;N24,N25,NA()),IF(N25&gt;N24,N25,NA())),NA())</f>
        <v/>
      </c>
      <c r="AD10">
        <f>IF(O25&lt;&gt;"",IF($F24="Higher the better",IF(O25&lt;O24,O25,NA()),IF(O25&gt;O24,O25,NA())),NA())</f>
        <v/>
      </c>
      <c r="AE10">
        <f>IF(P25&lt;&gt;"",IF($F24="Higher the better",IF(P25&lt;P24,P25,NA()),IF(P25&gt;P24,P25,NA())),NA())</f>
        <v/>
      </c>
      <c r="AF10">
        <f>IF(Q25&lt;&gt;"",IF($F24="Higher the better",IF(Q25&lt;Q24,Q25,NA()),IF(Q25&gt;Q24,Q25,NA())),NA())</f>
        <v/>
      </c>
      <c r="AG10">
        <f>IF(R25&lt;&gt;"",IF($F24="Higher the better",IF(R25&lt;R24,R25,NA()),IF(R25&gt;R24,R25,NA())),NA())</f>
        <v/>
      </c>
      <c r="AH10">
        <f>IF(S25&lt;&gt;"",IF($F24="Higher the better",IF(S25&lt;S24,S25,NA()),IF(S25&gt;S24,S25,NA())),NA())</f>
        <v/>
      </c>
      <c r="AI10">
        <f>IF(T25&lt;&gt;"",IF($F24="Higher the better",IF(T25&lt;T24,T25,NA()),IF(T25&gt;T24,T25,NA())),NA())</f>
        <v/>
      </c>
    </row>
    <row r="11">
      <c r="A11" s="685" t="n"/>
      <c r="B11" s="671" t="n"/>
      <c r="C11" s="685" t="n"/>
      <c r="D11" s="685" t="n"/>
      <c r="E11" s="685" t="n"/>
      <c r="F11" s="685" t="n"/>
      <c r="G11" s="685" t="n"/>
      <c r="H11" s="14" t="inlineStr">
        <is>
          <t>Actual</t>
        </is>
      </c>
      <c r="I11" s="212" t="n">
        <v>0.93</v>
      </c>
      <c r="J11" s="213" t="n">
        <v>0.8</v>
      </c>
      <c r="K11" s="213" t="n">
        <v>0.92</v>
      </c>
      <c r="L11" s="45" t="n">
        <v>1</v>
      </c>
      <c r="M11" s="45" t="n">
        <v>0.8</v>
      </c>
      <c r="N11" s="45" t="n">
        <v>0.8</v>
      </c>
      <c r="O11" s="45" t="n">
        <v>0.8</v>
      </c>
      <c r="P11" s="45" t="n">
        <v>0.86</v>
      </c>
      <c r="Q11" s="45" t="n">
        <v>0.8</v>
      </c>
      <c r="R11" s="45" t="n"/>
      <c r="S11" s="45" t="n"/>
      <c r="T11" s="45" t="n"/>
      <c r="W11" t="inlineStr">
        <is>
          <t>Actual green</t>
        </is>
      </c>
      <c r="X11">
        <f>IF(I27&lt;&gt;"",IF($F26="Higher the better",IF(I27&gt;=I26,I27,NA()),IF(I27&lt;=I26,I27,NA())),NA())</f>
        <v/>
      </c>
      <c r="Y11">
        <f>IF(J45&lt;&gt;"",IF($F44="Higher the better",IF(J45&gt;=J44,J45,NA()),IF(J45&lt;=J44,J45,NA())),NA())</f>
        <v/>
      </c>
      <c r="Z11">
        <f>IF(K45&lt;&gt;"",IF($F44="Higher the better",IF(K45&gt;=K44,K45,NA()),IF(K45&lt;=K44,K45,NA())),NA())</f>
        <v/>
      </c>
      <c r="AA11">
        <f>IF(L45&lt;&gt;"",IF($F44="Higher the better",IF(L45&gt;=L44,L45,NA()),IF(L45&lt;=L44,L45,NA())),NA())</f>
        <v/>
      </c>
      <c r="AB11">
        <f>IF(M45&lt;&gt;"",IF($F44="Higher the better",IF(M45&gt;=M44,M45,NA()),IF(M45&lt;=M44,M45,NA())),NA())</f>
        <v/>
      </c>
      <c r="AC11">
        <f>IF(N45&lt;&gt;"",IF($F44="Higher the better",IF(N45&gt;=N44,N45,NA()),IF(N45&lt;=N44,N45,NA())),NA())</f>
        <v/>
      </c>
      <c r="AD11">
        <f>IF(O45&lt;&gt;"",IF($F44="Higher the better",IF(O45&gt;=O44,O45,NA()),IF(O45&lt;=O44,O45,NA())),NA())</f>
        <v/>
      </c>
      <c r="AE11">
        <f>IF(P45&lt;&gt;"",IF($F44="Higher the better",IF(P45&gt;=P44,P45,NA()),IF(P45&lt;=P44,P45,NA())),NA())</f>
        <v/>
      </c>
      <c r="AF11">
        <f>IF(Q45&lt;&gt;"",IF($F44="Higher the better",IF(Q45&gt;=Q44,Q45,NA()),IF(Q45&lt;=Q44,Q45,NA())),NA())</f>
        <v/>
      </c>
      <c r="AG11">
        <f>IF(R45&lt;&gt;"",IF($F44="Higher the better",IF(R45&gt;=R44,R45,NA()),IF(R45&lt;=R44,R45,NA())),NA())</f>
        <v/>
      </c>
      <c r="AH11">
        <f>IF(S45&lt;&gt;"",IF($F44="Higher the better",IF(S45&gt;=S44,S45,NA()),IF(S45&lt;=S44,S45,NA())),NA())</f>
        <v/>
      </c>
      <c r="AI11">
        <f>IF(T45&lt;&gt;"",IF($F44="Higher the better",IF(T45&gt;=T44,T45,NA()),IF(T45&lt;=T44,T45,NA())),NA())</f>
        <v/>
      </c>
    </row>
    <row r="12">
      <c r="A12" s="685" t="n"/>
      <c r="B12" s="461" t="inlineStr">
        <is>
          <t xml:space="preserve">Complaint rate for Z30 </t>
        </is>
      </c>
      <c r="C12" s="685" t="n"/>
      <c r="D12" s="352" t="inlineStr">
        <is>
          <t xml:space="preserve">
1.8
</t>
        </is>
      </c>
      <c r="E12" s="685" t="n"/>
      <c r="F12" s="352" t="inlineStr">
        <is>
          <t>Lower the better</t>
        </is>
      </c>
      <c r="G12" s="685" t="n"/>
      <c r="H12" s="14" t="inlineStr">
        <is>
          <t>Target</t>
        </is>
      </c>
      <c r="I12" s="211" t="n">
        <v>1.8</v>
      </c>
      <c r="J12" s="211" t="n">
        <v>1.8</v>
      </c>
      <c r="K12" s="211" t="n">
        <v>1.8</v>
      </c>
      <c r="L12" s="211" t="n">
        <v>1.8</v>
      </c>
      <c r="M12" s="211" t="n">
        <v>1.8</v>
      </c>
      <c r="N12" s="211" t="n">
        <v>1.8</v>
      </c>
      <c r="O12" s="211" t="n">
        <v>1.8</v>
      </c>
      <c r="P12" s="211" t="n">
        <v>1.8</v>
      </c>
      <c r="Q12" s="211" t="n">
        <v>1.8</v>
      </c>
      <c r="R12" s="211" t="n">
        <v>1.8</v>
      </c>
      <c r="S12" s="211" t="n">
        <v>1.8</v>
      </c>
      <c r="T12" s="211" t="n">
        <v>1.8</v>
      </c>
      <c r="W12" t="inlineStr">
        <is>
          <t>Actual red</t>
        </is>
      </c>
      <c r="X12">
        <f>IF(I27&lt;&gt;"",IF($F26="Higher the better",IF(I27&lt;I26,I27,NA()),IF(I27&gt;I26,I27,NA())),NA())</f>
        <v/>
      </c>
      <c r="Y12">
        <f>IF(J27&lt;&gt;"",IF($F26="Higher the better",IF(J27&lt;J26,J27,NA()),IF(J27&gt;J26,J27,NA())),NA())</f>
        <v/>
      </c>
      <c r="Z12">
        <f>IF(K27&lt;&gt;"",IF($F26="Higher the better",IF(K27&lt;K26,K27,NA()),IF(K27&gt;K26,K27,NA())),NA())</f>
        <v/>
      </c>
      <c r="AA12">
        <f>IF(L27&lt;&gt;"",IF($F26="Higher the better",IF(L27&lt;L26,L27,NA()),IF(L27&gt;L26,L27,NA())),NA())</f>
        <v/>
      </c>
      <c r="AB12">
        <f>IF(M27&lt;&gt;"",IF($F26="Higher the better",IF(M27&lt;M26,M27,NA()),IF(M27&gt;M26,M27,NA())),NA())</f>
        <v/>
      </c>
      <c r="AC12">
        <f>IF(N27&lt;&gt;"",IF($F26="Higher the better",IF(N27&lt;N26,N27,NA()),IF(N27&gt;N26,N27,NA())),NA())</f>
        <v/>
      </c>
      <c r="AD12">
        <f>IF(O27&lt;&gt;"",IF($F26="Higher the better",IF(O27&lt;O26,O27,NA()),IF(O27&gt;O26,O27,NA())),NA())</f>
        <v/>
      </c>
      <c r="AE12">
        <f>IF(P27&lt;&gt;"",IF($F26="Higher the better",IF(P27&lt;P26,P27,NA()),IF(P27&gt;P26,P27,NA())),NA())</f>
        <v/>
      </c>
      <c r="AF12">
        <f>IF(Q27&lt;&gt;"",IF($F26="Higher the better",IF(Q27&lt;Q26,Q27,NA()),IF(Q27&gt;Q26,Q27,NA())),NA())</f>
        <v/>
      </c>
      <c r="AG12">
        <f>IF(R27&lt;&gt;"",IF($F26="Higher the better",IF(R27&lt;R26,R27,NA()),IF(R27&gt;R26,R27,NA())),NA())</f>
        <v/>
      </c>
      <c r="AH12">
        <f>IF(S27&lt;&gt;"",IF($F26="Higher the better",IF(S27&lt;S26,S27,NA()),IF(S27&gt;S26,S27,NA())),NA())</f>
        <v/>
      </c>
      <c r="AI12">
        <f>IF(T27&lt;&gt;"",IF($F26="Higher the better",IF(T27&lt;T26,T27,NA()),IF(T27&gt;T26,T27,NA())),NA())</f>
        <v/>
      </c>
    </row>
    <row r="13">
      <c r="A13" s="685" t="n"/>
      <c r="B13" s="671" t="n"/>
      <c r="C13" s="685" t="n"/>
      <c r="D13" s="685" t="n"/>
      <c r="E13" s="685" t="n"/>
      <c r="F13" s="685" t="n"/>
      <c r="G13" s="685" t="n"/>
      <c r="H13" s="14" t="inlineStr">
        <is>
          <t>Actual</t>
        </is>
      </c>
      <c r="I13" s="45" t="n">
        <v>1.53</v>
      </c>
      <c r="J13" s="45" t="n">
        <v>1.53</v>
      </c>
      <c r="K13" s="45" t="n">
        <v>1.53</v>
      </c>
      <c r="L13" s="45" t="n">
        <v>1.7</v>
      </c>
      <c r="M13" s="45" t="n">
        <v>1.8</v>
      </c>
      <c r="N13" s="45" t="n">
        <v>1.4</v>
      </c>
      <c r="O13" s="45" t="n">
        <v>1.4</v>
      </c>
      <c r="P13" s="45" t="n">
        <v>1.23</v>
      </c>
      <c r="Q13" s="45" t="n">
        <v>1.3</v>
      </c>
      <c r="R13" s="45" t="n"/>
      <c r="S13" s="45" t="n"/>
      <c r="T13" s="45" t="n"/>
      <c r="W13" t="inlineStr">
        <is>
          <t>Actual green</t>
        </is>
      </c>
      <c r="X13">
        <f>IF(I25&lt;&gt;"",IF($F24="Higher the better",IF(I25&gt;=I24,I25,NA()),IF(I25&lt;=I24,I25,NA())),NA())</f>
        <v/>
      </c>
      <c r="Y13">
        <f>IF(J25&lt;&gt;"",IF($F24="Higher the better",IF(J25&gt;=J24,J25,NA()),IF(J25&lt;=J24,J25,NA())),NA())</f>
        <v/>
      </c>
      <c r="Z13">
        <f>IF(K25&lt;&gt;"",IF($F24="Higher the better",IF(K25&gt;=K24,K25,NA()),IF(K25&lt;=K24,K25,NA())),NA())</f>
        <v/>
      </c>
      <c r="AA13">
        <f>IF(L25&lt;&gt;"",IF($F24="Higher the better",IF(L25&gt;=L24,L25,NA()),IF(L25&lt;=L24,L25,NA())),NA())</f>
        <v/>
      </c>
      <c r="AB13">
        <f>IF(M25&lt;&gt;"",IF($F24="Higher the better",IF(M25&gt;=M24,M25,NA()),IF(M25&lt;=M24,M25,NA())),NA())</f>
        <v/>
      </c>
      <c r="AC13">
        <f>IF(N25&lt;&gt;"",IF($F24="Higher the better",IF(N25&gt;=N24,N25,NA()),IF(N25&lt;=N24,N25,NA())),NA())</f>
        <v/>
      </c>
      <c r="AD13">
        <f>IF(O25&lt;&gt;"",IF($F24="Higher the better",IF(O25&gt;=O24,O25,NA()),IF(O25&lt;=O24,O25,NA())),NA())</f>
        <v/>
      </c>
      <c r="AE13">
        <f>IF(P25&lt;&gt;"",IF($F24="Higher the better",IF(P25&gt;=P24,P25,NA()),IF(P25&lt;=P24,P25,NA())),NA())</f>
        <v/>
      </c>
      <c r="AF13">
        <f>IF(Q25&lt;&gt;"",IF($F24="Higher the better",IF(Q25&gt;=Q24,Q25,NA()),IF(Q25&lt;=Q24,Q25,NA())),NA())</f>
        <v/>
      </c>
      <c r="AG13">
        <f>IF(R25&lt;&gt;"",IF($F24="Higher the better",IF(R25&gt;=R24,R25,NA()),IF(R25&lt;=R24,R25,NA())),NA())</f>
        <v/>
      </c>
      <c r="AH13">
        <f>IF(S25&lt;&gt;"",IF($F24="Higher the better",IF(S25&gt;=S24,S25,NA()),IF(S25&lt;=S24,S25,NA())),NA())</f>
        <v/>
      </c>
      <c r="AI13">
        <f>IF(T25&lt;&gt;"",IF($F24="Higher the better",IF(T25&gt;=T24,T25,NA()),IF(T25&lt;=T24,T25,NA())),NA())</f>
        <v/>
      </c>
    </row>
    <row r="14">
      <c r="A14" s="685" t="n"/>
      <c r="B14" s="461" t="inlineStr">
        <is>
          <t>Complaint rate for Z90</t>
        </is>
      </c>
      <c r="C14" s="685" t="n"/>
      <c r="D14" s="352" t="n">
        <v>2.2</v>
      </c>
      <c r="E14" s="685" t="n"/>
      <c r="F14" s="352" t="inlineStr">
        <is>
          <t>Lower the better</t>
        </is>
      </c>
      <c r="G14" s="685" t="n"/>
      <c r="H14" s="14" t="inlineStr">
        <is>
          <t>Target</t>
        </is>
      </c>
      <c r="I14" s="211" t="n">
        <v>2.2</v>
      </c>
      <c r="J14" s="211" t="n">
        <v>2.2</v>
      </c>
      <c r="K14" s="211" t="n">
        <v>2.2</v>
      </c>
      <c r="L14" s="211" t="n">
        <v>2.2</v>
      </c>
      <c r="M14" s="211" t="n">
        <v>2.2</v>
      </c>
      <c r="N14" s="211" t="n">
        <v>2.2</v>
      </c>
      <c r="O14" s="211" t="n">
        <v>2.2</v>
      </c>
      <c r="P14" s="211" t="n">
        <v>2.2</v>
      </c>
      <c r="Q14" s="211" t="n">
        <v>2.2</v>
      </c>
      <c r="R14" s="211" t="n">
        <v>2.2</v>
      </c>
      <c r="S14" s="211" t="n">
        <v>2.2</v>
      </c>
      <c r="T14" s="211" t="n">
        <v>2.2</v>
      </c>
      <c r="W14" t="inlineStr">
        <is>
          <t>Actual red</t>
        </is>
      </c>
      <c r="X14">
        <f>IF(I25&lt;&gt;"",IF($F24="Higher the better",IF(I25&lt;I24,I25,NA()),IF(I25&gt;I24,I25,NA())),NA())</f>
        <v/>
      </c>
      <c r="Y14">
        <f>IF(J25&lt;&gt;"",IF($F24="Higher the better",IF(J25&lt;J24,J25,NA()),IF(J25&gt;J24,J25,NA())),NA())</f>
        <v/>
      </c>
      <c r="Z14">
        <f>IF(K25&lt;&gt;"",IF($F24="Higher the better",IF(K25&lt;K24,K25,NA()),IF(K25&gt;K24,K25,NA())),NA())</f>
        <v/>
      </c>
      <c r="AA14">
        <f>IF(L25&lt;&gt;"",IF($F24="Higher the better",IF(L25&lt;L24,L25,NA()),IF(L25&gt;L24,L25,NA())),NA())</f>
        <v/>
      </c>
      <c r="AB14">
        <f>IF(M25&lt;&gt;"",IF($F24="Higher the better",IF(M25&lt;M24,M25,NA()),IF(M25&gt;M24,M25,NA())),NA())</f>
        <v/>
      </c>
      <c r="AC14">
        <f>IF(N25&lt;&gt;"",IF($F24="Higher the better",IF(N25&lt;N24,N25,NA()),IF(N25&gt;N24,N25,NA())),NA())</f>
        <v/>
      </c>
      <c r="AD14">
        <f>IF(O25&lt;&gt;"",IF($F24="Higher the better",IF(O25&lt;O24,O25,NA()),IF(O25&gt;O24,O25,NA())),NA())</f>
        <v/>
      </c>
      <c r="AE14">
        <f>IF(P25&lt;&gt;"",IF($F24="Higher the better",IF(P25&lt;P24,P25,NA()),IF(P25&gt;P24,P25,NA())),NA())</f>
        <v/>
      </c>
      <c r="AF14">
        <f>IF(Q25&lt;&gt;"",IF($F24="Higher the better",IF(Q25&lt;Q24,Q25,NA()),IF(Q25&gt;Q24,Q25,NA())),NA())</f>
        <v/>
      </c>
      <c r="AG14">
        <f>IF(R25&lt;&gt;"",IF($F24="Higher the better",IF(R25&lt;R24,R25,NA()),IF(R25&gt;R24,R25,NA())),NA())</f>
        <v/>
      </c>
      <c r="AH14">
        <f>IF(S25&lt;&gt;"",IF($F24="Higher the better",IF(S25&lt;S24,S25,NA()),IF(S25&gt;S24,S25,NA())),NA())</f>
        <v/>
      </c>
      <c r="AI14">
        <f>IF(T25&lt;&gt;"",IF($F24="Higher the better",IF(T25&lt;T24,T25,NA()),IF(T25&gt;T24,T25,NA())),NA())</f>
        <v/>
      </c>
    </row>
    <row r="15" ht="19.5" customHeight="1">
      <c r="A15" s="671" t="n"/>
      <c r="B15" s="671" t="n"/>
      <c r="C15" s="671" t="n"/>
      <c r="D15" s="685" t="n"/>
      <c r="E15" s="671" t="n"/>
      <c r="F15" s="685" t="n"/>
      <c r="G15" s="671" t="n"/>
      <c r="H15" s="14" t="inlineStr">
        <is>
          <t>Actual</t>
        </is>
      </c>
      <c r="I15" s="213" t="n">
        <v>1.7</v>
      </c>
      <c r="J15" s="45" t="n">
        <v>1.76</v>
      </c>
      <c r="K15" s="45" t="n">
        <v>1.78</v>
      </c>
      <c r="L15" s="45" t="n">
        <v>2</v>
      </c>
      <c r="M15" s="45" t="n">
        <v>2.2</v>
      </c>
      <c r="N15" s="45" t="n">
        <v>1.8</v>
      </c>
      <c r="O15" s="45" t="n">
        <v>2</v>
      </c>
      <c r="P15" s="45" t="n">
        <v>2.01</v>
      </c>
      <c r="Q15" s="45" t="n">
        <v>2.3</v>
      </c>
      <c r="R15" s="45" t="n"/>
      <c r="S15" s="45" t="n"/>
      <c r="T15" s="45" t="n"/>
    </row>
    <row r="16" ht="13.5" customHeight="1">
      <c r="A16" s="425" t="inlineStr">
        <is>
          <t>C&amp;R &gt; Global Due date</t>
        </is>
      </c>
      <c r="B16" s="465" t="inlineStr">
        <is>
          <t># of C&amp;Rs that are open beyond plan in market</t>
        </is>
      </c>
      <c r="C16" s="230" t="inlineStr">
        <is>
          <t>&lt;=</t>
        </is>
      </c>
      <c r="D16" s="388" t="n">
        <v>3</v>
      </c>
      <c r="E16" s="230" t="inlineStr">
        <is>
          <t>No.</t>
        </is>
      </c>
      <c r="F16" s="388" t="inlineStr">
        <is>
          <t>Lower the better</t>
        </is>
      </c>
      <c r="G16" s="230" t="inlineStr">
        <is>
          <t>Monthly</t>
        </is>
      </c>
      <c r="H16" s="14" t="inlineStr">
        <is>
          <t>Target</t>
        </is>
      </c>
      <c r="I16" s="44" t="n">
        <v>1</v>
      </c>
      <c r="J16" s="44" t="n">
        <v>1</v>
      </c>
      <c r="K16" s="44" t="n">
        <v>1</v>
      </c>
      <c r="L16" s="44" t="n">
        <v>1</v>
      </c>
      <c r="M16" s="44" t="n">
        <v>1</v>
      </c>
      <c r="N16" s="44" t="n">
        <v>1</v>
      </c>
      <c r="O16" s="44" t="n">
        <v>1</v>
      </c>
      <c r="P16" s="44" t="n">
        <v>1</v>
      </c>
      <c r="Q16" s="44" t="n">
        <v>1</v>
      </c>
      <c r="R16" s="44" t="n">
        <v>1</v>
      </c>
      <c r="S16" s="44" t="n">
        <v>1</v>
      </c>
      <c r="T16" s="44" t="n">
        <v>1</v>
      </c>
    </row>
    <row r="17" ht="14.85" customHeight="1">
      <c r="A17" s="671" t="n"/>
      <c r="B17" s="671" t="n"/>
      <c r="C17" s="671" t="n"/>
      <c r="D17" s="671" t="n"/>
      <c r="E17" s="671" t="n"/>
      <c r="F17" s="671" t="n"/>
      <c r="G17" s="671" t="n"/>
      <c r="H17" s="14" t="inlineStr">
        <is>
          <t>Actual</t>
        </is>
      </c>
      <c r="I17" s="45" t="n">
        <v>2</v>
      </c>
      <c r="J17" s="45" t="n">
        <v>1</v>
      </c>
      <c r="K17" s="45" t="n">
        <v>1</v>
      </c>
      <c r="L17" s="45" t="n">
        <v>0</v>
      </c>
      <c r="M17" s="45" t="n">
        <v>0</v>
      </c>
      <c r="N17" s="45" t="n">
        <v>0</v>
      </c>
      <c r="O17" s="45" t="n">
        <v>0</v>
      </c>
      <c r="P17" s="45" t="n">
        <v>0</v>
      </c>
      <c r="Q17" s="45" t="n">
        <v>0</v>
      </c>
      <c r="R17" s="45" t="n"/>
      <c r="S17" s="45" t="n"/>
      <c r="T17" s="45" t="n"/>
    </row>
    <row r="18" ht="18.6" customHeight="1">
      <c r="A18" s="11" t="inlineStr">
        <is>
          <t>Critical Enabling/Leading KPI's (3-5)</t>
        </is>
      </c>
      <c r="H18" s="639" t="n"/>
    </row>
    <row r="19" ht="27.6" customHeight="1">
      <c r="A19" s="110" t="inlineStr">
        <is>
          <t>KPI Name</t>
        </is>
      </c>
      <c r="B19" s="26" t="inlineStr">
        <is>
          <t>KPI  Definition</t>
        </is>
      </c>
      <c r="C19" s="26" t="inlineStr">
        <is>
          <t>Operators</t>
        </is>
      </c>
      <c r="D19" s="26" t="inlineStr">
        <is>
          <t>Target AOP 2026</t>
        </is>
      </c>
      <c r="E19" s="26" t="inlineStr">
        <is>
          <t>Units</t>
        </is>
      </c>
      <c r="F19" s="26" t="inlineStr">
        <is>
          <t>Metric nature</t>
        </is>
      </c>
      <c r="G19" s="26" t="inlineStr">
        <is>
          <t>Frequency</t>
        </is>
      </c>
      <c r="H19" s="26" t="inlineStr">
        <is>
          <t>Target/ Actual</t>
        </is>
      </c>
      <c r="I19" s="684" t="n">
        <v>46023</v>
      </c>
      <c r="J19" s="684" t="n">
        <v>46054</v>
      </c>
      <c r="K19" s="684" t="n">
        <v>46082</v>
      </c>
      <c r="L19" s="684" t="n">
        <v>46113</v>
      </c>
      <c r="M19" s="684" t="n">
        <v>46143</v>
      </c>
      <c r="N19" s="684" t="n">
        <v>46174</v>
      </c>
      <c r="O19" s="684" t="n">
        <v>46204</v>
      </c>
      <c r="P19" s="684" t="n">
        <v>46235</v>
      </c>
      <c r="Q19" s="684" t="n">
        <v>46266</v>
      </c>
      <c r="R19" s="684" t="n">
        <v>46296</v>
      </c>
      <c r="S19" s="684" t="n">
        <v>46327</v>
      </c>
      <c r="T19" s="684" t="n">
        <v>46357</v>
      </c>
    </row>
    <row r="20" ht="13.5" customHeight="1">
      <c r="A20" s="471" t="inlineStr">
        <is>
          <t>% CAPA implementation Tasks on time</t>
        </is>
      </c>
      <c r="B20" s="473" t="inlineStr">
        <is>
          <t>Number of actions completed without extension / Number of CAPA actions planned in that month as per Plan</t>
        </is>
      </c>
      <c r="C20" s="475" t="inlineStr">
        <is>
          <t>&gt;</t>
        </is>
      </c>
      <c r="D20" s="487" t="n">
        <v>95</v>
      </c>
      <c r="E20" s="475" t="inlineStr">
        <is>
          <t>%</t>
        </is>
      </c>
      <c r="F20" s="477" t="inlineStr">
        <is>
          <t>Higher the better</t>
        </is>
      </c>
      <c r="G20" s="479" t="inlineStr">
        <is>
          <t>Monthly</t>
        </is>
      </c>
      <c r="H20" s="112" t="inlineStr">
        <is>
          <t>Target</t>
        </is>
      </c>
      <c r="I20" s="91" t="n">
        <v>0.95</v>
      </c>
      <c r="J20" s="91" t="n">
        <v>0.95</v>
      </c>
      <c r="K20" s="91" t="n">
        <v>0.95</v>
      </c>
      <c r="L20" s="91" t="n">
        <v>0.95</v>
      </c>
      <c r="M20" s="91" t="n">
        <v>0.95</v>
      </c>
      <c r="N20" s="91" t="n">
        <v>0.95</v>
      </c>
      <c r="O20" s="91" t="n">
        <v>0.95</v>
      </c>
      <c r="P20" s="91" t="n">
        <v>0.95</v>
      </c>
      <c r="Q20" s="91" t="n">
        <v>0.95</v>
      </c>
      <c r="R20" s="91" t="n">
        <v>0.95</v>
      </c>
      <c r="S20" s="91" t="n">
        <v>0.95</v>
      </c>
      <c r="T20" s="91" t="n">
        <v>0.95</v>
      </c>
      <c r="U20" s="664" t="n"/>
      <c r="V20" s="664" t="n"/>
    </row>
    <row r="21" ht="13.5" customHeight="1">
      <c r="A21" s="671" t="n"/>
      <c r="B21" s="687" t="n"/>
      <c r="C21" s="687" t="n"/>
      <c r="D21" s="687" t="n"/>
      <c r="E21" s="687" t="n"/>
      <c r="F21" s="687" t="n"/>
      <c r="G21" s="687" t="n"/>
      <c r="H21" s="111" t="inlineStr">
        <is>
          <t>Actual</t>
        </is>
      </c>
      <c r="I21" s="118" t="n">
        <v>0.22</v>
      </c>
      <c r="J21" s="118" t="n">
        <v>0.4</v>
      </c>
      <c r="K21" s="118" t="n">
        <v>0.22</v>
      </c>
      <c r="L21" s="118" t="n">
        <v>0.4</v>
      </c>
      <c r="M21" s="118" t="n">
        <v>0.875</v>
      </c>
      <c r="N21" s="118" t="n">
        <v>0.3</v>
      </c>
      <c r="O21" s="118" t="n">
        <v>0.4</v>
      </c>
      <c r="P21" s="118" t="n">
        <v>0.83</v>
      </c>
      <c r="Q21" s="118" t="n">
        <v>0.5</v>
      </c>
      <c r="R21" s="118" t="n"/>
      <c r="S21" s="118" t="n"/>
      <c r="T21" s="118" t="n"/>
      <c r="U21" s="664" t="n"/>
      <c r="V21" s="664" t="n"/>
    </row>
    <row r="22" ht="18.6" customHeight="1">
      <c r="A22" s="688" t="inlineStr">
        <is>
          <t># of C&amp;R in pre- release(Track remaining C&amp;R)</t>
        </is>
      </c>
      <c r="B22" s="387" t="inlineStr">
        <is>
          <t># of C&amp;Rs waiting on C&amp;R initiation</t>
        </is>
      </c>
      <c r="C22" s="230" t="inlineStr">
        <is>
          <t>&lt;=</t>
        </is>
      </c>
      <c r="D22" s="689" t="n">
        <v>10</v>
      </c>
      <c r="E22" s="690" t="inlineStr">
        <is>
          <t>No.</t>
        </is>
      </c>
      <c r="F22" s="691" t="inlineStr">
        <is>
          <t>Lower the better</t>
        </is>
      </c>
      <c r="G22" s="690" t="inlineStr">
        <is>
          <t>Monthly</t>
        </is>
      </c>
      <c r="H22" s="112" t="inlineStr">
        <is>
          <t>Target</t>
        </is>
      </c>
      <c r="I22" s="44" t="n">
        <v>6</v>
      </c>
      <c r="J22" s="44" t="n">
        <v>5</v>
      </c>
      <c r="K22" s="44" t="n">
        <v>5</v>
      </c>
      <c r="L22" s="44" t="n">
        <v>4</v>
      </c>
      <c r="M22" s="44" t="n">
        <v>4</v>
      </c>
      <c r="N22" s="44" t="n">
        <v>4</v>
      </c>
      <c r="O22" s="44" t="n">
        <v>4</v>
      </c>
      <c r="P22" s="44" t="n">
        <v>2</v>
      </c>
      <c r="Q22" s="44" t="n">
        <v>2</v>
      </c>
      <c r="R22" s="44" t="n">
        <v>0</v>
      </c>
      <c r="S22" s="44" t="n">
        <v>0</v>
      </c>
      <c r="T22" s="44" t="n">
        <v>0</v>
      </c>
    </row>
    <row r="23">
      <c r="A23" s="641" t="n"/>
      <c r="B23" s="671" t="n"/>
      <c r="C23" s="671" t="n"/>
      <c r="D23" s="671" t="n"/>
      <c r="E23" s="671" t="n"/>
      <c r="F23" s="671" t="n"/>
      <c r="G23" s="671" t="n"/>
      <c r="H23" s="111" t="inlineStr">
        <is>
          <t>Actual</t>
        </is>
      </c>
      <c r="I23" s="126" t="n">
        <v>6</v>
      </c>
      <c r="J23" s="126" t="n">
        <v>5</v>
      </c>
      <c r="K23" s="126" t="n">
        <v>5</v>
      </c>
      <c r="L23" s="126" t="n">
        <v>4</v>
      </c>
      <c r="M23" s="126" t="n">
        <v>4</v>
      </c>
      <c r="N23" s="45" t="n">
        <v>4</v>
      </c>
      <c r="O23" s="45" t="n">
        <v>4</v>
      </c>
      <c r="P23" s="45" t="n">
        <v>2</v>
      </c>
      <c r="Q23" s="344" t="n">
        <v>2</v>
      </c>
      <c r="R23" s="133" t="n"/>
      <c r="S23" s="133" t="n"/>
      <c r="T23" s="133" t="n"/>
    </row>
    <row r="24" ht="13.5" customHeight="1">
      <c r="A24" s="692" t="inlineStr">
        <is>
          <t>Audit</t>
        </is>
      </c>
      <c r="B24" s="461" t="inlineStr">
        <is>
          <t># Major Findings in external audits</t>
        </is>
      </c>
      <c r="C24" s="230" t="inlineStr">
        <is>
          <t>=</t>
        </is>
      </c>
      <c r="D24" s="388" t="n">
        <v>0</v>
      </c>
      <c r="E24" s="230" t="inlineStr">
        <is>
          <t>No.</t>
        </is>
      </c>
      <c r="F24" s="388" t="inlineStr">
        <is>
          <t>Lower the better</t>
        </is>
      </c>
      <c r="G24" s="230" t="inlineStr">
        <is>
          <t>Half yearly</t>
        </is>
      </c>
      <c r="H24" s="14" t="inlineStr">
        <is>
          <t>Target</t>
        </is>
      </c>
      <c r="I24" s="44" t="n">
        <v>0</v>
      </c>
      <c r="J24" s="44" t="n">
        <v>0</v>
      </c>
      <c r="K24" s="44" t="n">
        <v>0</v>
      </c>
      <c r="L24" s="44" t="n">
        <v>0</v>
      </c>
      <c r="M24" s="44" t="n">
        <v>0</v>
      </c>
      <c r="N24" s="44" t="n">
        <v>0</v>
      </c>
      <c r="O24" s="44" t="n">
        <v>0</v>
      </c>
      <c r="P24" s="44" t="n">
        <v>0</v>
      </c>
      <c r="Q24" s="44" t="n">
        <v>0</v>
      </c>
      <c r="R24" s="44" t="n">
        <v>0</v>
      </c>
      <c r="S24" s="44" t="n">
        <v>0</v>
      </c>
      <c r="T24" s="44" t="n">
        <v>0</v>
      </c>
    </row>
    <row r="25" ht="13.5" customHeight="1">
      <c r="A25" s="641" t="n"/>
      <c r="B25" s="671" t="n"/>
      <c r="C25" s="671" t="n"/>
      <c r="D25" s="671" t="n"/>
      <c r="E25" s="671" t="n"/>
      <c r="F25" s="671" t="n"/>
      <c r="G25" s="671" t="n"/>
      <c r="H25" s="14" t="inlineStr">
        <is>
          <t>Actual</t>
        </is>
      </c>
      <c r="I25" s="45" t="n">
        <v>0</v>
      </c>
      <c r="J25" s="45" t="n">
        <v>0</v>
      </c>
      <c r="K25" s="45" t="n">
        <v>0</v>
      </c>
      <c r="L25" s="45" t="n">
        <v>0</v>
      </c>
      <c r="M25" s="45" t="n">
        <v>0</v>
      </c>
      <c r="N25" s="45" t="n">
        <v>0</v>
      </c>
      <c r="O25" s="45" t="n">
        <v>0</v>
      </c>
      <c r="P25" s="45" t="n">
        <v>0</v>
      </c>
      <c r="Q25" s="45" t="n">
        <v>0</v>
      </c>
      <c r="R25" s="45" t="n"/>
      <c r="S25" s="45" t="n"/>
      <c r="T25" s="45" t="n"/>
    </row>
    <row r="26" ht="15" customHeight="1">
      <c r="E26" s="32" t="inlineStr">
        <is>
          <t xml:space="preserve">
</t>
        </is>
      </c>
      <c r="H26" s="33">
        <f>IF(OR($F17="Lower the better",$F17="Lower the Better"),
    IF(I17&gt;I16,$A16,""),
    IF(OR($F17="Higher the better",$F17="Higher the Better"),
       IF(I17&lt;I16,$A16,""),
       ""
    )
)</f>
        <v/>
      </c>
    </row>
    <row r="27" ht="21" customHeight="1">
      <c r="A27" s="10" t="inlineStr">
        <is>
          <t>PS&amp; Q Trends-</t>
        </is>
      </c>
    </row>
    <row r="28">
      <c r="A28" s="639" t="n"/>
    </row>
    <row r="29">
      <c r="A29" s="639" t="n"/>
    </row>
    <row r="30">
      <c r="A30" s="639" t="n"/>
    </row>
    <row r="31">
      <c r="A31" s="639" t="n"/>
    </row>
    <row r="32">
      <c r="A32" s="639" t="n"/>
    </row>
    <row r="33">
      <c r="A33" s="639" t="n"/>
    </row>
    <row r="34">
      <c r="A34" s="639" t="n"/>
    </row>
    <row r="35">
      <c r="A35" s="639" t="n"/>
      <c r="N35" t="inlineStr">
        <is>
          <t xml:space="preserve">   </t>
        </is>
      </c>
    </row>
    <row r="36">
      <c r="A36" s="639" t="n"/>
    </row>
    <row r="37">
      <c r="A37" s="639" t="n"/>
    </row>
    <row r="38">
      <c r="A38" s="639" t="n"/>
    </row>
    <row r="39">
      <c r="A39" s="639" t="n"/>
    </row>
    <row r="40">
      <c r="A40" s="639" t="n"/>
    </row>
    <row r="41">
      <c r="A41" s="639" t="n"/>
    </row>
    <row r="42">
      <c r="A42" s="639" t="n"/>
    </row>
    <row r="43">
      <c r="A43" s="639" t="n"/>
    </row>
    <row r="44" ht="21" customHeight="1">
      <c r="A44" s="500" t="inlineStr">
        <is>
          <t>If the KPI is reported Red, fill all the details as mentioned below for analysis &amp; actions:</t>
        </is>
      </c>
    </row>
    <row r="45">
      <c r="A45" s="639" t="n"/>
    </row>
    <row r="46" ht="21" customHeight="1">
      <c r="A46" s="449" t="inlineStr">
        <is>
          <t>Root Cause Analysis-</t>
        </is>
      </c>
    </row>
    <row r="47" ht="20.1" customHeight="1">
      <c r="A47" s="466" t="inlineStr">
        <is>
          <t xml:space="preserve"> Red KPI</t>
        </is>
      </c>
      <c r="B47" s="361" t="inlineStr">
        <is>
          <t xml:space="preserve">Top  Causes </t>
        </is>
      </c>
      <c r="C47" s="693" t="n"/>
      <c r="D47" s="693" t="n"/>
      <c r="E47" s="693" t="n"/>
      <c r="F47" s="692" t="n"/>
    </row>
    <row r="48" ht="15" customHeight="1">
      <c r="A48" s="694" t="n"/>
      <c r="B48" s="150" t="inlineStr">
        <is>
          <t xml:space="preserve">Cause 1 </t>
        </is>
      </c>
      <c r="C48" s="361" t="inlineStr">
        <is>
          <t>Cause 2</t>
        </is>
      </c>
      <c r="D48" s="361" t="inlineStr">
        <is>
          <t>Cause 3</t>
        </is>
      </c>
      <c r="E48" s="361" t="inlineStr">
        <is>
          <t>Cause 4</t>
        </is>
      </c>
      <c r="F48" s="361" t="inlineStr">
        <is>
          <t>Cause 5</t>
        </is>
      </c>
    </row>
    <row r="49" ht="50.25" customHeight="1">
      <c r="A49" s="234" t="inlineStr">
        <is>
          <t>% CAPA investigation &lt; 90 days</t>
        </is>
      </c>
      <c r="B49" s="270" t="inlineStr">
        <is>
          <t>Unavailability of Failed samples for Testing /analysis</t>
        </is>
      </c>
      <c r="C49" s="127" t="inlineStr">
        <is>
          <t>Complexity in risk management content alignment</t>
        </is>
      </c>
      <c r="D49" s="127" t="n"/>
      <c r="E49" s="127" t="n"/>
      <c r="F49" s="127" t="n"/>
    </row>
    <row r="50" ht="24.6" customHeight="1">
      <c r="A50" s="41" t="inlineStr">
        <is>
          <t>% impact on KPI gap</t>
        </is>
      </c>
      <c r="B50" s="271" t="n">
        <v>0.5</v>
      </c>
      <c r="C50" s="42" t="n">
        <v>0.5</v>
      </c>
      <c r="D50" s="42" t="n"/>
      <c r="E50" s="42" t="n"/>
      <c r="F50" s="42" t="n"/>
    </row>
    <row r="51" ht="19.35" customHeight="1">
      <c r="A51" s="128" t="inlineStr">
        <is>
          <t>Red KPI</t>
        </is>
      </c>
      <c r="B51" s="150" t="inlineStr">
        <is>
          <t xml:space="preserve">Cause 1 </t>
        </is>
      </c>
      <c r="C51" s="361" t="inlineStr">
        <is>
          <t>Cause 2</t>
        </is>
      </c>
      <c r="D51" s="361" t="inlineStr">
        <is>
          <t>Cause 3</t>
        </is>
      </c>
      <c r="E51" s="361" t="inlineStr">
        <is>
          <t>Cause 4</t>
        </is>
      </c>
      <c r="F51" s="361" t="inlineStr">
        <is>
          <t>Cause 5</t>
        </is>
      </c>
    </row>
    <row r="52" ht="39" customHeight="1">
      <c r="A52" s="234" t="inlineStr">
        <is>
          <t>% CAPA implementation Tasks on time</t>
        </is>
      </c>
      <c r="B52" s="272" t="inlineStr">
        <is>
          <t>Lack of Ownership with either action owners or Support functions</t>
        </is>
      </c>
      <c r="C52" s="127" t="n"/>
      <c r="D52" s="127" t="n"/>
      <c r="E52" s="217" t="n"/>
      <c r="F52" s="127" t="n"/>
    </row>
    <row r="53" ht="19.35" customHeight="1">
      <c r="A53" s="41" t="inlineStr">
        <is>
          <t>% impact on KPI gap</t>
        </is>
      </c>
      <c r="B53" s="273" t="n">
        <v>1</v>
      </c>
      <c r="C53" s="42" t="n"/>
      <c r="D53" s="42" t="n"/>
      <c r="E53" s="42" t="n"/>
      <c r="F53" s="42" t="n"/>
    </row>
    <row r="54" ht="19.35" customHeight="1">
      <c r="A54" s="361" t="inlineStr">
        <is>
          <t>Red KPI</t>
        </is>
      </c>
      <c r="B54" s="150" t="inlineStr">
        <is>
          <t xml:space="preserve">Cause 1 </t>
        </is>
      </c>
      <c r="C54" s="361" t="inlineStr">
        <is>
          <t>Cause 2</t>
        </is>
      </c>
      <c r="D54" s="361" t="inlineStr">
        <is>
          <t>Cause 3</t>
        </is>
      </c>
      <c r="E54" s="361" t="inlineStr">
        <is>
          <t>Cause 4</t>
        </is>
      </c>
      <c r="F54" s="361" t="inlineStr">
        <is>
          <t>Cause 5</t>
        </is>
      </c>
    </row>
    <row r="55" ht="26.85" customHeight="1">
      <c r="A55" s="27" t="inlineStr">
        <is>
          <t>Factory Yield</t>
        </is>
      </c>
      <c r="B55" s="274" t="inlineStr">
        <is>
          <t>SQN</t>
        </is>
      </c>
      <c r="C55" s="127" t="inlineStr">
        <is>
          <t>Design</t>
        </is>
      </c>
      <c r="D55" s="41" t="inlineStr">
        <is>
          <t>Warehousing</t>
        </is>
      </c>
      <c r="E55" s="41" t="inlineStr">
        <is>
          <t>Manufacturing</t>
        </is>
      </c>
      <c r="F55" s="41" t="inlineStr">
        <is>
          <t>Transport</t>
        </is>
      </c>
    </row>
    <row r="56" ht="19.35" customHeight="1">
      <c r="A56" s="27" t="inlineStr">
        <is>
          <t>% impact on KPI gap</t>
        </is>
      </c>
      <c r="B56" s="271" t="n">
        <v>0.5</v>
      </c>
      <c r="C56" s="42" t="n">
        <v>0.19</v>
      </c>
      <c r="D56" s="42" t="n">
        <v>0.1</v>
      </c>
      <c r="E56" s="42" t="n">
        <v>0.08</v>
      </c>
      <c r="F56" s="42" t="n">
        <v>0.02</v>
      </c>
    </row>
    <row r="57" ht="19.35" customHeight="1">
      <c r="A57" s="361" t="inlineStr">
        <is>
          <t>Red KPI</t>
        </is>
      </c>
      <c r="B57" s="150" t="inlineStr">
        <is>
          <t xml:space="preserve">Cause 1 </t>
        </is>
      </c>
      <c r="C57" s="361" t="inlineStr">
        <is>
          <t>Cause 2</t>
        </is>
      </c>
      <c r="D57" s="361" t="inlineStr">
        <is>
          <t>Cause 3</t>
        </is>
      </c>
      <c r="E57" s="361" t="inlineStr">
        <is>
          <t>Cause 4</t>
        </is>
      </c>
      <c r="F57" s="361" t="inlineStr">
        <is>
          <t>Cause 5</t>
        </is>
      </c>
    </row>
    <row r="58" ht="19.35" customHeight="1">
      <c r="B58" s="274" t="n"/>
      <c r="C58" s="41" t="n"/>
      <c r="D58" s="41" t="n"/>
      <c r="E58" s="41" t="n"/>
      <c r="F58" s="41" t="n"/>
    </row>
    <row r="59" ht="19.35" customHeight="1">
      <c r="A59" s="27" t="inlineStr">
        <is>
          <t>% impact on KPI gap</t>
        </is>
      </c>
      <c r="B59" s="271" t="n"/>
      <c r="C59" s="42" t="n"/>
      <c r="D59" s="42" t="n"/>
      <c r="E59" s="42" t="n"/>
      <c r="F59" s="42" t="n"/>
    </row>
    <row r="60" ht="19.35" customHeight="1">
      <c r="A60" s="361" t="inlineStr">
        <is>
          <t>Red KPI</t>
        </is>
      </c>
      <c r="B60" s="150" t="inlineStr">
        <is>
          <t xml:space="preserve">Cause 1 </t>
        </is>
      </c>
      <c r="C60" s="361" t="inlineStr">
        <is>
          <t>Cause 2</t>
        </is>
      </c>
      <c r="D60" s="361" t="inlineStr">
        <is>
          <t>Cause 3</t>
        </is>
      </c>
      <c r="E60" s="361" t="inlineStr">
        <is>
          <t>Cause 4</t>
        </is>
      </c>
      <c r="F60" s="361" t="inlineStr">
        <is>
          <t>Cause 5</t>
        </is>
      </c>
    </row>
    <row r="61" ht="19.35" customHeight="1">
      <c r="A61" s="27" t="n"/>
      <c r="B61" s="274" t="n"/>
      <c r="C61" s="41" t="n"/>
      <c r="D61" s="41" t="n"/>
      <c r="E61" s="41" t="n"/>
      <c r="F61" s="41" t="n"/>
    </row>
    <row r="62" ht="19.35" customHeight="1">
      <c r="A62" s="27" t="inlineStr">
        <is>
          <t>% impact on KPI gap</t>
        </is>
      </c>
      <c r="B62" s="271" t="n"/>
      <c r="C62" s="42" t="n"/>
      <c r="D62" s="42" t="n"/>
      <c r="E62" s="42" t="n"/>
      <c r="F62" s="42" t="n"/>
    </row>
    <row r="63" ht="19.35" customHeight="1">
      <c r="A63" s="361" t="inlineStr">
        <is>
          <t>Red KPI</t>
        </is>
      </c>
      <c r="B63" s="150" t="inlineStr">
        <is>
          <t xml:space="preserve">Cause 1 </t>
        </is>
      </c>
      <c r="C63" s="361" t="inlineStr">
        <is>
          <t>Cause 2</t>
        </is>
      </c>
      <c r="D63" s="361" t="inlineStr">
        <is>
          <t>Cause 3</t>
        </is>
      </c>
      <c r="E63" s="361" t="inlineStr">
        <is>
          <t>Cause 4</t>
        </is>
      </c>
      <c r="F63" s="361" t="inlineStr">
        <is>
          <t>Cause 5</t>
        </is>
      </c>
    </row>
    <row r="64" ht="19.35" customHeight="1">
      <c r="A64" s="27" t="n"/>
      <c r="B64" s="274" t="n"/>
      <c r="C64" s="41" t="n"/>
      <c r="D64" s="41" t="n"/>
      <c r="E64" s="41" t="n"/>
      <c r="F64" s="41" t="n"/>
    </row>
    <row r="65" ht="19.35" customHeight="1">
      <c r="A65" s="27" t="inlineStr">
        <is>
          <t>% impact on KPI gap</t>
        </is>
      </c>
      <c r="B65" s="271" t="n"/>
      <c r="C65" s="42" t="n"/>
      <c r="D65" s="42" t="n"/>
      <c r="E65" s="42" t="n"/>
      <c r="F65" s="42" t="n"/>
    </row>
    <row r="66" ht="21" customHeight="1">
      <c r="A66" s="10" t="inlineStr">
        <is>
          <t>Paretos for RCA</t>
        </is>
      </c>
    </row>
    <row r="67">
      <c r="A67" s="639" t="n"/>
    </row>
    <row r="68">
      <c r="A68" s="639" t="n"/>
    </row>
    <row r="69">
      <c r="A69" s="639" t="n"/>
    </row>
    <row r="70">
      <c r="A70" s="639" t="n"/>
    </row>
    <row r="71">
      <c r="A71" s="639" t="n"/>
    </row>
    <row r="72">
      <c r="A72" s="639" t="n"/>
    </row>
    <row r="73">
      <c r="A73" s="639" t="n"/>
    </row>
    <row r="74">
      <c r="A74" s="639" t="n"/>
    </row>
    <row r="75">
      <c r="A75" s="639" t="n"/>
      <c r="W75" s="15" t="n"/>
      <c r="X75" s="15" t="n"/>
      <c r="Y75" s="15" t="n"/>
      <c r="Z75" s="15" t="n"/>
      <c r="AA75" s="15" t="n"/>
      <c r="AB75" s="15" t="n"/>
      <c r="AC75" s="15" t="n"/>
      <c r="AD75" s="15" t="n"/>
      <c r="AE75" s="15" t="n"/>
      <c r="AF75" s="15" t="n"/>
      <c r="AG75" s="15" t="n"/>
      <c r="AH75" s="15" t="n"/>
      <c r="AI75" s="15" t="n"/>
    </row>
    <row r="76">
      <c r="A76" s="639" t="n"/>
    </row>
    <row r="77">
      <c r="A77" s="639" t="n"/>
    </row>
    <row r="78">
      <c r="A78" s="639" t="n"/>
    </row>
    <row r="79">
      <c r="A79" s="639" t="n"/>
    </row>
    <row r="80">
      <c r="A80" s="639" t="n"/>
    </row>
    <row r="81">
      <c r="A81" s="639" t="n"/>
    </row>
    <row r="82" ht="18.6" customHeight="1">
      <c r="A82" s="695" t="inlineStr">
        <is>
          <t>Action tracker</t>
        </is>
      </c>
      <c r="B82" s="696" t="n"/>
      <c r="C82" s="696" t="n"/>
      <c r="D82" s="696" t="n"/>
      <c r="E82" s="696" t="n"/>
      <c r="F82" s="697" t="n"/>
      <c r="H82" s="698" t="inlineStr">
        <is>
          <t>Handshake Escalations/Support required</t>
        </is>
      </c>
      <c r="I82" s="696" t="n"/>
      <c r="J82" s="696" t="n"/>
      <c r="K82" s="696" t="n"/>
      <c r="L82" s="696" t="n"/>
      <c r="M82" s="696" t="n"/>
      <c r="N82" s="696" t="n"/>
      <c r="O82" s="697" t="n"/>
    </row>
    <row r="83" ht="41.85" customFormat="1" customHeight="1" s="15">
      <c r="A83" s="16" t="inlineStr">
        <is>
          <t>Red KPI</t>
        </is>
      </c>
      <c r="B83" s="275" t="inlineStr">
        <is>
          <t>Root cause description</t>
        </is>
      </c>
      <c r="C83" s="18" t="inlineStr">
        <is>
          <t>Corrective action</t>
        </is>
      </c>
      <c r="D83" s="19" t="inlineStr">
        <is>
          <t>Owner</t>
        </is>
      </c>
      <c r="E83" s="17" t="inlineStr">
        <is>
          <t>Due Date</t>
        </is>
      </c>
      <c r="F83" s="20" t="inlineStr">
        <is>
          <t>Status</t>
        </is>
      </c>
      <c r="H83" s="21" t="inlineStr">
        <is>
          <t>KPI Name</t>
        </is>
      </c>
      <c r="I83" s="22" t="inlineStr">
        <is>
          <t>Key Dependency</t>
        </is>
      </c>
      <c r="J83" s="22" t="inlineStr">
        <is>
          <t>Function Name</t>
        </is>
      </c>
      <c r="K83" s="23" t="inlineStr">
        <is>
          <t>What action/s from
 Function is expected</t>
        </is>
      </c>
      <c r="L83" s="23" t="inlineStr">
        <is>
          <t>Success measure for
Action Closure</t>
        </is>
      </c>
      <c r="M83" s="24" t="inlineStr">
        <is>
          <t>Handshaked
(Yes or No)</t>
        </is>
      </c>
      <c r="N83" s="23" t="inlineStr">
        <is>
          <t>Open issue description</t>
        </is>
      </c>
      <c r="O83" s="36" t="inlineStr">
        <is>
          <t>Solutions to 
Open issues</t>
        </is>
      </c>
    </row>
    <row r="84" ht="16.5" customHeight="1">
      <c r="A84" s="699" t="inlineStr">
        <is>
          <t>CAPA Investigation &lt;90 Days</t>
        </is>
      </c>
      <c r="B84" s="387" t="inlineStr">
        <is>
          <t>Unavailability of Failed samples for Testing /analysis</t>
        </is>
      </c>
      <c r="C84" s="388" t="inlineStr">
        <is>
          <t>Evaluate the process of CAPA and arrangement of field samples to ensure timely availability of sample for analysis/investigation</t>
        </is>
      </c>
      <c r="D84" s="388" t="inlineStr">
        <is>
          <t>Praveen /Amey</t>
        </is>
      </c>
      <c r="E84" s="379" t="n">
        <v>46157</v>
      </c>
      <c r="F84" s="700" t="n">
        <v>5</v>
      </c>
      <c r="H84" s="699" t="n"/>
      <c r="I84" s="388" t="n"/>
      <c r="J84" s="701" t="n"/>
      <c r="K84" s="702" t="n"/>
      <c r="L84" s="702" t="n"/>
      <c r="M84" s="703" t="n"/>
      <c r="N84" s="701" t="n"/>
      <c r="O84" s="704" t="n"/>
    </row>
    <row r="85" ht="48" customHeight="1">
      <c r="A85" s="705" t="n"/>
      <c r="B85" s="671" t="n"/>
      <c r="C85" s="671" t="n"/>
      <c r="D85" s="671" t="n"/>
      <c r="E85" s="671" t="n"/>
      <c r="F85" s="672" t="n"/>
      <c r="H85" s="705" t="n"/>
      <c r="I85" s="671" t="n"/>
      <c r="J85" s="671" t="n"/>
      <c r="K85" s="671" t="n"/>
      <c r="L85" s="671" t="n"/>
      <c r="M85" s="671" t="n"/>
      <c r="N85" s="671" t="n"/>
      <c r="O85" s="672" t="n"/>
    </row>
    <row r="86" ht="27" customHeight="1">
      <c r="A86" s="699" t="inlineStr">
        <is>
          <t>CAPA Investigation &lt;90 Days</t>
        </is>
      </c>
      <c r="B86" s="387" t="inlineStr">
        <is>
          <t>Delayed Supplier Response for Deisgn owned by Suppiler</t>
        </is>
      </c>
      <c r="C86" s="388" t="inlineStr">
        <is>
          <t>Ensuring that CAPA team incudes Procurement and SQE for product CAPA's at the start of CAPA</t>
        </is>
      </c>
      <c r="D86" s="388" t="inlineStr">
        <is>
          <t>Praveen</t>
        </is>
      </c>
      <c r="E86" s="379" t="inlineStr">
        <is>
          <t>NA</t>
        </is>
      </c>
      <c r="F86" s="700" t="n">
        <v>5</v>
      </c>
      <c r="H86" s="699" t="n"/>
      <c r="I86" s="701" t="n"/>
      <c r="J86" s="701" t="n"/>
      <c r="K86" s="701" t="n"/>
      <c r="L86" s="701" t="n"/>
      <c r="M86" s="703" t="n"/>
      <c r="N86" s="701" t="n"/>
      <c r="O86" s="704" t="n"/>
    </row>
    <row r="87" ht="29.25" customHeight="1">
      <c r="A87" s="705" t="n"/>
      <c r="B87" s="671" t="n"/>
      <c r="C87" s="671" t="n"/>
      <c r="D87" s="671" t="n"/>
      <c r="E87" s="671" t="n"/>
      <c r="F87" s="672" t="n"/>
      <c r="H87" s="705" t="n"/>
      <c r="I87" s="671" t="n"/>
      <c r="J87" s="671" t="n"/>
      <c r="K87" s="671" t="n"/>
      <c r="L87" s="671" t="n"/>
      <c r="M87" s="671" t="n"/>
      <c r="N87" s="671" t="n"/>
      <c r="O87" s="672" t="n"/>
    </row>
    <row r="88" ht="17.1" customHeight="1">
      <c r="A88" s="699" t="inlineStr">
        <is>
          <t>CAPA Investigation &lt;90 Days</t>
        </is>
      </c>
      <c r="B88" s="387" t="inlineStr">
        <is>
          <t>Complexity</t>
        </is>
      </c>
      <c r="C88" s="388" t="inlineStr">
        <is>
          <t>VSM workshop
Optimize process</t>
        </is>
      </c>
      <c r="D88" s="388" t="inlineStr">
        <is>
          <t>Praveen</t>
        </is>
      </c>
      <c r="E88" s="379" t="n">
        <v>46167</v>
      </c>
      <c r="F88" s="700" t="n">
        <v>5</v>
      </c>
      <c r="H88" s="699" t="n"/>
      <c r="I88" s="701" t="n"/>
      <c r="J88" s="701" t="n"/>
      <c r="K88" s="701" t="n"/>
      <c r="L88" s="701" t="n"/>
      <c r="M88" s="703" t="n"/>
      <c r="N88" s="701" t="n"/>
      <c r="O88" s="704" t="n"/>
    </row>
    <row r="89" ht="16.5" customHeight="1">
      <c r="A89" s="705" t="n"/>
      <c r="B89" s="671" t="n"/>
      <c r="C89" s="671" t="n"/>
      <c r="D89" s="671" t="n"/>
      <c r="E89" s="671" t="n"/>
      <c r="F89" s="672" t="n"/>
      <c r="H89" s="705" t="n"/>
      <c r="I89" s="671" t="n"/>
      <c r="J89" s="671" t="n"/>
      <c r="K89" s="671" t="n"/>
      <c r="L89" s="671" t="n"/>
      <c r="M89" s="671" t="n"/>
      <c r="N89" s="671" t="n"/>
      <c r="O89" s="672" t="n"/>
    </row>
    <row r="90" ht="16.5" customHeight="1">
      <c r="A90" s="699" t="inlineStr">
        <is>
          <t>CAPA implementation tasks</t>
        </is>
      </c>
      <c r="B90" s="387" t="inlineStr">
        <is>
          <t>Lack of Clarity on C&amp;R planning and executionat the time of CAPA action planning</t>
        </is>
      </c>
      <c r="C90" s="388" t="inlineStr">
        <is>
          <t>Collaborate with PM team on planning and priorotizing open CAPA Actions</t>
        </is>
      </c>
      <c r="D90" s="388" t="inlineStr">
        <is>
          <t>Praveen/Akash</t>
        </is>
      </c>
      <c r="E90" s="379" t="n">
        <v>46232</v>
      </c>
      <c r="F90" s="700" t="n">
        <v>5</v>
      </c>
      <c r="H90" s="699" t="n"/>
      <c r="I90" s="701" t="n"/>
      <c r="J90" s="701" t="n"/>
      <c r="K90" s="701" t="n"/>
      <c r="L90" s="701" t="n"/>
      <c r="M90" s="703" t="n"/>
      <c r="N90" s="701" t="n"/>
      <c r="O90" s="704" t="n"/>
    </row>
    <row r="91" ht="25.5" customHeight="1">
      <c r="A91" s="705" t="n"/>
      <c r="B91" s="671" t="n"/>
      <c r="C91" s="671" t="n"/>
      <c r="D91" s="671" t="n"/>
      <c r="E91" s="671" t="n"/>
      <c r="F91" s="672" t="n"/>
      <c r="H91" s="705" t="n"/>
      <c r="I91" s="671" t="n"/>
      <c r="J91" s="671" t="n"/>
      <c r="K91" s="671" t="n"/>
      <c r="L91" s="671" t="n"/>
      <c r="M91" s="671" t="n"/>
      <c r="N91" s="671" t="n"/>
      <c r="O91" s="672" t="n"/>
    </row>
    <row r="92" ht="67.5" customHeight="1">
      <c r="A92" s="297" t="inlineStr">
        <is>
          <t>CAPA KPI's</t>
        </is>
      </c>
      <c r="B92" s="303" t="inlineStr">
        <is>
          <t>Lack of Ownership with either action owners or Support functions</t>
        </is>
      </c>
      <c r="C92" s="304" t="inlineStr">
        <is>
          <t>Ownershipd shall be assigned within 3 days from the date of Creation of Event in Appian Tool</t>
        </is>
      </c>
      <c r="D92" s="306" t="inlineStr">
        <is>
          <t>Shirpad D</t>
        </is>
      </c>
      <c r="E92" s="306" t="inlineStr">
        <is>
          <t>Effective from June 2026</t>
        </is>
      </c>
      <c r="F92" s="302" t="n">
        <v>5</v>
      </c>
      <c r="H92" s="501" t="n"/>
      <c r="I92" s="528" t="n"/>
      <c r="J92" s="528" t="n"/>
      <c r="K92" s="528" t="n"/>
      <c r="L92" s="528" t="n"/>
      <c r="M92" s="535" t="n"/>
      <c r="N92" s="528" t="n"/>
      <c r="O92" s="539" t="n"/>
    </row>
    <row r="93" ht="75" customHeight="1">
      <c r="A93" s="297" t="inlineStr">
        <is>
          <t>CAPA KPI's</t>
        </is>
      </c>
      <c r="B93" s="303" t="inlineStr">
        <is>
          <t>Lack of Ownership with either action owners or Support functions</t>
        </is>
      </c>
      <c r="C93" s="304" t="inlineStr">
        <is>
          <t>Resource allocation /CAPA team formation in alignment with the people managers within 5 days</t>
        </is>
      </c>
      <c r="D93" s="306" t="inlineStr">
        <is>
          <t>Shirpad D</t>
        </is>
      </c>
      <c r="E93" s="306" t="inlineStr">
        <is>
          <t>Effective from June 2026</t>
        </is>
      </c>
      <c r="F93" s="302" t="n">
        <v>5</v>
      </c>
      <c r="H93" s="501" t="n"/>
      <c r="I93" s="528" t="n"/>
      <c r="J93" s="528" t="n"/>
      <c r="K93" s="528" t="n"/>
      <c r="L93" s="528" t="n"/>
      <c r="M93" s="535" t="n"/>
      <c r="N93" s="528" t="n"/>
      <c r="O93" s="539" t="n"/>
    </row>
    <row r="94" ht="43.5" customHeight="1">
      <c r="A94" s="297" t="inlineStr">
        <is>
          <t>CAPA KPI's</t>
        </is>
      </c>
      <c r="B94" s="303" t="inlineStr">
        <is>
          <t>Lack of Ownership with either action owners or Support functions</t>
        </is>
      </c>
      <c r="C94" s="529" t="inlineStr">
        <is>
          <t>Checklist for all the new CAPA's for all the needs to perform Timely complation</t>
        </is>
      </c>
      <c r="D94" s="306" t="inlineStr">
        <is>
          <t>Akash</t>
        </is>
      </c>
      <c r="E94" s="307" t="n">
        <v>46203</v>
      </c>
      <c r="F94" s="302" t="n">
        <v>5</v>
      </c>
      <c r="H94" s="501" t="n"/>
      <c r="I94" s="528" t="n"/>
      <c r="J94" s="528" t="n"/>
      <c r="K94" s="528" t="n"/>
      <c r="L94" s="528" t="n"/>
      <c r="M94" s="535" t="n"/>
      <c r="N94" s="528" t="n"/>
      <c r="O94" s="539" t="n"/>
    </row>
    <row r="95" ht="46.5" customHeight="1">
      <c r="A95" s="297" t="inlineStr">
        <is>
          <t>CAPA KPI's</t>
        </is>
      </c>
      <c r="B95" s="303" t="inlineStr">
        <is>
          <t>Lack of Ownership with either action owners or Support functions</t>
        </is>
      </c>
      <c r="C95" s="529" t="inlineStr">
        <is>
          <t>Update all cross functional team shall have CAPA kpi as goals</t>
        </is>
      </c>
      <c r="D95" s="306" t="inlineStr">
        <is>
          <t xml:space="preserve">Praveen </t>
        </is>
      </c>
      <c r="E95" s="307" t="n">
        <v>46234</v>
      </c>
      <c r="F95" s="302" t="n">
        <v>5</v>
      </c>
      <c r="H95" s="501" t="n"/>
      <c r="I95" s="528" t="n"/>
      <c r="J95" s="528" t="n"/>
      <c r="K95" s="528" t="n"/>
      <c r="L95" s="528" t="n"/>
      <c r="M95" s="535" t="n"/>
      <c r="N95" s="528" t="n"/>
      <c r="O95" s="539" t="n"/>
    </row>
    <row r="96" ht="48" customHeight="1">
      <c r="A96" s="297" t="inlineStr">
        <is>
          <t>CAPA KPI's</t>
        </is>
      </c>
      <c r="B96" s="303" t="inlineStr">
        <is>
          <t>Lack of Ownership with either action owners or Support functions</t>
        </is>
      </c>
      <c r="C96" s="529" t="inlineStr">
        <is>
          <t>Review of CAPA documents shall be done within 3 working days</t>
        </is>
      </c>
      <c r="D96" s="306" t="inlineStr">
        <is>
          <t>Shirpad D</t>
        </is>
      </c>
      <c r="E96" s="306" t="inlineStr">
        <is>
          <t>Effective from July 2026</t>
        </is>
      </c>
      <c r="F96" s="302" t="n">
        <v>5</v>
      </c>
      <c r="H96" s="501" t="n"/>
      <c r="I96" s="528" t="n"/>
      <c r="J96" s="528" t="n"/>
      <c r="K96" s="528" t="n"/>
      <c r="L96" s="528" t="n"/>
      <c r="M96" s="535" t="n"/>
      <c r="N96" s="528" t="n"/>
      <c r="O96" s="539" t="n"/>
    </row>
    <row r="97" ht="75.75" customHeight="1">
      <c r="A97" s="297" t="inlineStr">
        <is>
          <t>CAPA KPI's</t>
        </is>
      </c>
      <c r="B97" s="303" t="inlineStr">
        <is>
          <t>Lack of Ownership with either action owners or Support functions</t>
        </is>
      </c>
      <c r="C97" s="529" t="inlineStr">
        <is>
          <t>Ownership and report out on
- CAPA investigation ownership
- CAPA Implementation ownership ( inlcudes Extension of CAPA Action shall be taken atleast 30 days prior to the due date by the CAPA Action owner)
- report out for overall CAPA performance</t>
        </is>
      </c>
      <c r="D97" s="306" t="inlineStr">
        <is>
          <t>Abhijit K</t>
        </is>
      </c>
      <c r="E97" s="306" t="inlineStr">
        <is>
          <t>Effective from July 2026</t>
        </is>
      </c>
      <c r="F97" s="302" t="n">
        <v>5</v>
      </c>
      <c r="H97" s="501" t="n"/>
      <c r="I97" s="528" t="n"/>
      <c r="J97" s="528" t="n"/>
      <c r="K97" s="528" t="n"/>
      <c r="L97" s="528" t="n"/>
      <c r="M97" s="535" t="n"/>
      <c r="N97" s="528" t="n"/>
      <c r="O97" s="539" t="n"/>
    </row>
    <row r="98" ht="59.25" customFormat="1" customHeight="1" s="269">
      <c r="A98" s="297" t="inlineStr">
        <is>
          <t>CAPA KPI's</t>
        </is>
      </c>
      <c r="B98" s="303" t="inlineStr">
        <is>
          <t>Lack of Ownership with either action owners or Support functions</t>
        </is>
      </c>
      <c r="C98" s="305" t="inlineStr">
        <is>
          <t>Escalation Matrix shall be defined for extension , resource alocation and support</t>
        </is>
      </c>
      <c r="D98" s="306" t="inlineStr">
        <is>
          <t>Akash/Shripad</t>
        </is>
      </c>
      <c r="E98" s="307" t="n">
        <v>46197</v>
      </c>
      <c r="F98" s="302" t="n">
        <v>5</v>
      </c>
      <c r="H98" s="532" t="n"/>
      <c r="I98" s="300" t="n"/>
      <c r="J98" s="300" t="n"/>
      <c r="K98" s="300" t="n"/>
      <c r="L98" s="300" t="n"/>
      <c r="M98" s="300" t="n"/>
      <c r="N98" s="300" t="n"/>
      <c r="O98" s="301" t="n"/>
    </row>
    <row r="99" ht="30" customHeight="1">
      <c r="A99" s="297" t="inlineStr">
        <is>
          <t>CAPA KPI's</t>
        </is>
      </c>
      <c r="B99" s="303" t="inlineStr">
        <is>
          <t>Lack of Ownership with either action owners or Support functions</t>
        </is>
      </c>
      <c r="C99" s="529" t="inlineStr">
        <is>
          <t>Appreciation For CAPA Work and WOW on how</t>
        </is>
      </c>
      <c r="D99" s="306" t="inlineStr">
        <is>
          <t>Neena</t>
        </is>
      </c>
      <c r="E99" s="307" t="n">
        <v>46192</v>
      </c>
      <c r="F99" s="302" t="n">
        <v>5</v>
      </c>
      <c r="H99" s="501" t="n"/>
      <c r="I99" s="528" t="n"/>
      <c r="J99" s="528" t="n"/>
      <c r="K99" s="528" t="n"/>
      <c r="L99" s="528" t="n"/>
      <c r="M99" s="535" t="n"/>
      <c r="N99" s="528" t="n"/>
      <c r="O99" s="539" t="n"/>
    </row>
    <row r="100" ht="43.5" customHeight="1">
      <c r="A100" s="297" t="inlineStr">
        <is>
          <t>CAPA KPI's</t>
        </is>
      </c>
      <c r="B100" s="303" t="inlineStr">
        <is>
          <t>Lack of Ownership with either action owners or Support functions</t>
        </is>
      </c>
      <c r="C100" s="529" t="inlineStr">
        <is>
          <t xml:space="preserve">Roadmap of CAPA implementation actions </t>
        </is>
      </c>
      <c r="D100" s="306" t="inlineStr">
        <is>
          <t>Akash</t>
        </is>
      </c>
      <c r="E100" s="307" t="n">
        <v>46198</v>
      </c>
      <c r="F100" s="302" t="n">
        <v>5</v>
      </c>
      <c r="H100" s="501" t="n"/>
      <c r="I100" s="528" t="n"/>
      <c r="J100" s="528" t="n"/>
      <c r="K100" s="528" t="n"/>
      <c r="L100" s="528" t="n"/>
      <c r="M100" s="535" t="n"/>
      <c r="N100" s="528" t="n"/>
      <c r="O100" s="539" t="n"/>
    </row>
    <row r="101" ht="120.75" customHeight="1">
      <c r="A101" s="297" t="inlineStr">
        <is>
          <t>CAPA KPI's</t>
        </is>
      </c>
      <c r="B101" s="303" t="inlineStr">
        <is>
          <t>Lack of Ownership with either action owners or Support functions/Complexity in risk management content alignment</t>
        </is>
      </c>
      <c r="C101" s="305" t="inlineStr">
        <is>
          <t>Capability development in Key document contents
- Compile all the feedback/learnings from previous document reviews ( 1 year ) and provide training to respecive stakeholders ( PPMRR/HHE/HHED/CRRB ppt)</t>
        </is>
      </c>
      <c r="D101" s="304" t="inlineStr">
        <is>
          <t>Action Owner To be decided with Shripad</t>
        </is>
      </c>
      <c r="E101" s="307" t="n">
        <v>46285</v>
      </c>
      <c r="F101" s="302" t="n">
        <v>5</v>
      </c>
      <c r="H101" s="501" t="n"/>
      <c r="I101" s="528" t="n"/>
      <c r="J101" s="528" t="n"/>
      <c r="K101" s="528" t="n"/>
      <c r="L101" s="528" t="n"/>
      <c r="M101" s="535" t="n"/>
      <c r="N101" s="528" t="n"/>
      <c r="O101" s="539" t="n"/>
    </row>
    <row r="102" ht="25.5" customHeight="1">
      <c r="A102" s="297" t="inlineStr">
        <is>
          <t>CAPA KPI's</t>
        </is>
      </c>
      <c r="B102" s="303" t="inlineStr">
        <is>
          <t>Lack of Ownership with either action owners or Support functions</t>
        </is>
      </c>
      <c r="C102" s="529" t="inlineStr">
        <is>
          <t>Conduct Training to all stakeholders and compile list of CAPA Owners trained on CAPA process</t>
        </is>
      </c>
      <c r="D102" s="306" t="inlineStr">
        <is>
          <t xml:space="preserve">Praveen </t>
        </is>
      </c>
      <c r="E102" s="306" t="inlineStr">
        <is>
          <t xml:space="preserve">Ongoing </t>
        </is>
      </c>
      <c r="F102" s="302" t="n">
        <v>3</v>
      </c>
      <c r="H102" s="501" t="n"/>
      <c r="I102" s="528" t="n"/>
      <c r="J102" s="528" t="n"/>
      <c r="K102" s="528" t="n"/>
      <c r="L102" s="528" t="n"/>
      <c r="M102" s="535" t="n"/>
      <c r="N102" s="528" t="n"/>
      <c r="O102" s="539" t="n"/>
    </row>
    <row r="103" ht="16.5" customHeight="1">
      <c r="A103" s="464" t="n"/>
      <c r="B103" s="465" t="n"/>
      <c r="C103" s="398" t="n"/>
      <c r="D103" s="398" t="n"/>
      <c r="E103" s="399" t="n"/>
      <c r="F103" s="700" t="n">
        <v>1</v>
      </c>
      <c r="H103" s="699" t="n"/>
      <c r="I103" s="701" t="n"/>
      <c r="J103" s="701" t="n"/>
      <c r="K103" s="701" t="n"/>
      <c r="L103" s="701" t="n"/>
      <c r="M103" s="703" t="n"/>
      <c r="N103" s="701" t="n"/>
      <c r="O103" s="704" t="n"/>
    </row>
    <row r="104" ht="16.5" customHeight="1">
      <c r="A104" s="705" t="n"/>
      <c r="B104" s="671" t="n"/>
      <c r="C104" s="671" t="n"/>
      <c r="D104" s="671" t="n"/>
      <c r="E104" s="671" t="n"/>
      <c r="F104" s="672" t="n"/>
      <c r="H104" s="705" t="n"/>
      <c r="I104" s="671" t="n"/>
      <c r="J104" s="671" t="n"/>
      <c r="K104" s="671" t="n"/>
      <c r="L104" s="671" t="n"/>
      <c r="M104" s="671" t="n"/>
      <c r="N104" s="671" t="n"/>
      <c r="O104" s="672" t="n"/>
    </row>
    <row r="105" ht="16.5" customHeight="1">
      <c r="A105" s="699" t="n"/>
      <c r="B105" s="706" t="n"/>
      <c r="C105" s="707" t="n"/>
      <c r="D105" s="707" t="n"/>
      <c r="E105" s="708" t="n"/>
      <c r="F105" s="700" t="n">
        <v>1</v>
      </c>
      <c r="H105" s="709" t="n"/>
      <c r="I105" s="710" t="n"/>
      <c r="J105" s="710" t="n"/>
      <c r="K105" s="710" t="n"/>
      <c r="L105" s="710" t="n"/>
      <c r="M105" s="711" t="n"/>
      <c r="N105" s="710" t="n"/>
      <c r="O105" s="712" t="n"/>
    </row>
    <row r="106" ht="17.1" customHeight="1" thickBot="1">
      <c r="A106" s="705" t="n"/>
      <c r="B106" s="713" t="n"/>
      <c r="C106" s="713" t="n"/>
      <c r="D106" s="713" t="n"/>
      <c r="E106" s="713" t="n"/>
      <c r="F106" s="672" t="n"/>
      <c r="H106" s="714" t="n"/>
      <c r="I106" s="713" t="n"/>
      <c r="J106" s="713" t="n"/>
      <c r="K106" s="713" t="n"/>
      <c r="L106" s="713" t="n"/>
      <c r="M106" s="713" t="n"/>
      <c r="N106" s="713" t="n"/>
      <c r="O106" s="715" t="n"/>
    </row>
    <row r="107">
      <c r="A107" s="34" t="inlineStr">
        <is>
          <t>Action not assigned</t>
        </is>
      </c>
      <c r="B107" s="276" t="inlineStr">
        <is>
          <t>Action assigned</t>
        </is>
      </c>
      <c r="C107" s="35" t="inlineStr">
        <is>
          <t>Action started</t>
        </is>
      </c>
      <c r="D107" s="35" t="inlineStr">
        <is>
          <t>Action in progress</t>
        </is>
      </c>
      <c r="E107" s="165" t="inlineStr">
        <is>
          <t>Action completed</t>
        </is>
      </c>
      <c r="F107" s="716" t="n"/>
      <c r="G107" s="639" t="n"/>
    </row>
    <row r="108">
      <c r="A108" s="639" t="n"/>
      <c r="C108" s="639" t="n"/>
      <c r="D108" s="639" t="n"/>
      <c r="E108" s="639" t="n"/>
      <c r="F108" s="639" t="n"/>
      <c r="G108" s="639" t="n"/>
    </row>
    <row r="109">
      <c r="C109" s="639" t="n"/>
      <c r="D109" s="639" t="n"/>
      <c r="E109" s="639" t="n"/>
      <c r="F109" s="639" t="n"/>
      <c r="G109" s="639" t="n"/>
      <c r="H109" s="639" t="n"/>
    </row>
  </sheetData>
  <mergeCells count="147">
    <mergeCell ref="F84:F85"/>
    <mergeCell ref="K88:K89"/>
    <mergeCell ref="E8:E9"/>
    <mergeCell ref="M88:M89"/>
    <mergeCell ref="B12:B13"/>
    <mergeCell ref="G8:G9"/>
    <mergeCell ref="E88:E89"/>
    <mergeCell ref="B86:B87"/>
    <mergeCell ref="D86:D87"/>
    <mergeCell ref="F86:F87"/>
    <mergeCell ref="A105:A106"/>
    <mergeCell ref="A16:A17"/>
    <mergeCell ref="C16:C17"/>
    <mergeCell ref="B14:B15"/>
    <mergeCell ref="M90:M91"/>
    <mergeCell ref="H88:H89"/>
    <mergeCell ref="K90:K91"/>
    <mergeCell ref="D16:D17"/>
    <mergeCell ref="J103:J104"/>
    <mergeCell ref="B6:B7"/>
    <mergeCell ref="K105:K106"/>
    <mergeCell ref="H90:H91"/>
    <mergeCell ref="C105:C106"/>
    <mergeCell ref="E105:E106"/>
    <mergeCell ref="B103:B104"/>
    <mergeCell ref="A22:A23"/>
    <mergeCell ref="D103:D104"/>
    <mergeCell ref="H105:H106"/>
    <mergeCell ref="N103:N104"/>
    <mergeCell ref="D8:D9"/>
    <mergeCell ref="A20:A21"/>
    <mergeCell ref="N90:N91"/>
    <mergeCell ref="C86:C87"/>
    <mergeCell ref="M103:M104"/>
    <mergeCell ref="G22:G23"/>
    <mergeCell ref="I84:I85"/>
    <mergeCell ref="A82:F82"/>
    <mergeCell ref="D10:D11"/>
    <mergeCell ref="J88:J89"/>
    <mergeCell ref="A10:A15"/>
    <mergeCell ref="I86:I87"/>
    <mergeCell ref="C6:C7"/>
    <mergeCell ref="F16:F17"/>
    <mergeCell ref="A88:A89"/>
    <mergeCell ref="B90:B91"/>
    <mergeCell ref="A103:A104"/>
    <mergeCell ref="F20:F21"/>
    <mergeCell ref="A90:A91"/>
    <mergeCell ref="N105:N106"/>
    <mergeCell ref="E103:E104"/>
    <mergeCell ref="F22:F23"/>
    <mergeCell ref="M105:M106"/>
    <mergeCell ref="A46:B46"/>
    <mergeCell ref="D12:D13"/>
    <mergeCell ref="B84:B85"/>
    <mergeCell ref="L84:L85"/>
    <mergeCell ref="A8:A9"/>
    <mergeCell ref="N84:N85"/>
    <mergeCell ref="C8:C9"/>
    <mergeCell ref="L86:L87"/>
    <mergeCell ref="N86:N87"/>
    <mergeCell ref="D88:D89"/>
    <mergeCell ref="F88:F89"/>
    <mergeCell ref="B16:B17"/>
    <mergeCell ref="O86:O87"/>
    <mergeCell ref="F10:F11"/>
    <mergeCell ref="F24:F25"/>
    <mergeCell ref="D90:D91"/>
    <mergeCell ref="C103:C104"/>
    <mergeCell ref="B47:F47"/>
    <mergeCell ref="H82:O82"/>
    <mergeCell ref="A84:A85"/>
    <mergeCell ref="C20:C21"/>
    <mergeCell ref="E20:E21"/>
    <mergeCell ref="L103:L104"/>
    <mergeCell ref="B8:B9"/>
    <mergeCell ref="A6:A7"/>
    <mergeCell ref="I103:I104"/>
    <mergeCell ref="B105:B106"/>
    <mergeCell ref="C84:C85"/>
    <mergeCell ref="E84:E85"/>
    <mergeCell ref="D105:D106"/>
    <mergeCell ref="C22:C23"/>
    <mergeCell ref="E107:F107"/>
    <mergeCell ref="F8:F9"/>
    <mergeCell ref="N88:N89"/>
    <mergeCell ref="O103:O104"/>
    <mergeCell ref="G6:G7"/>
    <mergeCell ref="E86:E87"/>
    <mergeCell ref="G24:G25"/>
    <mergeCell ref="A3:B3"/>
    <mergeCell ref="H84:H85"/>
    <mergeCell ref="H103:H104"/>
    <mergeCell ref="F105:F106"/>
    <mergeCell ref="I88:I89"/>
    <mergeCell ref="J90:J91"/>
    <mergeCell ref="H86:H87"/>
    <mergeCell ref="L90:L91"/>
    <mergeCell ref="B20:B21"/>
    <mergeCell ref="E16:E17"/>
    <mergeCell ref="D20:D21"/>
    <mergeCell ref="G16:G17"/>
    <mergeCell ref="D14:D15"/>
    <mergeCell ref="J105:J106"/>
    <mergeCell ref="F14:F15"/>
    <mergeCell ref="L105:L106"/>
    <mergeCell ref="I90:I91"/>
    <mergeCell ref="B22:B23"/>
    <mergeCell ref="O90:O91"/>
    <mergeCell ref="A44:E44"/>
    <mergeCell ref="D6:D7"/>
    <mergeCell ref="F6:F7"/>
    <mergeCell ref="O105:O106"/>
    <mergeCell ref="J84:J85"/>
    <mergeCell ref="I105:I106"/>
    <mergeCell ref="A24:A25"/>
    <mergeCell ref="F103:F104"/>
    <mergeCell ref="F12:F13"/>
    <mergeCell ref="J86:J87"/>
    <mergeCell ref="C88:C89"/>
    <mergeCell ref="K84:K85"/>
    <mergeCell ref="O88:O89"/>
    <mergeCell ref="M84:M85"/>
    <mergeCell ref="O84:O85"/>
    <mergeCell ref="B88:B89"/>
    <mergeCell ref="C90:C91"/>
    <mergeCell ref="A86:A87"/>
    <mergeCell ref="L88:L89"/>
    <mergeCell ref="E90:E91"/>
    <mergeCell ref="C10:C15"/>
    <mergeCell ref="K86:K87"/>
    <mergeCell ref="E10:E15"/>
    <mergeCell ref="E6:E7"/>
    <mergeCell ref="M86:M87"/>
    <mergeCell ref="G10:G15"/>
    <mergeCell ref="B10:B11"/>
    <mergeCell ref="G20:G21"/>
    <mergeCell ref="B24:B25"/>
    <mergeCell ref="D24:D25"/>
    <mergeCell ref="F90:F91"/>
    <mergeCell ref="A47:A48"/>
    <mergeCell ref="K103:K104"/>
    <mergeCell ref="E22:E23"/>
    <mergeCell ref="C24:C25"/>
    <mergeCell ref="E24:E25"/>
    <mergeCell ref="D84:D85"/>
    <mergeCell ref="D22:D23"/>
  </mergeCells>
  <conditionalFormatting sqref="A6:G6 A8:G8 A84:A106 B24:G24 H84:H106">
    <cfRule type="containsBlanks" priority="161" dxfId="3">
      <formula>LEN(TRIM(A6))=0</formula>
    </cfRule>
  </conditionalFormatting>
  <conditionalFormatting sqref="A16:G16">
    <cfRule type="containsBlanks" priority="172" dxfId="3">
      <formula>LEN(TRIM(A16))=0</formula>
    </cfRule>
  </conditionalFormatting>
  <conditionalFormatting sqref="B92:B102">
    <cfRule type="containsBlanks" priority="4" dxfId="3">
      <formula>LEN(TRIM(B92))=0</formula>
    </cfRule>
  </conditionalFormatting>
  <conditionalFormatting sqref="B84:E84 B86:E86 B88:E88 B90:E90 B103:E103 B105:E105">
    <cfRule type="containsBlanks" priority="167" dxfId="3">
      <formula>LEN(TRIM(B84))=0</formula>
    </cfRule>
  </conditionalFormatting>
  <conditionalFormatting sqref="A55:F55 A61:F61 A64:F64 B49:F50 B56:F56 B58:F59 B62:F62 B65:F65">
    <cfRule type="containsBlanks" priority="157" dxfId="3">
      <formula>LEN(TRIM(A49))=0</formula>
    </cfRule>
  </conditionalFormatting>
  <conditionalFormatting sqref="C10">
    <cfRule type="containsBlanks" priority="126" dxfId="3">
      <formula>LEN(TRIM(C10))=0</formula>
    </cfRule>
  </conditionalFormatting>
  <conditionalFormatting sqref="D1 F1">
    <cfRule type="containsBlanks" priority="175" dxfId="3">
      <formula>LEN(TRIM(D1))=0</formula>
    </cfRule>
  </conditionalFormatting>
  <conditionalFormatting sqref="E94:E95">
    <cfRule type="containsBlanks" priority="3" dxfId="3">
      <formula>LEN(TRIM(E94))=0</formula>
    </cfRule>
  </conditionalFormatting>
  <conditionalFormatting sqref="E98:E101">
    <cfRule type="containsBlanks" priority="1" dxfId="3">
      <formula>LEN(TRIM(E98))=0</formula>
    </cfRule>
  </conditionalFormatting>
  <conditionalFormatting sqref="E10:G10 F12 F14">
    <cfRule type="containsBlanks" priority="122" dxfId="3">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priority="398" dxfId="19">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priority="6" dxfId="19">
      <formula>AND(#REF!&lt;&gt;"",E92&lt;TODAY(),F92&lt;4)</formula>
    </cfRule>
  </conditionalFormatting>
  <conditionalFormatting sqref="I13">
    <cfRule type="expression" priority="88" dxfId="0">
      <formula>AND(OR($F11="Lower the better", $F11="Lower the Better"), I13&gt;I11)</formula>
    </cfRule>
    <cfRule type="expression" priority="87" dxfId="1" stopIfTrue="1">
      <formula>AND(OR($F11="Higher the better", $F11="Higher the Better"), I13&gt;=I11)</formula>
    </cfRule>
    <cfRule type="expression" priority="86" dxfId="0">
      <formula>AND(OR($F11="Higher the better", $F11="Higher the Better"), I13&lt;I11)</formula>
    </cfRule>
    <cfRule type="expression" priority="84" dxfId="1" stopIfTrue="1">
      <formula>AND(OR($F12="Higher the better", $F12="Higher the Better"), I13&gt;=I12)</formula>
    </cfRule>
    <cfRule type="expression" priority="85" dxfId="1">
      <formula>AND(OR($F11="Lower the better", $F11="Lower the Better"), I13&lt;=I11)</formula>
    </cfRule>
    <cfRule type="expression" priority="69" dxfId="0">
      <formula>AND(OR($F12="Lower the better", $F12="Lower the Better"), I13&gt;I12)</formula>
    </cfRule>
    <cfRule type="expression" priority="70" dxfId="1">
      <formula>AND(OR($F12="Lower the better", $F12="Lower the Better"), I13&lt;=I12)</formula>
    </cfRule>
    <cfRule type="expression" priority="71" dxfId="0">
      <formula>AND(OR($F12="Higher the better", $F12="Higher the Better"), I13&lt;I12)</formula>
    </cfRule>
    <cfRule type="expression" priority="72" dxfId="1" stopIfTrue="1">
      <formula>AND(OR($F12="Higher the better", $F12="Higher the Better"), I13&gt;=I12)</formula>
    </cfRule>
    <cfRule type="expression" priority="73" dxfId="0">
      <formula>AND(OR($F12="Lower the better", $F12="Lower the Better"), I13&gt;I12)</formula>
    </cfRule>
    <cfRule type="expression" priority="74" dxfId="1">
      <formula>AND(OR($F12="Lower the better", $F12="Lower the Better"), I13&lt;=I12)</formula>
    </cfRule>
    <cfRule type="expression" priority="75" dxfId="0">
      <formula>AND(OR($F12="Higher the better", $F12="Higher the Better"), I13&lt;I12)</formula>
    </cfRule>
    <cfRule type="expression" priority="76" dxfId="1" stopIfTrue="1">
      <formula>AND(OR($F12="Higher the better", $F12="Higher the Better"), I13&gt;=I12)</formula>
    </cfRule>
    <cfRule type="expression" priority="77" dxfId="1">
      <formula>AND(OR($F11="Lower the better", $F11="Lower the Better"), I13&lt;=I11)</formula>
    </cfRule>
    <cfRule type="expression" priority="78" dxfId="0">
      <formula>AND(OR($F11="Higher the better", $F11="Higher the Better"), I13&lt;I11)</formula>
    </cfRule>
    <cfRule type="expression" priority="79" dxfId="1" stopIfTrue="1">
      <formula>AND(OR($F11="Higher the better", $F11="Higher the Better"), I13&gt;=I11)</formula>
    </cfRule>
    <cfRule type="expression" priority="80" dxfId="0">
      <formula>AND(OR($F11="Lower the better", $F11="Lower the Better"), I13&gt;I11)</formula>
    </cfRule>
    <cfRule type="expression" priority="81" dxfId="0">
      <formula>AND(OR($F12="Lower the better", $F12="Lower the Better"), I13&gt;I12)</formula>
    </cfRule>
    <cfRule type="expression" priority="82" dxfId="1">
      <formula>AND(OR($F12="Lower the better", $F12="Lower the Better"), I13&lt;=I12)</formula>
    </cfRule>
    <cfRule type="expression" priority="83" dxfId="0">
      <formula>AND(OR($F12="Higher the better", $F12="Higher the Better"), I13&lt;I12)</formula>
    </cfRule>
  </conditionalFormatting>
  <conditionalFormatting sqref="I15">
    <cfRule type="expression" priority="20" dxfId="1">
      <formula>AND(OR($F14="Lower the better", $F14="Lower the Better"), I15&lt;=I14)</formula>
    </cfRule>
    <cfRule type="expression" priority="22" dxfId="1" stopIfTrue="1">
      <formula>AND(OR($F14="Higher the better", $F14="Higher the Better"), I15&gt;=I14)</formula>
    </cfRule>
    <cfRule type="expression" priority="23" dxfId="0">
      <formula>AND(OR($F14="Lower the better", $F14="Lower the Better"), I15&gt;I14)</formula>
    </cfRule>
    <cfRule type="expression" priority="24" dxfId="1">
      <formula>AND(OR($F14="Lower the better", $F14="Lower the Better"), I15&lt;=I14)</formula>
    </cfRule>
    <cfRule type="expression" priority="25" dxfId="0">
      <formula>AND(OR($F14="Higher the better", $F14="Higher the Better"), I15&lt;I14)</formula>
    </cfRule>
    <cfRule type="expression" priority="26" dxfId="1" stopIfTrue="1">
      <formula>AND(OR($F14="Higher the better", $F14="Higher the Better"), I15&gt;=I14)</formula>
    </cfRule>
    <cfRule type="expression" priority="27" dxfId="0">
      <formula>AND(OR($F14="Lower the better", $F14="Lower the Better"), I15&gt;I14)</formula>
    </cfRule>
    <cfRule type="expression" priority="28" dxfId="1">
      <formula>AND(OR($F14="Lower the better", $F14="Lower the Better"), I15&lt;=I14)</formula>
    </cfRule>
    <cfRule type="expression" priority="29" dxfId="0">
      <formula>AND(OR($F14="Higher the better", $F14="Higher the Better"), I15&lt;I14)</formula>
    </cfRule>
    <cfRule type="expression" priority="30" dxfId="1" stopIfTrue="1">
      <formula>AND(OR($F14="Higher the better", $F14="Higher the Better"), I15&gt;=I14)</formula>
    </cfRule>
    <cfRule type="expression" priority="31" dxfId="1">
      <formula>AND(OR($F13="Lower the better", $F13="Lower the Better"), I15&lt;=I13)</formula>
    </cfRule>
    <cfRule type="expression" priority="32" dxfId="0">
      <formula>AND(OR($F13="Higher the better", $F13="Higher the Better"), I15&lt;I13)</formula>
    </cfRule>
    <cfRule type="expression" priority="33" dxfId="1" stopIfTrue="1">
      <formula>AND(OR($F13="Higher the better", $F13="Higher the Better"), I15&gt;=I13)</formula>
    </cfRule>
    <cfRule type="expression" priority="34" dxfId="0">
      <formula>AND(OR($F13="Lower the better", $F13="Lower the Better"), I15&gt;I13)</formula>
    </cfRule>
    <cfRule type="expression" priority="35" dxfId="0">
      <formula>AND(OR($F14="Lower the better", $F14="Lower the Better"), I15&gt;I14)</formula>
    </cfRule>
    <cfRule type="expression" priority="36" dxfId="1">
      <formula>AND(OR($F14="Lower the better", $F14="Lower the Better"), I15&lt;=I14)</formula>
    </cfRule>
    <cfRule type="expression" priority="37" dxfId="0">
      <formula>AND(OR($F14="Higher the better", $F14="Higher the Better"), I15&lt;I14)</formula>
    </cfRule>
    <cfRule type="expression" priority="38" dxfId="1" stopIfTrue="1">
      <formula>AND(OR($F14="Higher the better", $F14="Higher the Better"), I15&gt;=I14)</formula>
    </cfRule>
    <cfRule type="expression" priority="39" dxfId="1">
      <formula>AND(OR($F13="Lower the better", $F13="Lower the Better"), I15&lt;=I13)</formula>
    </cfRule>
    <cfRule type="expression" priority="40" dxfId="0">
      <formula>AND(OR($F13="Higher the better", $F13="Higher the Better"), I15&lt;I13)</formula>
    </cfRule>
    <cfRule type="expression" priority="41" dxfId="1" stopIfTrue="1">
      <formula>AND(OR($F13="Higher the better", $F13="Higher the Better"), I15&gt;=I13)</formula>
    </cfRule>
    <cfRule type="expression" priority="42" dxfId="0">
      <formula>AND(OR($F13="Lower the better", $F13="Lower the Better"), I15&gt;I13)</formula>
    </cfRule>
    <cfRule type="expression" priority="43" dxfId="0">
      <formula>AND(OR($F14="Lower the better", $F14="Lower the Better"), I15&gt;I14)</formula>
    </cfRule>
    <cfRule type="expression" priority="44" dxfId="1">
      <formula>AND(OR($F14="Lower the better", $F14="Lower the Better"), I15&lt;=I14)</formula>
    </cfRule>
    <cfRule type="expression" priority="45" dxfId="0">
      <formula>AND(OR($F14="Higher the better", $F14="Higher the Better"), I15&lt;I14)</formula>
    </cfRule>
    <cfRule type="expression" priority="46" dxfId="1" stopIfTrue="1">
      <formula>AND(OR($F14="Higher the better", $F14="Higher the Better"), I15&gt;=I14)</formula>
    </cfRule>
    <cfRule type="expression" priority="47" dxfId="0">
      <formula>AND(OR($F14="Lower the better", $F14="Lower the Better"), I15&gt;I14)</formula>
    </cfRule>
    <cfRule type="expression" priority="48" dxfId="1">
      <formula>AND(OR($F14="Lower the better", $F14="Lower the Better"), I15&lt;=I14)</formula>
    </cfRule>
    <cfRule type="expression" priority="49" dxfId="0">
      <formula>AND(OR($F14="Higher the better", $F14="Higher the Better"), I15&lt;I14)</formula>
    </cfRule>
    <cfRule type="expression" priority="50" dxfId="1" stopIfTrue="1">
      <formula>AND(OR($F14="Higher the better", $F14="Higher the Better"), I15&gt;=I14)</formula>
    </cfRule>
    <cfRule type="expression" priority="51" dxfId="1">
      <formula>AND(OR($F11="Lower the better", $F11="Lower the Better"), I15&lt;=I11)</formula>
    </cfRule>
    <cfRule type="expression" priority="52" dxfId="0">
      <formula>AND(OR($F11="Higher the better", $F11="Higher the Better"), I15&lt;I11)</formula>
    </cfRule>
    <cfRule type="expression" priority="53" dxfId="1" stopIfTrue="1">
      <formula>AND(OR($F11="Higher the better", $F11="Higher the Better"), I15&gt;=I11)</formula>
    </cfRule>
    <cfRule type="expression" priority="54" dxfId="0">
      <formula>AND(OR($F11="Lower the better", $F11="Lower the Better"), I15&gt;I11)</formula>
    </cfRule>
    <cfRule type="expression" priority="21" dxfId="0">
      <formula>AND(OR($F14="Higher the better", $F14="Higher the Better"), I15&lt;I14)</formula>
    </cfRule>
    <cfRule type="expression" priority="19" dxfId="0">
      <formula>AND(OR($F14="Lower the better", $F14="Lower the Better"), I15&gt;I14)</formula>
    </cfRule>
  </conditionalFormatting>
  <conditionalFormatting sqref="I84">
    <cfRule type="containsBlanks" priority="17" dxfId="3">
      <formula>LEN(TRIM(I84))=0</formula>
    </cfRule>
  </conditionalFormatting>
  <conditionalFormatting sqref="I7:T7 I9:T9 I25:T25">
    <cfRule type="expression" priority="165" dxfId="1" stopIfTrue="1">
      <formula>AND(OR($F6="Higher the better", $F6="Higher the Better"), I7&gt;=I6)</formula>
    </cfRule>
    <cfRule type="expression" priority="164" dxfId="0">
      <formula>AND(OR($F6="Higher the better", $F6="Higher the Better"), I7&lt;I6)</formula>
    </cfRule>
    <cfRule type="expression" priority="163" dxfId="1">
      <formula>AND(OR($F6="Lower the better", $F6="Lower the Better"), I7&lt;=I6)</formula>
    </cfRule>
    <cfRule type="expression" priority="162" dxfId="0">
      <formula>AND(OR($F6="Lower the better", $F6="Lower the Better"), I7&gt;I6)</formula>
    </cfRule>
  </conditionalFormatting>
  <conditionalFormatting sqref="I11:T11">
    <cfRule type="expression" priority="98" dxfId="0">
      <formula>AND(OR($F10="Lower the better", $F10="Lower the Better"), I11&gt;I10)</formula>
    </cfRule>
    <cfRule type="expression" priority="100" dxfId="0">
      <formula>AND(OR($F10="Higher the better", $F10="Higher the Better"), I11&lt;I10)</formula>
    </cfRule>
    <cfRule type="expression" priority="101" dxfId="1" stopIfTrue="1">
      <formula>AND(OR($F10="Higher the better", $F10="Higher the Better"), I11&gt;=I10)</formula>
    </cfRule>
    <cfRule type="expression" priority="300" dxfId="0">
      <formula>AND(OR($F9="Lower the better", $F9="Lower the Better"), I11&gt;I9)</formula>
    </cfRule>
    <cfRule type="expression" priority="297" dxfId="0">
      <formula>AND(OR($F9="Higher the better", $F9="Higher the Better"), I11&lt;I9)</formula>
    </cfRule>
    <cfRule type="expression" priority="298" dxfId="1" stopIfTrue="1">
      <formula>AND(OR($F9="Higher the better", $F9="Higher the Better"), I11&gt;=I9)</formula>
    </cfRule>
    <cfRule type="expression" priority="296" dxfId="1">
      <formula>AND(OR($F9="Lower the better", $F9="Lower the Better"), I11&lt;=I9)</formula>
    </cfRule>
    <cfRule type="expression" priority="99" dxfId="1">
      <formula>AND(OR($F10="Lower the better", $F10="Lower the Better"), I11&lt;=I10)</formula>
    </cfRule>
  </conditionalFormatting>
  <conditionalFormatting sqref="I13:T13">
    <cfRule type="expression" priority="89" dxfId="0">
      <formula>AND(OR($F12="Lower the better", $F12="Lower the Better"), I13&gt;I12)</formula>
    </cfRule>
    <cfRule type="expression" priority="90" dxfId="1">
      <formula>AND(OR($F12="Lower the better", $F12="Lower the Better"), I13&lt;=I12)</formula>
    </cfRule>
    <cfRule type="expression" priority="91" dxfId="0">
      <formula>AND(OR($F12="Higher the better", $F12="Higher the Better"), I13&lt;I12)</formula>
    </cfRule>
    <cfRule type="expression" priority="93" dxfId="0">
      <formula>AND(OR($F12="Lower the better", $F12="Lower the Better"), I13&gt;I12)</formula>
    </cfRule>
    <cfRule type="expression" priority="94" dxfId="1">
      <formula>AND(OR($F12="Lower the better", $F12="Lower the Better"), I13&lt;=I12)</formula>
    </cfRule>
    <cfRule type="expression" priority="264" dxfId="0">
      <formula>AND(OR($F9="Lower the better", $F9="Lower the Better"), I13&gt;I9)</formula>
    </cfRule>
    <cfRule type="expression" priority="96" dxfId="1" stopIfTrue="1">
      <formula>AND(OR($F12="Higher the better", $F12="Higher the Better"), I13&gt;=I12)</formula>
    </cfRule>
    <cfRule type="expression" priority="92" dxfId="1" stopIfTrue="1">
      <formula>AND(OR($F12="Higher the better", $F12="Higher the Better"), I13&gt;=I12)</formula>
    </cfRule>
    <cfRule type="expression" priority="261" dxfId="0">
      <formula>AND(OR($F9="Higher the better", $F9="Higher the Better"), I13&lt;I9)</formula>
    </cfRule>
    <cfRule type="expression" priority="95" dxfId="0">
      <formula>AND(OR($F12="Higher the better", $F12="Higher the Better"), I13&lt;I12)</formula>
    </cfRule>
    <cfRule type="expression" priority="260" dxfId="1">
      <formula>AND(OR($F9="Lower the better", $F9="Lower the Better"), I13&lt;=I9)</formula>
    </cfRule>
    <cfRule type="expression" priority="262" dxfId="1" stopIfTrue="1">
      <formula>AND(OR($F9="Higher the better", $F9="Higher the Better"), I13&gt;=I9)</formula>
    </cfRule>
  </conditionalFormatting>
  <conditionalFormatting sqref="I7:T7 I9:T9 I11:T11 I13:T13 I15:T15">
    <cfRule type="containsBlanks" priority="68" dxfId="3">
      <formula>LEN(TRIM(I7))=0</formula>
    </cfRule>
  </conditionalFormatting>
  <conditionalFormatting sqref="I15:T15">
    <cfRule type="expression" priority="303" dxfId="1">
      <formula>AND(OR($F10="Lower the better", $F10="Lower the Better"), I15&lt;=I14)</formula>
    </cfRule>
    <cfRule type="expression" priority="304" dxfId="0">
      <formula>AND(OR($F10="Higher the better", $F10="Higher the Better"), I15&lt;I14)</formula>
    </cfRule>
    <cfRule type="expression" priority="305" dxfId="1" stopIfTrue="1">
      <formula>AND(OR($F10="Higher the better", $F10="Higher the Better"), I15&gt;=I14)</formula>
    </cfRule>
    <cfRule type="expression" priority="306" dxfId="0">
      <formula>AND(OR($F10="Lower the better", $F10="Lower the Better"), I15&gt;I14)</formula>
    </cfRule>
  </conditionalFormatting>
  <conditionalFormatting sqref="I17:T17">
    <cfRule type="expression" priority="9" dxfId="1">
      <formula>AND(OR($F16="Lower the better", $F16="Lower the Better"), I17&lt;=I16)</formula>
    </cfRule>
    <cfRule type="expression" priority="8" dxfId="0">
      <formula>AND(OR($F16="Lower the better", $F16="Lower the Better"), I17&gt;I16)</formula>
    </cfRule>
    <cfRule type="containsBlanks" priority="7" dxfId="3">
      <formula>LEN(TRIM(I17))=0</formula>
    </cfRule>
    <cfRule type="expression" priority="11" dxfId="1" stopIfTrue="1">
      <formula>AND(OR($F16="Higher the better", $F16="Higher the Better"), I17&gt;=I16)</formula>
    </cfRule>
    <cfRule type="expression" priority="10" dxfId="0">
      <formula>AND(OR($F16="Higher the better", $F16="Higher the Better"), I17&lt;I16)</formula>
    </cfRule>
  </conditionalFormatting>
  <conditionalFormatting sqref="I21:T21">
    <cfRule type="expression" priority="132" dxfId="0">
      <formula>AND(OR($F20="Lower the better", $F20="Lower the Better"), I21&gt;I20)</formula>
    </cfRule>
    <cfRule type="expression" priority="133" dxfId="1">
      <formula>AND(OR($F20="Lower the better", $F20="Lower the Better"), I21&lt;=I20)</formula>
    </cfRule>
    <cfRule type="expression" priority="131" dxfId="1" stopIfTrue="1">
      <formula>AND(OR($F20="Higher the better", $F20="Higher the Better"), I21&gt;=I20)</formula>
    </cfRule>
    <cfRule type="expression" priority="134" dxfId="0">
      <formula>AND(OR($F20="Higher the better", $F20="Higher the Better"), I21&lt;I20)</formula>
    </cfRule>
    <cfRule type="expression" priority="129" dxfId="1">
      <formula>AND(OR($F20="Lower the better", $F20="Lower the Better"), I21&lt;=I20)</formula>
    </cfRule>
    <cfRule type="expression" priority="130" dxfId="0">
      <formula>AND(OR($F20="Higher the better", $F20="Higher the Better"), I21&lt;I20)</formula>
    </cfRule>
    <cfRule type="expression" priority="135" dxfId="1" stopIfTrue="1">
      <formula>AND(OR($F20="Higher the better", $F20="Higher the Better"), I21&gt;=I20)</formula>
    </cfRule>
    <cfRule type="expression" priority="128" dxfId="0">
      <formula>AND(OR($F20="Lower the better", $F20="Lower the Better"), I21&gt;I20)</formula>
    </cfRule>
  </conditionalFormatting>
  <conditionalFormatting sqref="I23:T23">
    <cfRule type="expression" priority="112" dxfId="0">
      <formula>AND(OR($F22="Lower the better", $F22="Lower the Better"), I23&gt;I22)</formula>
    </cfRule>
    <cfRule type="expression" priority="113" dxfId="1">
      <formula>AND(OR($F22="Lower the better", $F22="Lower the Better"), I23&lt;=I22)</formula>
    </cfRule>
    <cfRule type="expression" priority="115" dxfId="1" stopIfTrue="1">
      <formula>AND(OR($F22="Higher the better", $F22="Higher the Better"), I23&gt;=I22)</formula>
    </cfRule>
    <cfRule type="expression" priority="116" dxfId="0">
      <formula>AND(OR($F22="Lower the better", $F22="Lower the Better"), I23&gt;I22)</formula>
    </cfRule>
    <cfRule type="expression" priority="117" dxfId="1">
      <formula>AND(OR($F22="Lower the better", $F22="Lower the Better"), I23&lt;=I22)</formula>
    </cfRule>
    <cfRule type="expression" priority="118" dxfId="0">
      <formula>AND(OR($F22="Higher the better", $F22="Higher the Better"), I23&lt;I22)</formula>
    </cfRule>
    <cfRule type="expression" priority="119" dxfId="1" stopIfTrue="1">
      <formula>AND(OR($F22="Higher the better", $F22="Higher the Better"), I23&gt;=I22)</formula>
    </cfRule>
    <cfRule type="expression" priority="114" dxfId="0">
      <formula>AND(OR($F22="Higher the better", $F22="Higher the Better"), I23&lt;I22)</formula>
    </cfRule>
  </conditionalFormatting>
  <conditionalFormatting sqref="B52:D52 B53:F53 F52 I20:T21 I23:T25">
    <cfRule type="containsBlanks" priority="102" dxfId="3">
      <formula>LEN(TRIM(B20))=0</formula>
    </cfRule>
  </conditionalFormatting>
  <conditionalFormatting sqref="J23:M23">
    <cfRule type="expression" priority="107" dxfId="1" stopIfTrue="1">
      <formula>AND(OR($F22="Higher the better", $F22="Higher the Better"), J23&gt;=J22)</formula>
    </cfRule>
    <cfRule type="expression" priority="105" dxfId="1">
      <formula>AND(OR($F22="Lower the better", $F22="Lower the Better"), J23&lt;=J22)</formula>
    </cfRule>
    <cfRule type="expression" priority="106" dxfId="0">
      <formula>AND(OR($F22="Higher the better", $F22="Higher the Better"), J23&lt;J22)</formula>
    </cfRule>
    <cfRule type="expression" priority="104" dxfId="0">
      <formula>AND(OR($F22="Lower the better", $F22="Lower the Better"), J23&gt;J22)</formula>
    </cfRule>
  </conditionalFormatting>
  <conditionalFormatting sqref="I86:O86 I88:O88 I90:O90 I103:O103 I105:O105 J84:O84">
    <cfRule type="containsBlanks" priority="166" dxfId="3">
      <formula>LEN(TRIM(I84))=0</formula>
    </cfRule>
  </conditionalFormatting>
  <conditionalFormatting sqref="J23:T23">
    <cfRule type="expression" priority="111" dxfId="1" stopIfTrue="1">
      <formula>AND(OR($F22="Higher the better", $F22="Higher the Better"), J23&gt;=J22)</formula>
    </cfRule>
    <cfRule type="expression" priority="110" dxfId="0">
      <formula>AND(OR($F22="Higher the better", $F22="Higher the Better"), J23&lt;J22)</formula>
    </cfRule>
    <cfRule type="expression" priority="109" dxfId="1">
      <formula>AND(OR($F22="Lower the better", $F22="Lower the Better"), J23&lt;=J22)</formula>
    </cfRule>
    <cfRule type="expression" priority="108" dxfId="0">
      <formula>AND(OR($F22="Lower the better", $F22="Lower the Better"), J23&gt;J22)</formula>
    </cfRule>
  </conditionalFormatting>
  <conditionalFormatting sqref="M84:M106">
    <cfRule type="containsText" priority="154" operator="containsText" dxfId="6" text="No">
      <formula>NOT(ISERROR(SEARCH("No",M84)))</formula>
    </cfRule>
    <cfRule type="containsText" priority="155" operator="containsText" dxfId="5" text="Yes">
      <formula>NOT(ISERROR(SEARCH("Yes",M84)))</formula>
    </cfRule>
  </conditionalFormatting>
  <conditionalFormatting sqref="N23:P23">
    <cfRule type="expression" priority="13" dxfId="1">
      <formula>AND(OR($F22="Lower the better", $F22="Lower the Better"), N23&lt;=N22)</formula>
    </cfRule>
    <cfRule type="expression" priority="15" dxfId="1" stopIfTrue="1">
      <formula>AND(OR($F22="Higher the better", $F22="Higher the Better"), N23&gt;=N22)</formula>
    </cfRule>
    <cfRule type="expression" priority="14" dxfId="0">
      <formula>AND(OR($F22="Higher the better", $F22="Higher the Better"), N23&lt;N22)</formula>
    </cfRule>
    <cfRule type="expression" priority="12" dxfId="0">
      <formula>AND(OR($F22="Lower the better", $F22="Lower the Better"), N23&gt;N22)</formula>
    </cfRule>
  </conditionalFormatting>
  <dataValidations count="7">
    <dataValidation sqref="B1:B2" showDropDown="0" showInputMessage="1" showErrorMessage="1" allowBlank="1" type="list">
      <formula1>"Jan-2026, Feb-2026, Mar-2026, Apr-2026, May-2026, Jun-2026, Jul-2026, Aug-2026, Sep-2026, Oct-2026, Nov-2026, Dec-2026"</formula1>
    </dataValidation>
    <dataValidation sqref="M84 M86 M88 M90 M103 M105" showDropDown="0" showInputMessage="1" showErrorMessage="1" allowBlank="1" type="list">
      <formula1>"Yes, No"</formula1>
    </dataValidation>
    <dataValidation sqref="F84:G84 F86:G86 F88:G88 F90:G90 F92:F102 F103:G103 F105:G105" showDropDown="0" showInputMessage="1" showErrorMessage="1" allowBlank="1" type="list">
      <formula1>"1,2,3,4,5"</formula1>
    </dataValidation>
    <dataValidation sqref="E6:E10 E16:E19 E22 E24:E25" showDropDown="0" showInputMessage="1" showErrorMessage="1" allowBlank="1" type="list">
      <formula1>"%, Mn, No., "</formula1>
    </dataValidation>
    <dataValidation sqref="C6:C10 C16:C19 C22 C24:C25" showDropDown="0" showInputMessage="1" showErrorMessage="1" allowBlank="1" type="list">
      <formula1>"&gt;, &lt;, &gt;=, &lt;=, ="</formula1>
    </dataValidation>
    <dataValidation sqref="G6:G10 G16:G19 G22 G24:G25" showDropDown="0" showInputMessage="1" showErrorMessage="1" allowBlank="1" type="list">
      <formula1>"Monthly, Quarterly, Half yearly"</formula1>
    </dataValidation>
    <dataValidation sqref="F6:F10 F12 F14 F16:F19 F22 F24:F25" showDropDown="0" showInputMessage="1" showErrorMessage="1" allowBlank="1" type="list">
      <formula1>"Higher the better, Lower the better"</formula1>
    </dataValidation>
  </dataValidation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codeName="Sheet3">
    <outlinePr summaryBelow="1" summaryRight="1"/>
    <pageSetUpPr/>
  </sheetPr>
  <dimension ref="A1:AH94"/>
  <sheetViews>
    <sheetView topLeftCell="A88" zoomScale="95" zoomScaleNormal="69" workbookViewId="0">
      <pane xSplit="1" topLeftCell="B1" activePane="topRight" state="frozen"/>
      <selection pane="topRight" activeCell="Q18" sqref="Q18"/>
      <selection activeCell="A31" sqref="A31"/>
    </sheetView>
  </sheetViews>
  <sheetFormatPr baseColWidth="8" defaultRowHeight="14.45"/>
  <cols>
    <col width="21" customWidth="1" min="1" max="1"/>
    <col width="38.42578125" customWidth="1" style="639" min="2" max="2"/>
    <col width="15.42578125" bestFit="1" customWidth="1" min="3" max="3"/>
    <col width="19.5703125" customWidth="1" min="4" max="4"/>
    <col width="21" customWidth="1" min="5" max="5"/>
    <col width="20.5703125" customWidth="1" min="6" max="6"/>
    <col width="12" customWidth="1" min="7" max="7"/>
    <col width="14.5703125" customWidth="1" min="8" max="8"/>
    <col width="14.5703125" bestFit="1" customWidth="1" min="9" max="9"/>
    <col width="13.5703125" bestFit="1" customWidth="1" min="10" max="10"/>
    <col width="18.5703125" bestFit="1" customWidth="1" min="11" max="11"/>
    <col width="16.5703125" customWidth="1" min="12" max="12"/>
    <col width="15.5703125" customWidth="1" min="13" max="13"/>
    <col width="16" customWidth="1" min="14" max="14"/>
    <col width="17" customWidth="1" min="15" max="15"/>
    <col width="17.5703125" customWidth="1" min="16" max="16"/>
    <col width="14.5703125" customWidth="1" min="17" max="17"/>
    <col width="14.42578125" customWidth="1" min="18" max="18"/>
    <col width="14.5703125" customWidth="1" min="19" max="19"/>
    <col width="14.42578125" customWidth="1" min="20" max="20"/>
    <col width="15.42578125" customWidth="1" min="21" max="21"/>
    <col hidden="1" width="17.42578125" customWidth="1" min="22" max="22"/>
    <col hidden="1" width="8.5703125" customWidth="1" min="23" max="24"/>
    <col hidden="1" width="14.42578125" customWidth="1" min="25" max="25"/>
    <col hidden="1" width="8.5703125" customWidth="1" min="26" max="34"/>
    <col width="8.5703125" customWidth="1" min="35" max="49"/>
  </cols>
  <sheetData>
    <row r="1" ht="19.35" customHeight="1">
      <c r="A1" s="12" t="inlineStr">
        <is>
          <t>Month</t>
        </is>
      </c>
      <c r="B1" s="666" t="n">
        <v>46023</v>
      </c>
      <c r="C1" s="12" t="inlineStr">
        <is>
          <t xml:space="preserve">MT Owner: </t>
        </is>
      </c>
      <c r="D1" s="12" t="inlineStr">
        <is>
          <t>Sumit K</t>
        </is>
      </c>
      <c r="E1" s="12" t="inlineStr">
        <is>
          <t>MT Delegate:</t>
        </is>
      </c>
      <c r="F1" s="39" t="inlineStr">
        <is>
          <t>Sagar Paste</t>
        </is>
      </c>
      <c r="V1" t="inlineStr">
        <is>
          <t>Actual green</t>
        </is>
      </c>
      <c r="W1">
        <f>IF(I15&lt;&gt;"",IF($F14="Higher the better",IF(I15&gt;=I14,I15,NA()),IF(I15&lt;=I14,I15,NA())),NA())</f>
        <v/>
      </c>
      <c r="X1">
        <f>IF(J15&lt;&gt;"",IF($F14="Higher the better",IF(J15&gt;=J14,J15,NA()),IF(J15&lt;=J14,J15,NA())),NA())</f>
        <v/>
      </c>
      <c r="Y1">
        <f>IF(K15&lt;&gt;"",IF($F14="Higher the better",IF(K15&gt;=K14,K15,NA()),IF(K15&lt;=K14,K15,NA())),NA())</f>
        <v/>
      </c>
      <c r="Z1">
        <f>IF(L15&lt;&gt;"",IF($F14="Higher the better",IF(L15&gt;=L14,L15,NA()),IF(L15&lt;=L14,L15,NA())),NA())</f>
        <v/>
      </c>
      <c r="AA1">
        <f>IF(M15&lt;&gt;"",IF($F14="Higher the better",IF(M15&gt;=M14,M15,NA()),IF(M15&lt;=M14,M15,NA())),NA())</f>
        <v/>
      </c>
      <c r="AB1">
        <f>IF(N15&lt;&gt;"",IF($F14="Higher the better",IF(N15&gt;=N14,N15,NA()),IF(N15&lt;=N14,N15,NA())),NA())</f>
        <v/>
      </c>
      <c r="AC1">
        <f>IF(O15&lt;&gt;"",IF($F14="Higher the better",IF(O15&gt;=O14,O15,NA()),IF(O15&lt;=O14,O15,NA())),NA())</f>
        <v/>
      </c>
      <c r="AD1">
        <f>IF(P15&lt;&gt;"",IF($F14="Higher the better",IF(P15&gt;=P14,P15,NA()),IF(P15&lt;=P14,P15,NA())),NA())</f>
        <v/>
      </c>
      <c r="AE1">
        <f>IF(Q15&lt;&gt;"",IF($F14="Higher the better",IF(Q15&gt;=Q14,Q15,NA()),IF(Q15&lt;=Q14,Q15,NA())),NA())</f>
        <v/>
      </c>
      <c r="AF1">
        <f>IF(R15&lt;&gt;"",IF($F14="Higher the better",IF(R15&gt;=R14,R15,NA()),IF(R15&lt;=R14,R15,NA())),NA())</f>
        <v/>
      </c>
      <c r="AG1">
        <f>IF(S15&lt;&gt;"",IF($F14="Higher the better",IF(S15&gt;=S14,S15,NA()),IF(S15&lt;=S14,S15,NA())),NA())</f>
        <v/>
      </c>
      <c r="AH1">
        <f>IF(T15&lt;&gt;"",IF($F14="Higher the better",IF(T15&gt;=T14,T15,NA()),IF(T15&lt;=T14,T15,NA())),NA())</f>
        <v/>
      </c>
    </row>
    <row r="2" ht="19.35" customHeight="1">
      <c r="B2" s="683" t="n"/>
      <c r="D2" s="13" t="n"/>
      <c r="E2" s="13" t="n"/>
      <c r="V2" t="inlineStr">
        <is>
          <t>Actual red</t>
        </is>
      </c>
      <c r="W2">
        <f>IF(I15&lt;&gt;"",IF($F14="Higher the better",IF(I15&lt;I14,I15,NA()),IF(I15&gt;I14,I15,NA())),NA())</f>
        <v/>
      </c>
      <c r="X2">
        <f>IF(J15&lt;&gt;"",IF($F14="Higher the better",IF(J15&lt;J14,J15,NA()),IF(J15&gt;J14,J15,NA())),NA())</f>
        <v/>
      </c>
      <c r="Y2">
        <f>IF(K15&lt;&gt;"",IF($F14="Higher the better",IF(K15&lt;K14,K15,NA()),IF(K15&gt;K14,K15,NA())),NA())</f>
        <v/>
      </c>
      <c r="Z2">
        <f>IF(L15&lt;&gt;"",IF($F14="Higher the better",IF(L15&lt;L14,L15,NA()),IF(L15&gt;L14,L15,NA())),NA())</f>
        <v/>
      </c>
      <c r="AA2">
        <f>IF(M15&lt;&gt;"",IF($F14="Higher the better",IF(M15&lt;M14,M15,NA()),IF(M15&gt;M14,M15,NA())),NA())</f>
        <v/>
      </c>
      <c r="AB2">
        <f>IF(N15&lt;&gt;"",IF($F14="Higher the better",IF(N15&lt;N14,N15,NA()),IF(N15&gt;N14,N15,NA())),NA())</f>
        <v/>
      </c>
      <c r="AC2">
        <f>IF(O15&lt;&gt;"",IF($F14="Higher the better",IF(O15&lt;O14,O15,NA()),IF(O15&gt;O14,O15,NA())),NA())</f>
        <v/>
      </c>
      <c r="AD2">
        <f>IF(P15&lt;&gt;"",IF($F14="Higher the better",IF(P15&lt;P14,P15,NA()),IF(P15&gt;P14,P15,NA())),NA())</f>
        <v/>
      </c>
      <c r="AE2">
        <f>IF(Q15&lt;&gt;"",IF($F14="Higher the better",IF(Q15&lt;Q14,Q15,NA()),IF(Q15&gt;Q14,Q15,NA())),NA())</f>
        <v/>
      </c>
      <c r="AF2">
        <f>IF(R15&lt;&gt;"",IF($F14="Higher the better",IF(R15&lt;R14,R15,NA()),IF(R15&gt;R14,R15,NA())),NA())</f>
        <v/>
      </c>
      <c r="AG2">
        <f>IF(S15&lt;&gt;"",IF($F14="Higher the better",IF(S15&lt;S14,S15,NA()),IF(S15&gt;S14,S15,NA())),NA())</f>
        <v/>
      </c>
      <c r="AH2">
        <f>IF(T15&lt;&gt;"",IF($F14="Higher the better",IF(T15&lt;T14,T15,NA()),IF(T15&gt;T14,T15,NA())),NA())</f>
        <v/>
      </c>
    </row>
    <row r="3" ht="20.1" customHeight="1">
      <c r="A3" s="449" t="inlineStr">
        <is>
          <t>Regulatory DMB</t>
        </is>
      </c>
      <c r="V3" t="inlineStr">
        <is>
          <t>Actual green</t>
        </is>
      </c>
      <c r="W3">
        <f>IF(I17&lt;&gt;"",IF($F16="Higher the better",IF(I17&gt;=I16,I17,NA()),IF(I17&lt;=I16,I17,NA())),NA())</f>
        <v/>
      </c>
      <c r="X3">
        <f>IF(J17&lt;&gt;"",IF($F16="Higher the better",IF(J17&gt;=J16,J17,NA()),IF(J17&lt;=J16,J17,NA())),NA())</f>
        <v/>
      </c>
      <c r="Y3">
        <f>IF(K17&lt;&gt;"",IF($F16="Higher the better",IF(K17&gt;=K16,K17,NA()),IF(K17&lt;=K16,K17,NA())),NA())</f>
        <v/>
      </c>
      <c r="Z3">
        <f>IF(L17&lt;&gt;"",IF($F16="Higher the better",IF(L17&gt;=L16,L17,NA()),IF(L17&lt;=L16,L17,NA())),NA())</f>
        <v/>
      </c>
      <c r="AA3">
        <f>IF(M17&lt;&gt;"",IF($F16="Higher the better",IF(M17&gt;=M16,M17,NA()),IF(M17&lt;=M16,M17,NA())),NA())</f>
        <v/>
      </c>
      <c r="AB3">
        <f>IF(N17&lt;&gt;"",IF($F16="Higher the better",IF(N17&gt;=N16,N17,NA()),IF(N17&lt;=N16,N17,NA())),NA())</f>
        <v/>
      </c>
      <c r="AC3">
        <f>IF(O17&lt;&gt;"",IF($F16="Higher the better",IF(O17&gt;=O16,O17,NA()),IF(O17&lt;=O16,O17,NA())),NA())</f>
        <v/>
      </c>
      <c r="AD3">
        <f>IF(P17&lt;&gt;"",IF($F16="Higher the better",IF(P17&gt;=P16,P17,NA()),IF(P17&lt;=P16,P17,NA())),NA())</f>
        <v/>
      </c>
      <c r="AE3">
        <f>IF(Q17&lt;&gt;"",IF($F16="Higher the better",IF(Q17&gt;=Q16,Q17,NA()),IF(Q17&lt;=Q16,Q17,NA())),NA())</f>
        <v/>
      </c>
      <c r="AF3">
        <f>IF(R17&lt;&gt;"",IF($F16="Higher the better",IF(R17&gt;=R16,R17,NA()),IF(R17&lt;=R16,R17,NA())),NA())</f>
        <v/>
      </c>
      <c r="AG3">
        <f>IF(S17&lt;&gt;"",IF($F16="Higher the better",IF(S17&gt;=S16,S17,NA()),IF(S17&lt;=S16,S17,NA())),NA())</f>
        <v/>
      </c>
      <c r="AH3">
        <f>IF(T17&lt;&gt;"",IF($F16="Higher the better",IF(T17&gt;=T16,T17,NA()),IF(T17&lt;=T16,T17,NA())),NA())</f>
        <v/>
      </c>
    </row>
    <row r="4" ht="18.6" customHeight="1">
      <c r="A4" s="11" t="inlineStr">
        <is>
          <t>Mandatory Outcome KPI's (1-3)</t>
        </is>
      </c>
      <c r="B4" s="11" t="n"/>
      <c r="V4" t="inlineStr">
        <is>
          <t>Actual red</t>
        </is>
      </c>
      <c r="W4">
        <f>IF(I17&lt;&gt;"",IF($F16="Higher the better",IF(I17&lt;I16,I17,NA()),IF(I17&gt;I16,I17,NA())),NA())</f>
        <v/>
      </c>
      <c r="X4">
        <f>IF(J17&lt;&gt;"",IF($F16="Higher the better",IF(J17&lt;J16,J17,NA()),IF(J17&gt;J16,J17,NA())),NA())</f>
        <v/>
      </c>
      <c r="Y4">
        <f>IF(K17&lt;&gt;"",IF($F16="Higher the better",IF(K17&lt;K16,K17,NA()),IF(K17&gt;K16,K17,NA())),NA())</f>
        <v/>
      </c>
      <c r="Z4">
        <f>IF(L17&lt;&gt;"",IF($F16="Higher the better",IF(L17&lt;L16,L17,NA()),IF(L17&gt;L16,L17,NA())),NA())</f>
        <v/>
      </c>
      <c r="AA4">
        <f>IF(M17&lt;&gt;"",IF($F16="Higher the better",IF(M17&lt;M16,M17,NA()),IF(M17&gt;M16,M17,NA())),NA())</f>
        <v/>
      </c>
      <c r="AB4">
        <f>IF(N17&lt;&gt;"",IF($F16="Higher the better",IF(N17&lt;N16,N17,NA()),IF(N17&gt;N16,N17,NA())),NA())</f>
        <v/>
      </c>
      <c r="AC4">
        <f>IF(O17&lt;&gt;"",IF($F16="Higher the better",IF(O17&lt;O16,O17,NA()),IF(O17&gt;O16,O17,NA())),NA())</f>
        <v/>
      </c>
      <c r="AD4">
        <f>IF(P17&lt;&gt;"",IF($F16="Higher the better",IF(P17&lt;P16,P17,NA()),IF(P17&gt;P16,P17,NA())),NA())</f>
        <v/>
      </c>
      <c r="AE4">
        <f>IF(Q17&lt;&gt;"",IF($F16="Higher the better",IF(Q17&lt;Q16,Q17,NA()),IF(Q17&gt;Q16,Q17,NA())),NA())</f>
        <v/>
      </c>
      <c r="AF4">
        <f>IF(R17&lt;&gt;"",IF($F16="Higher the better",IF(R17&lt;R16,R17,NA()),IF(R17&gt;R16,R17,NA())),NA())</f>
        <v/>
      </c>
      <c r="AG4">
        <f>IF(S17&lt;&gt;"",IF($F16="Higher the better",IF(S17&lt;S16,S17,NA()),IF(S17&gt;S16,S17,NA())),NA())</f>
        <v/>
      </c>
      <c r="AH4">
        <f>IF(T17&lt;&gt;"",IF($F16="Higher the better",IF(T17&lt;T16,T17,NA()),IF(T17&gt;T16,T17,NA())),NA())</f>
        <v/>
      </c>
    </row>
    <row r="5" ht="29.1"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V5" s="13" t="inlineStr">
        <is>
          <t>Actual green</t>
        </is>
      </c>
      <c r="W5">
        <f>IF(I19&lt;&gt;0,IF($F18="Higher the better",IF(I19&gt;=I18,I19,NA()),IF(I19&lt;=I18,I19,NA())),NA())</f>
        <v/>
      </c>
      <c r="X5">
        <f>IF(J19&lt;&gt;0,IF($F18="Higher the better",IF(J19&gt;=J18,J19,NA()),IF(J19&lt;=J18,J19,NA())),NA())</f>
        <v/>
      </c>
      <c r="Y5">
        <f>IF(K19&lt;&gt;0,IF($F18="Higher the better",IF(K19&gt;=K18,K19,NA()),IF(K19&lt;=K18,K19,NA())),NA())</f>
        <v/>
      </c>
      <c r="Z5">
        <f>IF(L19&lt;&gt;0,IF($F18="Higher the better",IF(L19&gt;=L18,L19,NA()),IF(L19&lt;=L18,L19,NA())),NA())</f>
        <v/>
      </c>
      <c r="AA5">
        <f>IF(M19&lt;&gt;0,IF($F18="Higher the better",IF(M19&gt;=M18,M19,NA()),IF(M19&lt;=M18,M19,NA())),NA())</f>
        <v/>
      </c>
      <c r="AB5">
        <f>IF(N19&lt;&gt;0,IF($F18="Higher the better",IF(N19&gt;=N18,N19,NA()),IF(N19&lt;=N18,N19,NA())),NA())</f>
        <v/>
      </c>
      <c r="AC5">
        <f>IF(O19&lt;&gt;0,IF($F18="Higher the better",IF(O19&gt;=O18,O19,NA()),IF(O19&lt;=O18,O19,NA())),NA())</f>
        <v/>
      </c>
      <c r="AD5">
        <f>IF(P19&lt;&gt;0,IF($F18="Higher the better",IF(P19&gt;=P18,P19,NA()),IF(P19&lt;=P18,P19,NA())),NA())</f>
        <v/>
      </c>
      <c r="AE5">
        <f>IF(Q19&lt;&gt;0,IF($F18="Higher the better",IF(Q19&gt;=Q18,Q19,NA()),IF(Q19&lt;=Q18,Q19,NA())),NA())</f>
        <v/>
      </c>
      <c r="AF5">
        <f>IF(R19&lt;&gt;0,IF($F18="Higher the better",IF(R19&gt;=R18,R19,NA()),IF(R19&lt;=R18,R19,NA())),NA())</f>
        <v/>
      </c>
      <c r="AG5">
        <f>IF(S19&lt;&gt;0,IF($F18="Higher the better",IF(S19&gt;=S18,S19,NA()),IF(S19&lt;=S18,S19,NA())),NA())</f>
        <v/>
      </c>
      <c r="AH5">
        <f>IF(T19&lt;&gt;0,IF($F18="Higher the better",IF(T19&gt;=T18,T19,NA()),IF(T19&lt;=T18,T19,NA())),NA())</f>
        <v/>
      </c>
    </row>
    <row r="6" ht="26.85" customHeight="1">
      <c r="A6" s="446" t="inlineStr">
        <is>
          <t>Registrations &amp; re-certifications on time</t>
        </is>
      </c>
      <c r="B6" s="387" t="inlineStr">
        <is>
          <t>(Registration approvals and renewals completed on time) *100/ Total number of approvals planned for the month</t>
        </is>
      </c>
      <c r="C6" s="230" t="inlineStr">
        <is>
          <t>&gt;=</t>
        </is>
      </c>
      <c r="D6" s="257" t="n">
        <v>0.97</v>
      </c>
      <c r="E6" s="230" t="inlineStr">
        <is>
          <t>%</t>
        </is>
      </c>
      <c r="F6" s="388" t="inlineStr">
        <is>
          <t>Higher the better</t>
        </is>
      </c>
      <c r="G6" s="230" t="inlineStr">
        <is>
          <t>Monthly</t>
        </is>
      </c>
      <c r="H6" s="14" t="inlineStr">
        <is>
          <t>Target</t>
        </is>
      </c>
      <c r="I6" s="4" t="n">
        <v>0.97</v>
      </c>
      <c r="J6" s="4" t="n">
        <v>0.97</v>
      </c>
      <c r="K6" s="4" t="n">
        <v>0.97</v>
      </c>
      <c r="L6" s="4" t="n">
        <v>0.97</v>
      </c>
      <c r="M6" s="4" t="n">
        <v>0.97</v>
      </c>
      <c r="N6" s="4" t="n">
        <v>0.97</v>
      </c>
      <c r="O6" s="4" t="n">
        <v>0.97</v>
      </c>
      <c r="P6" s="4" t="n">
        <v>0.97</v>
      </c>
      <c r="Q6" s="4" t="n">
        <v>0.97</v>
      </c>
      <c r="R6" s="4" t="n">
        <v>0.97</v>
      </c>
      <c r="S6" s="4" t="n">
        <v>0.97</v>
      </c>
      <c r="T6" s="4" t="n">
        <v>0.97</v>
      </c>
      <c r="V6" s="13" t="inlineStr">
        <is>
          <t>Actual red</t>
        </is>
      </c>
      <c r="W6">
        <f>IF(I19&lt;&gt;0,IF($F18="Higher the better",IF(I19&lt;I18,I19,NA()),IF(I19&gt;I18,I19,NA())),NA())</f>
        <v/>
      </c>
      <c r="X6">
        <f>IF(J19&lt;&gt;0,IF($F18="Higher the better",IF(J19&lt;J18,J19,NA()),IF(J19&gt;J18,J19,NA())),NA())</f>
        <v/>
      </c>
      <c r="Y6">
        <f>IF(K19&lt;&gt;0,IF($F18="Higher the better",IF(K19&lt;K18,K19,NA()),IF(K19&gt;K18,K19,NA())),NA())</f>
        <v/>
      </c>
      <c r="Z6">
        <f>IF(L19&lt;&gt;0,IF($F18="Higher the better",IF(L19&lt;L18,L19,NA()),IF(L19&gt;L18,L19,NA())),NA())</f>
        <v/>
      </c>
      <c r="AA6">
        <f>IF(M19&lt;&gt;0,IF($F18="Higher the better",IF(M19&lt;M18,M19,NA()),IF(M19&gt;M18,M19,NA())),NA())</f>
        <v/>
      </c>
      <c r="AB6">
        <f>IF(N19&lt;&gt;0,IF($F18="Higher the better",IF(N19&lt;N18,N19,NA()),IF(N19&gt;N18,N19,NA())),NA())</f>
        <v/>
      </c>
      <c r="AC6">
        <f>IF(O19&lt;&gt;0,IF($F18="Higher the better",IF(O19&lt;O18,O19,NA()),IF(O19&gt;O18,O19,NA())),NA())</f>
        <v/>
      </c>
      <c r="AD6">
        <f>IF(P19&lt;&gt;0,IF($F18="Higher the better",IF(P19&lt;P18,P19,NA()),IF(P19&gt;P18,P19,NA())),NA())</f>
        <v/>
      </c>
      <c r="AE6">
        <f>IF(Q19&lt;&gt;0,IF($F18="Higher the better",IF(Q19&lt;Q18,Q19,NA()),IF(Q19&gt;Q18,Q19,NA())),NA())</f>
        <v/>
      </c>
      <c r="AF6">
        <f>IF(R19&lt;&gt;0,IF($F18="Higher the better",IF(R19&lt;R18,R19,NA()),IF(R19&gt;R18,R19,NA())),NA())</f>
        <v/>
      </c>
      <c r="AG6">
        <f>IF(S19&lt;&gt;0,IF($F18="Higher the better",IF(S19&lt;S18,S19,NA()),IF(S19&gt;S18,S19,NA())),NA())</f>
        <v/>
      </c>
      <c r="AH6">
        <f>IF(T19&lt;&gt;0,IF($F18="Higher the better",IF(T19&lt;T18,T19,NA()),IF(T19&gt;T18,T19,NA())),NA())</f>
        <v/>
      </c>
    </row>
    <row r="7">
      <c r="A7" s="671" t="n"/>
      <c r="B7" s="671" t="n"/>
      <c r="C7" s="671" t="n"/>
      <c r="D7" s="671" t="n"/>
      <c r="E7" s="671" t="n"/>
      <c r="F7" s="671" t="n"/>
      <c r="G7" s="671" t="n"/>
      <c r="H7" s="14" t="inlineStr">
        <is>
          <t>Actual</t>
        </is>
      </c>
      <c r="I7" s="5">
        <f>13/13</f>
        <v/>
      </c>
      <c r="J7" s="5">
        <f>5/5</f>
        <v/>
      </c>
      <c r="K7" s="5">
        <f>8/8</f>
        <v/>
      </c>
      <c r="L7" s="5">
        <f>6/9</f>
        <v/>
      </c>
      <c r="M7" s="5">
        <f>3/3</f>
        <v/>
      </c>
      <c r="N7" s="5">
        <f>6/6</f>
        <v/>
      </c>
      <c r="O7" s="5">
        <f>5/5</f>
        <v/>
      </c>
      <c r="P7" s="5">
        <f>6/6</f>
        <v/>
      </c>
      <c r="Q7" s="5" t="n">
        <v>1</v>
      </c>
      <c r="R7" s="5" t="n"/>
      <c r="S7" s="5" t="n"/>
      <c r="T7" s="5" t="n"/>
      <c r="V7" t="inlineStr">
        <is>
          <t>Actual green</t>
        </is>
      </c>
      <c r="W7">
        <f>IF(I21&lt;&gt;"",IF($F20="Higher the better",IF(I21&gt;=I20,I21,NA()),IF(I21&lt;=I20,I21,NA())),NA())</f>
        <v/>
      </c>
      <c r="X7">
        <f>IF(J21&lt;&gt;"",IF($F20="Higher the better",IF(J21&gt;=J20,J21,NA()),IF(J21&lt;=J20,J21,NA())),NA())</f>
        <v/>
      </c>
      <c r="Y7">
        <f>IF(K21&lt;&gt;"",IF($F20="Higher the better",IF(K21&gt;=K20,K21,NA()),IF(K21&lt;=K20,K21,NA())),NA())</f>
        <v/>
      </c>
      <c r="Z7">
        <f>IF(L21&lt;&gt;"",IF($F20="Higher the better",IF(L21&gt;=L20,L21,NA()),IF(L21&lt;=L20,L21,NA())),NA())</f>
        <v/>
      </c>
      <c r="AA7">
        <f>IF(M21&lt;&gt;"",IF($F20="Higher the better",IF(M21&gt;=M20,M21,NA()),IF(M21&lt;=M20,M21,NA())),NA())</f>
        <v/>
      </c>
      <c r="AB7">
        <f>IF(N21&lt;&gt;"",IF($F20="Higher the better",IF(N21&gt;=N20,N21,NA()),IF(N21&lt;=N20,N21,NA())),NA())</f>
        <v/>
      </c>
      <c r="AC7">
        <f>IF(O21&lt;&gt;"",IF($F20="Higher the better",IF(O21&gt;=O20,O21,NA()),IF(O21&lt;=O20,O21,NA())),NA())</f>
        <v/>
      </c>
      <c r="AD7">
        <f>IF(P21&lt;&gt;"",IF($F20="Higher the better",IF(P21&gt;=P20,P21,NA()),IF(P21&lt;=P20,P21,NA())),NA())</f>
        <v/>
      </c>
      <c r="AE7">
        <f>IF(Q21&lt;&gt;"",IF($F20="Higher the better",IF(Q21&gt;=Q20,Q21,NA()),IF(Q21&lt;=Q20,Q21,NA())),NA())</f>
        <v/>
      </c>
      <c r="AF7">
        <f>IF(R21&lt;&gt;"",IF($F20="Higher the better",IF(R21&gt;=R20,R21,NA()),IF(R21&lt;=R20,R21,NA())),NA())</f>
        <v/>
      </c>
      <c r="AG7">
        <f>IF(S21&lt;&gt;"",IF($F20="Higher the better",IF(S21&gt;=S20,S21,NA()),IF(S21&lt;=S20,S21,NA())),NA())</f>
        <v/>
      </c>
      <c r="AH7">
        <f>IF(T21&lt;&gt;"",IF($F20="Higher the better",IF(T21&gt;=T20,T21,NA()),IF(T21&lt;=T20,T21,NA())),NA())</f>
        <v/>
      </c>
    </row>
    <row r="8" ht="26.85" customHeight="1">
      <c r="A8" s="446" t="inlineStr">
        <is>
          <t>NPI submission on time</t>
        </is>
      </c>
      <c r="B8" s="446" t="inlineStr">
        <is>
          <t>(NPI priority country submissions executed on time) *100/ Total number of submissions planned for the month</t>
        </is>
      </c>
      <c r="C8" s="230" t="inlineStr">
        <is>
          <t>&gt;=</t>
        </is>
      </c>
      <c r="D8" s="106" t="n">
        <v>1</v>
      </c>
      <c r="E8" s="230" t="inlineStr">
        <is>
          <t>%</t>
        </is>
      </c>
      <c r="F8" s="388" t="inlineStr">
        <is>
          <t>Higher the better</t>
        </is>
      </c>
      <c r="G8" s="230" t="inlineStr">
        <is>
          <t>Monthly</t>
        </is>
      </c>
      <c r="H8" s="14" t="inlineStr">
        <is>
          <t>Target</t>
        </is>
      </c>
      <c r="I8" s="4" t="n"/>
      <c r="J8" s="4" t="n"/>
      <c r="K8" s="4" t="n"/>
      <c r="L8" s="4" t="n"/>
      <c r="M8" s="4" t="n"/>
      <c r="N8" s="4" t="n"/>
      <c r="O8" s="4" t="n"/>
      <c r="P8" s="4" t="n"/>
      <c r="Q8" s="4" t="n"/>
      <c r="R8" s="4" t="n"/>
      <c r="S8" s="4" t="n"/>
      <c r="T8" s="4" t="n"/>
      <c r="V8" t="inlineStr">
        <is>
          <t>Actual red</t>
        </is>
      </c>
      <c r="W8">
        <f>IF(I21&lt;&gt;0,IF($F20="Higher the better",IF(I21&lt;I20,I21,NA()),IF(I21&gt;I20,I21,NA())),NA())</f>
        <v/>
      </c>
      <c r="X8">
        <f>IF(J21&lt;&gt;0,IF($F20="Higher the better",IF(J21&lt;J20,J21,NA()),IF(J21&gt;J20,J21,NA())),NA())</f>
        <v/>
      </c>
      <c r="Y8">
        <f>IF(K21&lt;&gt;0,IF($F20="Higher the better",IF(K21&lt;K20,K21,NA()),IF(K21&gt;K20,K21,NA())),NA())</f>
        <v/>
      </c>
      <c r="Z8">
        <f>IF(L21&lt;&gt;0,IF($F20="Higher the better",IF(L21&lt;L20,L21,NA()),IF(L21&gt;L20,L21,NA())),NA())</f>
        <v/>
      </c>
      <c r="AA8">
        <f>IF(M21&lt;&gt;0,IF($F20="Higher the better",IF(M21&lt;M20,M21,NA()),IF(M21&gt;M20,M21,NA())),NA())</f>
        <v/>
      </c>
      <c r="AB8">
        <f>IF(N21&lt;&gt;0,IF($F20="Higher the better",IF(N21&lt;N20,N21,NA()),IF(N21&gt;N20,N21,NA())),NA())</f>
        <v/>
      </c>
      <c r="AC8">
        <f>IF(O21&lt;&gt;0,IF($F20="Higher the better",IF(O21&lt;O20,O21,NA()),IF(O21&gt;O20,O21,NA())),NA())</f>
        <v/>
      </c>
      <c r="AD8">
        <f>IF(P21&lt;&gt;0,IF($F20="Higher the better",IF(P21&lt;P20,P21,NA()),IF(P21&gt;P20,P21,NA())),NA())</f>
        <v/>
      </c>
      <c r="AE8">
        <f>IF(Q21&lt;&gt;0,IF($F20="Higher the better",IF(Q21&lt;Q20,Q21,NA()),IF(Q21&gt;Q20,Q21,NA())),NA())</f>
        <v/>
      </c>
      <c r="AF8">
        <f>IF(R21&lt;&gt;0,IF($F20="Higher the better",IF(R21&lt;R20,R21,NA()),IF(R21&gt;R20,R21,NA())),NA())</f>
        <v/>
      </c>
      <c r="AG8">
        <f>IF(S21&lt;&gt;0,IF($F20="Higher the better",IF(S21&lt;S20,S21,NA()),IF(S21&gt;S20,S21,NA())),NA())</f>
        <v/>
      </c>
      <c r="AH8">
        <f>IF(T21&lt;&gt;0,IF($F20="Higher the better",IF(T21&lt;T20,T21,NA()),IF(T21&gt;T20,T21,NA())),NA())</f>
        <v/>
      </c>
    </row>
    <row r="9">
      <c r="A9" s="671" t="n"/>
      <c r="B9" s="671" t="n"/>
      <c r="C9" s="671" t="n"/>
      <c r="D9" s="671" t="n"/>
      <c r="E9" s="671" t="n"/>
      <c r="F9" s="671" t="n"/>
      <c r="G9" s="671" t="n"/>
      <c r="H9" s="14" t="inlineStr">
        <is>
          <t>Actual</t>
        </is>
      </c>
      <c r="I9" s="92" t="n"/>
      <c r="J9" s="92" t="n"/>
      <c r="K9" s="92" t="n"/>
      <c r="L9" s="92" t="n"/>
      <c r="M9" s="92" t="n"/>
      <c r="N9" s="92" t="n"/>
      <c r="O9" s="92" t="n"/>
      <c r="P9" s="92" t="n"/>
      <c r="Q9" s="92" t="n"/>
      <c r="R9" s="92" t="n"/>
      <c r="S9" s="92" t="n"/>
      <c r="T9" s="92" t="n"/>
    </row>
    <row r="10" ht="27" customHeight="1">
      <c r="A10" s="427" t="inlineStr">
        <is>
          <t>Submission on Time</t>
        </is>
      </c>
      <c r="B10" s="446" t="inlineStr">
        <is>
          <t>(Regulatory submissions executed on time) *100/ Total number of submissions planned for the month</t>
        </is>
      </c>
      <c r="C10" s="230" t="inlineStr">
        <is>
          <t>&gt;=</t>
        </is>
      </c>
      <c r="D10" s="106" t="n">
        <v>1</v>
      </c>
      <c r="E10" s="230" t="inlineStr">
        <is>
          <t>%</t>
        </is>
      </c>
      <c r="F10" s="388" t="inlineStr">
        <is>
          <t>Higher the better</t>
        </is>
      </c>
      <c r="G10" s="230" t="inlineStr">
        <is>
          <t>Monthly</t>
        </is>
      </c>
      <c r="H10" s="14" t="inlineStr">
        <is>
          <t>Target</t>
        </is>
      </c>
      <c r="I10" s="4" t="n">
        <v>1</v>
      </c>
      <c r="J10" s="4" t="n">
        <v>1</v>
      </c>
      <c r="K10" s="4" t="n">
        <v>1</v>
      </c>
      <c r="L10" s="4" t="n">
        <v>1</v>
      </c>
      <c r="M10" s="4" t="n">
        <v>1</v>
      </c>
      <c r="N10" s="4" t="n">
        <v>1</v>
      </c>
      <c r="O10" s="4" t="n">
        <v>1</v>
      </c>
      <c r="P10" s="4" t="n">
        <v>1</v>
      </c>
      <c r="Q10" s="4" t="n">
        <v>1</v>
      </c>
      <c r="R10" s="4" t="n">
        <v>1</v>
      </c>
      <c r="S10" s="4" t="n">
        <v>1</v>
      </c>
      <c r="T10" s="4" t="n">
        <v>1</v>
      </c>
    </row>
    <row r="11">
      <c r="A11" s="671" t="n"/>
      <c r="B11" s="671" t="n"/>
      <c r="C11" s="671" t="n"/>
      <c r="D11" s="671" t="n"/>
      <c r="E11" s="671" t="n"/>
      <c r="F11" s="671" t="n"/>
      <c r="G11" s="671" t="n"/>
      <c r="H11" s="14" t="inlineStr">
        <is>
          <t>Actual</t>
        </is>
      </c>
      <c r="I11" s="5">
        <f>31/31</f>
        <v/>
      </c>
      <c r="J11" s="5">
        <f>52/52</f>
        <v/>
      </c>
      <c r="K11" s="5">
        <f>60/60</f>
        <v/>
      </c>
      <c r="L11" s="5">
        <f>11/12</f>
        <v/>
      </c>
      <c r="M11" s="5">
        <f>7/7</f>
        <v/>
      </c>
      <c r="N11" s="5">
        <f>13/13</f>
        <v/>
      </c>
      <c r="O11" s="5">
        <f>8/8</f>
        <v/>
      </c>
      <c r="P11" s="5">
        <f>9/9</f>
        <v/>
      </c>
      <c r="Q11" s="5">
        <f>8/9</f>
        <v/>
      </c>
      <c r="R11" s="5" t="n"/>
      <c r="S11" s="5" t="n"/>
      <c r="T11" s="5" t="n"/>
    </row>
    <row r="12" ht="18.6" customHeight="1">
      <c r="A12" s="31" t="inlineStr">
        <is>
          <t>Critical Enabling/Leading KPI's (3-5)</t>
        </is>
      </c>
      <c r="G12" s="38" t="n"/>
      <c r="I12" s="43" t="n"/>
      <c r="J12" s="43" t="n"/>
      <c r="K12" s="43" t="n"/>
      <c r="L12" s="43" t="n"/>
      <c r="M12" s="43" t="n"/>
      <c r="N12" s="43" t="n"/>
      <c r="O12" s="43" t="n"/>
      <c r="P12" s="43" t="n"/>
      <c r="Q12" s="43" t="n"/>
      <c r="R12" s="43" t="n"/>
      <c r="S12" s="43" t="n"/>
      <c r="T12" s="43" t="n"/>
    </row>
    <row r="13" ht="27.6"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row>
    <row r="14" ht="27" customHeight="1">
      <c r="A14" s="427" t="inlineStr">
        <is>
          <t>Country readiness</t>
        </is>
      </c>
      <c r="B14" s="446" t="inlineStr">
        <is>
          <t>(Orders impacted due to regulatory or other readiness-related blocks) *100/ Total orders planned for that month</t>
        </is>
      </c>
      <c r="C14" s="230" t="inlineStr">
        <is>
          <t>&lt;=</t>
        </is>
      </c>
      <c r="D14" s="717" t="n">
        <v>0.1</v>
      </c>
      <c r="E14" s="703" t="inlineStr">
        <is>
          <t>%</t>
        </is>
      </c>
      <c r="F14" s="388" t="inlineStr">
        <is>
          <t>Lower the better</t>
        </is>
      </c>
      <c r="G14" s="230" t="inlineStr">
        <is>
          <t>Monthly</t>
        </is>
      </c>
      <c r="H14" s="14" t="inlineStr">
        <is>
          <t>Target</t>
        </is>
      </c>
      <c r="I14" s="4" t="n">
        <v>0.1</v>
      </c>
      <c r="J14" s="4" t="n">
        <v>0.1</v>
      </c>
      <c r="K14" s="4" t="n">
        <v>0.1</v>
      </c>
      <c r="L14" s="4" t="n">
        <v>0.1</v>
      </c>
      <c r="M14" s="4" t="n">
        <v>0.1</v>
      </c>
      <c r="N14" s="4" t="n">
        <v>0.1</v>
      </c>
      <c r="O14" s="4" t="n">
        <v>0.1</v>
      </c>
      <c r="P14" s="4" t="n">
        <v>0.1</v>
      </c>
      <c r="Q14" s="4" t="n">
        <v>0.1</v>
      </c>
      <c r="R14" s="4" t="n">
        <v>0.1</v>
      </c>
      <c r="S14" s="4" t="n">
        <v>0.1</v>
      </c>
      <c r="T14" s="4" t="n">
        <v>0.1</v>
      </c>
    </row>
    <row r="15" ht="20.25" customHeight="1">
      <c r="A15" s="671" t="n"/>
      <c r="B15" s="671" t="n"/>
      <c r="C15" s="671" t="n"/>
      <c r="D15" s="671" t="n"/>
      <c r="E15" s="671" t="n"/>
      <c r="F15" s="671" t="n"/>
      <c r="G15" s="671" t="n"/>
      <c r="H15" s="14" t="inlineStr">
        <is>
          <t>Actual</t>
        </is>
      </c>
      <c r="I15" s="5" t="n">
        <v>0</v>
      </c>
      <c r="J15" s="5">
        <f>1/90</f>
        <v/>
      </c>
      <c r="K15" s="5" t="n">
        <v>0</v>
      </c>
      <c r="L15" s="5">
        <f>0/92</f>
        <v/>
      </c>
      <c r="M15" s="5">
        <f>0/133</f>
        <v/>
      </c>
      <c r="N15" s="5">
        <f>0/144</f>
        <v/>
      </c>
      <c r="O15" s="5" t="n">
        <v>0</v>
      </c>
      <c r="P15" s="5" t="n">
        <v>0</v>
      </c>
      <c r="Q15" s="5" t="n">
        <v>0</v>
      </c>
      <c r="R15" s="5" t="n"/>
      <c r="S15" s="5" t="n"/>
      <c r="T15" s="5" t="n"/>
    </row>
    <row r="16" ht="30" customHeight="1">
      <c r="A16" s="446" t="inlineStr">
        <is>
          <t>Product Change assessment</t>
        </is>
      </c>
      <c r="B16" s="446" t="inlineStr">
        <is>
          <t>(Product change assessments completed  by Regulatory within 6 weeks from the date of request) *100/ Total change assessments  completion planned during that month</t>
        </is>
      </c>
      <c r="C16" s="230" t="inlineStr">
        <is>
          <t>&gt;=</t>
        </is>
      </c>
      <c r="D16" s="257" t="n">
        <v>0.95</v>
      </c>
      <c r="E16" s="230" t="inlineStr">
        <is>
          <t>%</t>
        </is>
      </c>
      <c r="F16" s="388" t="inlineStr">
        <is>
          <t>Higher the better</t>
        </is>
      </c>
      <c r="G16" s="230" t="inlineStr">
        <is>
          <t>Monthly</t>
        </is>
      </c>
      <c r="H16" s="14" t="inlineStr">
        <is>
          <t>Target</t>
        </is>
      </c>
      <c r="I16" s="4" t="n">
        <v>0.95</v>
      </c>
      <c r="J16" s="4" t="n">
        <v>0.95</v>
      </c>
      <c r="K16" s="4" t="n">
        <v>0.95</v>
      </c>
      <c r="L16" s="4" t="n">
        <v>0.95</v>
      </c>
      <c r="M16" s="4" t="n">
        <v>0.95</v>
      </c>
      <c r="N16" s="4" t="n">
        <v>0.95</v>
      </c>
      <c r="O16" s="4" t="n">
        <v>0.95</v>
      </c>
      <c r="P16" s="4" t="n">
        <v>0.95</v>
      </c>
      <c r="Q16" s="4" t="n">
        <v>0.95</v>
      </c>
      <c r="R16" s="4" t="n">
        <v>0.95</v>
      </c>
      <c r="S16" s="4" t="n">
        <v>0.95</v>
      </c>
      <c r="T16" s="4" t="n">
        <v>0.95</v>
      </c>
    </row>
    <row r="17" ht="28.5" customHeight="1">
      <c r="A17" s="671" t="n"/>
      <c r="B17" s="671" t="n"/>
      <c r="C17" s="671" t="n"/>
      <c r="D17" s="671" t="n"/>
      <c r="E17" s="671" t="n"/>
      <c r="F17" s="671" t="n"/>
      <c r="G17" s="671" t="n"/>
      <c r="H17" s="14" t="inlineStr">
        <is>
          <t>Actual</t>
        </is>
      </c>
      <c r="I17" s="5">
        <f>1/1</f>
        <v/>
      </c>
      <c r="J17" s="5">
        <f>1/2</f>
        <v/>
      </c>
      <c r="K17" s="5">
        <f>1/1</f>
        <v/>
      </c>
      <c r="L17" s="5">
        <f>0/3</f>
        <v/>
      </c>
      <c r="M17" s="5">
        <f>3/3</f>
        <v/>
      </c>
      <c r="N17" s="5">
        <f>2/2</f>
        <v/>
      </c>
      <c r="O17" s="5">
        <f>1/1</f>
        <v/>
      </c>
      <c r="P17" s="5">
        <f>2/2</f>
        <v/>
      </c>
      <c r="Q17" s="5">
        <f>4/6</f>
        <v/>
      </c>
      <c r="R17" s="5" t="n"/>
      <c r="S17" s="5" t="n"/>
      <c r="T17" s="5" t="n"/>
    </row>
    <row r="18" ht="24" customHeight="1">
      <c r="A18" s="427" t="inlineStr">
        <is>
          <t>Submission readiness</t>
        </is>
      </c>
      <c r="B18" s="446" t="inlineStr">
        <is>
          <t>(Completed regulatory submission documents) *100/ Total submission deliverables needed for each planned country submission</t>
        </is>
      </c>
      <c r="C18" s="230" t="inlineStr">
        <is>
          <t>=</t>
        </is>
      </c>
      <c r="D18" s="257" t="n">
        <v>1</v>
      </c>
      <c r="E18" s="230" t="inlineStr">
        <is>
          <t>%</t>
        </is>
      </c>
      <c r="F18" s="388" t="inlineStr">
        <is>
          <t>Higher the better</t>
        </is>
      </c>
      <c r="G18" s="230" t="inlineStr">
        <is>
          <t>Monthly</t>
        </is>
      </c>
      <c r="H18" s="14" t="inlineStr">
        <is>
          <t>Target</t>
        </is>
      </c>
      <c r="I18" s="4" t="n">
        <v>1</v>
      </c>
      <c r="J18" s="4" t="n">
        <v>1</v>
      </c>
      <c r="K18" s="4" t="n">
        <v>1</v>
      </c>
      <c r="L18" s="4" t="n">
        <v>1</v>
      </c>
      <c r="M18" s="4" t="n">
        <v>1</v>
      </c>
      <c r="N18" s="4" t="n">
        <v>1</v>
      </c>
      <c r="O18" s="4" t="n">
        <v>1</v>
      </c>
      <c r="P18" s="4" t="n">
        <v>1</v>
      </c>
      <c r="Q18" s="4" t="n">
        <v>1</v>
      </c>
      <c r="R18" s="4" t="n">
        <v>1</v>
      </c>
      <c r="S18" s="4" t="n">
        <v>1</v>
      </c>
      <c r="T18" s="4" t="n">
        <v>1</v>
      </c>
    </row>
    <row r="19" ht="22.5" customHeight="1">
      <c r="A19" s="671" t="n"/>
      <c r="B19" s="671" t="n"/>
      <c r="C19" s="671" t="n"/>
      <c r="D19" s="671" t="n"/>
      <c r="E19" s="671" t="n"/>
      <c r="F19" s="671" t="n"/>
      <c r="G19" s="671" t="n"/>
      <c r="H19" s="14" t="inlineStr">
        <is>
          <t>Actual</t>
        </is>
      </c>
      <c r="I19" s="5">
        <f>14/14</f>
        <v/>
      </c>
      <c r="J19" s="5" t="n">
        <v>1</v>
      </c>
      <c r="K19" s="5" t="n">
        <v>1</v>
      </c>
      <c r="L19" s="5">
        <f>124/132</f>
        <v/>
      </c>
      <c r="M19" s="5">
        <f>25/25</f>
        <v/>
      </c>
      <c r="N19" s="5">
        <f>213/213</f>
        <v/>
      </c>
      <c r="O19" s="5">
        <f>63/63</f>
        <v/>
      </c>
      <c r="P19" s="5">
        <f>68/68</f>
        <v/>
      </c>
      <c r="Q19" s="5">
        <f>77/79</f>
        <v/>
      </c>
      <c r="R19" s="5" t="n"/>
      <c r="S19" s="5" t="n"/>
      <c r="T19" s="5" t="n"/>
    </row>
    <row r="20" ht="26.25" customHeight="1">
      <c r="A20" s="427" t="inlineStr">
        <is>
          <t>Quality of submission</t>
        </is>
      </c>
      <c r="B20" s="718" t="inlineStr">
        <is>
          <t>(Planned regulatory submissions accepted first-time-right) *100/ Total 
submission submitted in that month</t>
        </is>
      </c>
      <c r="C20" s="703" t="inlineStr">
        <is>
          <t>&gt;=</t>
        </is>
      </c>
      <c r="D20" s="717" t="n">
        <v>0.95</v>
      </c>
      <c r="E20" s="703" t="inlineStr">
        <is>
          <t>%</t>
        </is>
      </c>
      <c r="F20" s="719" t="inlineStr">
        <is>
          <t>Higher the better</t>
        </is>
      </c>
      <c r="G20" s="230" t="inlineStr">
        <is>
          <t>Monthly</t>
        </is>
      </c>
      <c r="H20" s="14" t="inlineStr">
        <is>
          <t>Target</t>
        </is>
      </c>
      <c r="I20" s="4" t="n">
        <v>0.95</v>
      </c>
      <c r="J20" s="4" t="n">
        <v>0.95</v>
      </c>
      <c r="K20" s="4" t="n">
        <v>0.95</v>
      </c>
      <c r="L20" s="4" t="n">
        <v>0.95</v>
      </c>
      <c r="M20" s="4" t="n">
        <v>0.95</v>
      </c>
      <c r="N20" s="4" t="n">
        <v>0.95</v>
      </c>
      <c r="O20" s="4" t="n">
        <v>0.95</v>
      </c>
      <c r="P20" s="4" t="n">
        <v>0.95</v>
      </c>
      <c r="Q20" s="4" t="n">
        <v>0.95</v>
      </c>
      <c r="R20" s="4" t="n">
        <v>0.95</v>
      </c>
      <c r="S20" s="4" t="n">
        <v>0.95</v>
      </c>
      <c r="T20" s="4" t="n">
        <v>0.95</v>
      </c>
    </row>
    <row r="21" ht="22.5" customHeight="1">
      <c r="A21" s="671" t="n"/>
      <c r="B21" s="671" t="n"/>
      <c r="C21" s="671" t="n"/>
      <c r="D21" s="671" t="n"/>
      <c r="E21" s="671" t="n"/>
      <c r="F21" s="671" t="n"/>
      <c r="G21" s="671" t="n"/>
      <c r="H21" s="14" t="inlineStr">
        <is>
          <t>Actual</t>
        </is>
      </c>
      <c r="I21" s="5">
        <f>31/31</f>
        <v/>
      </c>
      <c r="J21" s="5" t="n">
        <v>1</v>
      </c>
      <c r="K21" s="5">
        <f>33/34</f>
        <v/>
      </c>
      <c r="L21" s="5" t="n">
        <v>1</v>
      </c>
      <c r="M21" s="5" t="n">
        <v>1</v>
      </c>
      <c r="N21" s="5" t="n">
        <v>1</v>
      </c>
      <c r="O21" s="5" t="n">
        <v>1</v>
      </c>
      <c r="P21" s="5" t="n">
        <v>1</v>
      </c>
      <c r="Q21" s="5" t="n">
        <v>1</v>
      </c>
      <c r="R21" s="5" t="n"/>
      <c r="S21" s="5" t="n"/>
      <c r="T21" s="5" t="n"/>
    </row>
    <row r="22" ht="15" customHeight="1">
      <c r="E22" s="32" t="inlineStr">
        <is>
          <t xml:space="preserve">
</t>
        </is>
      </c>
      <c r="H22" s="33">
        <f>IF(OR($F19="Lower the better",$F19="Lower the Better"),
    IF(I15&gt;I14,$A18,""),
    IF(OR($F19="Higher the better",$F19="Higher the Better"),
       IF(I15&lt;I14,$A18,""),
       ""
    )
)</f>
        <v/>
      </c>
    </row>
    <row r="23" ht="21" customHeight="1">
      <c r="A23" s="10" t="inlineStr">
        <is>
          <t>Trends-</t>
        </is>
      </c>
    </row>
    <row r="24">
      <c r="A24" s="639" t="n"/>
    </row>
    <row r="25">
      <c r="A25" s="639" t="n"/>
    </row>
    <row r="26">
      <c r="A26" s="639" t="n"/>
    </row>
    <row r="27">
      <c r="A27" s="639" t="n"/>
    </row>
    <row r="28">
      <c r="A28" s="639" t="n"/>
    </row>
    <row r="29">
      <c r="A29" s="639" t="n"/>
    </row>
    <row r="30">
      <c r="A30" s="639" t="n"/>
    </row>
    <row r="31">
      <c r="A31" s="639" t="n"/>
    </row>
    <row r="32">
      <c r="A32" s="639" t="n"/>
    </row>
    <row r="33">
      <c r="A33" s="639" t="n"/>
    </row>
    <row r="34">
      <c r="A34" s="639" t="n"/>
    </row>
    <row r="35">
      <c r="A35" s="639" t="n"/>
    </row>
    <row r="36">
      <c r="A36" s="639" t="n"/>
    </row>
    <row r="37">
      <c r="A37" s="639" t="n"/>
    </row>
    <row r="38">
      <c r="A38" s="639" t="n"/>
    </row>
    <row r="39">
      <c r="A39" s="639" t="n"/>
    </row>
    <row r="40" ht="21" customHeight="1">
      <c r="A40" s="500" t="inlineStr">
        <is>
          <t>If the KPI is reported Red, fill all the details as mentioned below for analysis &amp; actions:</t>
        </is>
      </c>
    </row>
    <row r="41">
      <c r="A41" s="639" t="n"/>
    </row>
    <row r="42" ht="21" customHeight="1">
      <c r="A42" s="449" t="inlineStr">
        <is>
          <t>Root Cause Analysis-</t>
        </is>
      </c>
    </row>
    <row r="43" ht="20.1" customHeight="1">
      <c r="A43" s="466" t="inlineStr">
        <is>
          <t xml:space="preserve"> Red KPI</t>
        </is>
      </c>
      <c r="B43" s="361" t="inlineStr">
        <is>
          <t>Top Causes</t>
        </is>
      </c>
      <c r="C43" s="693" t="n"/>
      <c r="D43" s="693" t="n"/>
      <c r="E43" s="693" t="n"/>
      <c r="F43" s="692" t="n"/>
    </row>
    <row r="44" ht="15" customHeight="1">
      <c r="A44" s="694" t="n"/>
      <c r="B44" s="361" t="inlineStr">
        <is>
          <t xml:space="preserve">Cause 1 </t>
        </is>
      </c>
      <c r="C44" s="361" t="inlineStr">
        <is>
          <t>Cause 2</t>
        </is>
      </c>
      <c r="D44" s="361" t="inlineStr">
        <is>
          <t>Cause 3</t>
        </is>
      </c>
      <c r="E44" s="361" t="inlineStr">
        <is>
          <t>Cause 4</t>
        </is>
      </c>
      <c r="F44" s="361" t="inlineStr">
        <is>
          <t>Cause 5</t>
        </is>
      </c>
    </row>
    <row r="45" ht="26.45" customHeight="1">
      <c r="A45" s="40" t="inlineStr">
        <is>
          <t>Product Change assessment (Feb-26)</t>
        </is>
      </c>
      <c r="B45" s="127" t="inlineStr">
        <is>
          <t>KM RA Resource unavailable during year end holiday</t>
        </is>
      </c>
      <c r="C45" s="41" t="n"/>
      <c r="D45" s="41" t="n"/>
      <c r="E45" s="41" t="n"/>
      <c r="F45" s="41" t="n"/>
    </row>
    <row r="46" ht="19.35" customHeight="1">
      <c r="A46" s="27" t="inlineStr">
        <is>
          <t>% impact on KPI gap</t>
        </is>
      </c>
      <c r="B46" s="42" t="n">
        <v>1</v>
      </c>
      <c r="C46" s="42" t="n"/>
      <c r="D46" s="42" t="n"/>
      <c r="E46" s="42" t="n"/>
      <c r="F46" s="42" t="n"/>
    </row>
    <row r="47" ht="19.35" customHeight="1">
      <c r="A47" s="361" t="inlineStr">
        <is>
          <t>Red KPI</t>
        </is>
      </c>
      <c r="B47" s="361" t="inlineStr">
        <is>
          <t xml:space="preserve">Cause 1 </t>
        </is>
      </c>
      <c r="C47" s="361" t="inlineStr">
        <is>
          <t>Cause 2</t>
        </is>
      </c>
      <c r="D47" s="361" t="inlineStr">
        <is>
          <t>Cause 3</t>
        </is>
      </c>
      <c r="E47" s="361" t="inlineStr">
        <is>
          <t>Cause 4</t>
        </is>
      </c>
      <c r="F47" s="361" t="inlineStr">
        <is>
          <t>Cause 5</t>
        </is>
      </c>
    </row>
    <row r="48" ht="45.75" customHeight="1">
      <c r="A48" s="40" t="inlineStr">
        <is>
          <t>Registrations &amp; re-certifications on time (Apr-26)</t>
        </is>
      </c>
      <c r="B48" s="127" t="inlineStr">
        <is>
          <t>Renewal of license for Zenition products in Nigeria not received formally due to administrative delay with health authority.</t>
        </is>
      </c>
      <c r="C48" s="41" t="n"/>
      <c r="D48" s="41" t="n"/>
      <c r="E48" s="41" t="n"/>
      <c r="F48" s="41" t="n"/>
    </row>
    <row r="49" ht="19.35" customHeight="1">
      <c r="A49" s="27" t="inlineStr">
        <is>
          <t>% impact on KPI gap</t>
        </is>
      </c>
      <c r="B49" s="42" t="n">
        <v>1</v>
      </c>
      <c r="C49" s="42" t="n"/>
      <c r="D49" s="42" t="n"/>
      <c r="E49" s="42" t="n"/>
      <c r="F49" s="42" t="n"/>
    </row>
    <row r="50" ht="19.35" customHeight="1">
      <c r="A50" s="361" t="inlineStr">
        <is>
          <t>Red KPI</t>
        </is>
      </c>
      <c r="B50" s="361" t="inlineStr">
        <is>
          <t xml:space="preserve">Cause 1 </t>
        </is>
      </c>
      <c r="C50" s="361" t="inlineStr">
        <is>
          <t>Cause 2</t>
        </is>
      </c>
      <c r="D50" s="361" t="inlineStr">
        <is>
          <t>Cause 3</t>
        </is>
      </c>
      <c r="E50" s="361" t="inlineStr">
        <is>
          <t>Cause 4</t>
        </is>
      </c>
      <c r="F50" s="361" t="inlineStr">
        <is>
          <t>Cause 5</t>
        </is>
      </c>
    </row>
    <row r="51" ht="103.5" customHeight="1">
      <c r="A51" s="40" t="inlineStr">
        <is>
          <t>Product Change assessment 
(Apr-26 &amp; May-26)</t>
        </is>
      </c>
      <c r="B51" s="32" t="inlineStr">
        <is>
          <t>There were many PCNs to be attended by KM RA within short period of time which resulted in this delay.</t>
        </is>
      </c>
      <c r="C51" s="127" t="inlineStr">
        <is>
          <t>KM RA resources did not prioritize these change assessments over other work from IGTS and also other BUs.</t>
        </is>
      </c>
      <c r="D51" s="41" t="n"/>
      <c r="E51" s="41" t="n"/>
      <c r="F51" s="41" t="n"/>
    </row>
    <row r="52" ht="19.35" customHeight="1">
      <c r="A52" s="27" t="inlineStr">
        <is>
          <t>% impact on KPI gap</t>
        </is>
      </c>
      <c r="B52" s="42" t="n">
        <v>0.5</v>
      </c>
      <c r="C52" s="42" t="n">
        <v>0.5</v>
      </c>
      <c r="D52" s="42" t="n"/>
      <c r="E52" s="42" t="n"/>
      <c r="F52" s="42" t="n"/>
    </row>
    <row r="53" ht="19.35" customHeight="1">
      <c r="A53" s="361" t="inlineStr">
        <is>
          <t>Red KPI</t>
        </is>
      </c>
      <c r="B53" s="361" t="inlineStr">
        <is>
          <t xml:space="preserve">Cause 1 </t>
        </is>
      </c>
      <c r="C53" s="361" t="inlineStr">
        <is>
          <t>Cause 2</t>
        </is>
      </c>
      <c r="D53" s="361" t="inlineStr">
        <is>
          <t>Cause 3</t>
        </is>
      </c>
      <c r="E53" s="361" t="inlineStr">
        <is>
          <t>Cause 4</t>
        </is>
      </c>
      <c r="F53" s="361" t="inlineStr">
        <is>
          <t>Cause 5</t>
        </is>
      </c>
    </row>
    <row r="54" ht="57" customHeight="1">
      <c r="A54" s="40" t="inlineStr">
        <is>
          <t>Submission readiness (Apr-26)</t>
        </is>
      </c>
      <c r="B54" s="127" t="inlineStr">
        <is>
          <t>Supplier (Trixell) was not ready to share submission documents in desired format due to confidentiality reasons as supplier was new to suchs kind of request.</t>
        </is>
      </c>
      <c r="C54" s="41" t="n"/>
      <c r="D54" s="41" t="n"/>
      <c r="E54" s="41" t="n"/>
      <c r="F54" s="41" t="n"/>
    </row>
    <row r="55" ht="19.35" customHeight="1">
      <c r="A55" s="27" t="inlineStr">
        <is>
          <t>% impact on KPI gap</t>
        </is>
      </c>
      <c r="B55" s="42" t="n">
        <v>1</v>
      </c>
      <c r="C55" s="42" t="n"/>
      <c r="D55" s="42" t="n"/>
      <c r="E55" s="42" t="n"/>
      <c r="F55" s="42" t="n"/>
    </row>
    <row r="56" ht="19.35" customHeight="1">
      <c r="A56" s="361" t="inlineStr">
        <is>
          <t>Red KPI</t>
        </is>
      </c>
      <c r="B56" s="361" t="inlineStr">
        <is>
          <t xml:space="preserve">Cause 1 </t>
        </is>
      </c>
      <c r="C56" s="361" t="inlineStr">
        <is>
          <t>Cause 2</t>
        </is>
      </c>
      <c r="D56" s="361" t="inlineStr">
        <is>
          <t>Cause 3</t>
        </is>
      </c>
      <c r="E56" s="361" t="inlineStr">
        <is>
          <t>Cause 4</t>
        </is>
      </c>
      <c r="F56" s="361" t="inlineStr">
        <is>
          <t>Cause 5</t>
        </is>
      </c>
    </row>
    <row r="57" ht="19.35" customHeight="1">
      <c r="A57" s="27" t="n"/>
      <c r="B57" s="41" t="n"/>
      <c r="C57" s="41" t="n"/>
      <c r="D57" s="41" t="n"/>
      <c r="E57" s="41" t="n"/>
      <c r="F57" s="41" t="n"/>
    </row>
    <row r="58" ht="19.35" customHeight="1">
      <c r="A58" s="27" t="inlineStr">
        <is>
          <t>% impact on KPI gap</t>
        </is>
      </c>
      <c r="B58" s="42" t="n"/>
      <c r="C58" s="42" t="n"/>
      <c r="D58" s="42" t="n"/>
      <c r="E58" s="42" t="n"/>
      <c r="F58" s="42" t="n"/>
    </row>
    <row r="59" ht="19.35" customHeight="1">
      <c r="A59" s="361" t="inlineStr">
        <is>
          <t>Red KPI</t>
        </is>
      </c>
      <c r="B59" s="361" t="inlineStr">
        <is>
          <t xml:space="preserve">Cause 1 </t>
        </is>
      </c>
      <c r="C59" s="361" t="inlineStr">
        <is>
          <t>Cause 2</t>
        </is>
      </c>
      <c r="D59" s="361" t="inlineStr">
        <is>
          <t>Cause 3</t>
        </is>
      </c>
      <c r="E59" s="361" t="inlineStr">
        <is>
          <t>Cause 4</t>
        </is>
      </c>
      <c r="F59" s="361" t="inlineStr">
        <is>
          <t>Cause 5</t>
        </is>
      </c>
    </row>
    <row r="60" ht="19.35" customHeight="1">
      <c r="A60" s="27" t="n"/>
      <c r="B60" s="41" t="n"/>
      <c r="C60" s="41" t="n"/>
      <c r="D60" s="41" t="n"/>
      <c r="E60" s="41" t="n"/>
      <c r="F60" s="41" t="n"/>
    </row>
    <row r="61" ht="19.35" customHeight="1">
      <c r="A61" s="27" t="inlineStr">
        <is>
          <t>% impact on KPI gap</t>
        </is>
      </c>
      <c r="B61" s="42" t="n"/>
      <c r="C61" s="42" t="n"/>
      <c r="D61" s="42" t="n"/>
      <c r="E61" s="42" t="n"/>
      <c r="F61" s="42" t="n"/>
    </row>
    <row r="62" ht="21" customHeight="1">
      <c r="A62" s="10" t="inlineStr">
        <is>
          <t>Paretos for RCA</t>
        </is>
      </c>
    </row>
    <row r="63">
      <c r="A63" s="639" t="n"/>
    </row>
    <row r="64">
      <c r="A64" s="639" t="n"/>
    </row>
    <row r="65">
      <c r="A65" s="639" t="n"/>
    </row>
    <row r="66">
      <c r="A66" s="639" t="n"/>
    </row>
    <row r="67">
      <c r="A67" s="639" t="n"/>
    </row>
    <row r="68">
      <c r="A68" s="639" t="n"/>
    </row>
    <row r="69">
      <c r="A69" s="639" t="n"/>
    </row>
    <row r="70">
      <c r="A70" s="639" t="n"/>
    </row>
    <row r="71">
      <c r="A71" s="639" t="n"/>
    </row>
    <row r="72">
      <c r="A72" s="639" t="n"/>
    </row>
    <row r="73">
      <c r="A73" s="639" t="n"/>
    </row>
    <row r="74">
      <c r="A74" s="639" t="n"/>
    </row>
    <row r="75">
      <c r="A75" s="639" t="n"/>
    </row>
    <row r="76">
      <c r="A76" s="639" t="n"/>
    </row>
    <row r="77" ht="15" customHeight="1" thickBot="1">
      <c r="A77" s="639" t="n"/>
      <c r="V77" s="15" t="n"/>
      <c r="W77" s="15" t="n"/>
      <c r="X77" s="15" t="n"/>
      <c r="Y77" s="15" t="n"/>
      <c r="Z77" s="15" t="n"/>
      <c r="AA77" s="15" t="n"/>
      <c r="AB77" s="15" t="n"/>
      <c r="AC77" s="15" t="n"/>
      <c r="AD77" s="15" t="n"/>
      <c r="AE77" s="15" t="n"/>
      <c r="AF77" s="15" t="n"/>
      <c r="AG77" s="15" t="n"/>
      <c r="AH77" s="15" t="n"/>
    </row>
    <row r="78" ht="18.95" customHeight="1" thickBot="1">
      <c r="A78" s="695" t="inlineStr">
        <is>
          <t>Action tracker</t>
        </is>
      </c>
      <c r="B78" s="696" t="n"/>
      <c r="C78" s="696" t="n"/>
      <c r="D78" s="696" t="n"/>
      <c r="E78" s="696" t="n"/>
      <c r="F78" s="697" t="n"/>
      <c r="H78" s="698" t="inlineStr">
        <is>
          <t>Handshake Escalations/Support required</t>
        </is>
      </c>
      <c r="I78" s="696" t="n"/>
      <c r="J78" s="696" t="n"/>
      <c r="K78" s="696" t="n"/>
      <c r="L78" s="696" t="n"/>
      <c r="M78" s="696" t="n"/>
      <c r="N78" s="696" t="n"/>
      <c r="O78" s="697" t="n"/>
    </row>
    <row r="79" ht="41.85" customFormat="1" customHeight="1" s="15">
      <c r="A79" s="16" t="inlineStr">
        <is>
          <t>Red KPI</t>
        </is>
      </c>
      <c r="B79" s="17" t="inlineStr">
        <is>
          <t>Root cause description</t>
        </is>
      </c>
      <c r="C79" s="18" t="inlineStr">
        <is>
          <t>Corrective action</t>
        </is>
      </c>
      <c r="D79" s="19" t="inlineStr">
        <is>
          <t>Owner</t>
        </is>
      </c>
      <c r="E79" s="17" t="inlineStr">
        <is>
          <t>Due Date</t>
        </is>
      </c>
      <c r="F79" s="20" t="inlineStr">
        <is>
          <t>Status</t>
        </is>
      </c>
      <c r="H79" s="21" t="inlineStr">
        <is>
          <t>KPI Name</t>
        </is>
      </c>
      <c r="I79" s="22" t="inlineStr">
        <is>
          <t>Key Dependency</t>
        </is>
      </c>
      <c r="J79" s="22" t="inlineStr">
        <is>
          <t>Function Name</t>
        </is>
      </c>
      <c r="K79" s="23" t="inlineStr">
        <is>
          <t>What action/s from
 Function is expected</t>
        </is>
      </c>
      <c r="L79" s="23" t="inlineStr">
        <is>
          <t>Success measure for
Action Closure</t>
        </is>
      </c>
      <c r="M79" s="24" t="inlineStr">
        <is>
          <t>Handshaked
(Yes or No)</t>
        </is>
      </c>
      <c r="N79" s="23" t="inlineStr">
        <is>
          <t>Open issue description</t>
        </is>
      </c>
      <c r="O79" s="36" t="inlineStr">
        <is>
          <t>Solutions to 
Open issues</t>
        </is>
      </c>
    </row>
    <row r="80" ht="45" customHeight="1">
      <c r="A80" s="699" t="inlineStr">
        <is>
          <t>Product Change assessment (Feb-26)</t>
        </is>
      </c>
      <c r="B80" s="388" t="inlineStr">
        <is>
          <t>Resource unavailable during year end holiday</t>
        </is>
      </c>
      <c r="C80" s="388" t="inlineStr">
        <is>
          <t>Follow up/escalate to Market  RA  lead and avoid dependency on one resources for future.</t>
        </is>
      </c>
      <c r="D80" s="388" t="inlineStr">
        <is>
          <t>Boobalan/ Viryanti</t>
        </is>
      </c>
      <c r="E80" s="379" t="n">
        <v>46079</v>
      </c>
      <c r="F80" s="700" t="n">
        <v>5</v>
      </c>
      <c r="H80" s="699" t="n"/>
      <c r="I80" s="701" t="n"/>
      <c r="J80" s="701" t="n"/>
      <c r="K80" s="701" t="n"/>
      <c r="L80" s="701" t="n"/>
      <c r="M80" s="703" t="n"/>
      <c r="N80" s="701" t="n"/>
      <c r="O80" s="704" t="n"/>
    </row>
    <row r="81" ht="45" customHeight="1">
      <c r="A81" s="705" t="n"/>
      <c r="B81" s="671" t="n"/>
      <c r="C81" s="671" t="n"/>
      <c r="D81" s="671" t="n"/>
      <c r="E81" s="671" t="n"/>
      <c r="F81" s="672" t="n"/>
      <c r="H81" s="705" t="n"/>
      <c r="I81" s="671" t="n"/>
      <c r="J81" s="671" t="n"/>
      <c r="K81" s="671" t="n"/>
      <c r="L81" s="671" t="n"/>
      <c r="M81" s="671" t="n"/>
      <c r="N81" s="671" t="n"/>
      <c r="O81" s="672" t="n"/>
    </row>
    <row r="82" ht="23.25" customHeight="1">
      <c r="A82" s="699" t="inlineStr">
        <is>
          <t>Registrations &amp; re-certifications on time (Apr-26)</t>
        </is>
      </c>
      <c r="B82" s="388" t="inlineStr">
        <is>
          <t>Renewal of license Zenition products in Nigeria not received formally due to administrative delay with health authority.</t>
        </is>
      </c>
      <c r="C82" s="388" t="inlineStr">
        <is>
          <t xml:space="preserve">Follow up/escalate  to Market  RA  lead. </t>
        </is>
      </c>
      <c r="D82" s="388" t="inlineStr">
        <is>
          <t>Sagar/Madeleine</t>
        </is>
      </c>
      <c r="E82" s="379" t="n">
        <v>46171</v>
      </c>
      <c r="F82" s="700" t="n">
        <v>5</v>
      </c>
      <c r="H82" s="699" t="n"/>
      <c r="I82" s="701" t="n"/>
      <c r="J82" s="701" t="n"/>
      <c r="K82" s="701" t="n"/>
      <c r="L82" s="701" t="n"/>
      <c r="M82" s="703" t="n"/>
      <c r="N82" s="701" t="n"/>
      <c r="O82" s="704" t="n"/>
    </row>
    <row r="83" ht="28.5" customHeight="1">
      <c r="A83" s="705" t="n"/>
      <c r="B83" s="671" t="n"/>
      <c r="C83" s="671" t="n"/>
      <c r="D83" s="671" t="n"/>
      <c r="E83" s="671" t="n"/>
      <c r="F83" s="672" t="n"/>
      <c r="H83" s="705" t="n"/>
      <c r="I83" s="671" t="n"/>
      <c r="J83" s="671" t="n"/>
      <c r="K83" s="671" t="n"/>
      <c r="L83" s="671" t="n"/>
      <c r="M83" s="671" t="n"/>
      <c r="N83" s="671" t="n"/>
      <c r="O83" s="672" t="n"/>
    </row>
    <row r="84" ht="74.25" customHeight="1">
      <c r="A84" s="699" t="inlineStr">
        <is>
          <t>Product Change assessment (Apr-26)</t>
        </is>
      </c>
      <c r="B84" s="388" t="inlineStr">
        <is>
          <t>There were many PCNs to be attended by KM RA within short period of time which resulted in this delay.</t>
        </is>
      </c>
      <c r="C84" s="388" t="inlineStr">
        <is>
          <t xml:space="preserve">Where possible Regulatory and PMs to plan and distribute PCN worthy changes evenly so that work is not concentrarted over short period of time. </t>
        </is>
      </c>
      <c r="D84" s="388" t="inlineStr">
        <is>
          <t>Sagar/Sumit</t>
        </is>
      </c>
      <c r="E84" s="379" t="n">
        <v>46162</v>
      </c>
      <c r="F84" s="700" t="n">
        <v>5</v>
      </c>
      <c r="H84" s="699" t="n"/>
      <c r="I84" s="701" t="n"/>
      <c r="J84" s="701" t="n"/>
      <c r="K84" s="701" t="n"/>
      <c r="L84" s="701" t="n"/>
      <c r="M84" s="703" t="n"/>
      <c r="N84" s="701" t="n"/>
      <c r="O84" s="704" t="n"/>
    </row>
    <row r="85" ht="75" customHeight="1">
      <c r="A85" s="705" t="n"/>
      <c r="B85" s="671" t="n"/>
      <c r="C85" s="671" t="n"/>
      <c r="D85" s="671" t="n"/>
      <c r="E85" s="671" t="n"/>
      <c r="F85" s="672" t="n"/>
      <c r="H85" s="705" t="n"/>
      <c r="I85" s="671" t="n"/>
      <c r="J85" s="671" t="n"/>
      <c r="K85" s="671" t="n"/>
      <c r="L85" s="671" t="n"/>
      <c r="M85" s="671" t="n"/>
      <c r="N85" s="671" t="n"/>
      <c r="O85" s="672" t="n"/>
    </row>
    <row r="86" ht="68.25" customHeight="1">
      <c r="A86" s="699" t="inlineStr">
        <is>
          <t>Product Change assessment (Apr-26)</t>
        </is>
      </c>
      <c r="B86" s="388" t="inlineStr">
        <is>
          <t>KM RA resources did not prioritize these change assessments over other work from IGTS and also other BUs.</t>
        </is>
      </c>
      <c r="C86" s="388" t="inlineStr">
        <is>
          <t>Ensure KM follow the priorities communicated through monthly calls. And escalate the response delays to KM RA leads.</t>
        </is>
      </c>
      <c r="D86" s="388" t="inlineStr">
        <is>
          <t>Sagar/Sumit</t>
        </is>
      </c>
      <c r="E86" s="379" t="n">
        <v>46162</v>
      </c>
      <c r="F86" s="700" t="n">
        <v>5</v>
      </c>
      <c r="H86" s="699" t="n"/>
      <c r="I86" s="701" t="n"/>
      <c r="J86" s="701" t="n"/>
      <c r="K86" s="701" t="n"/>
      <c r="L86" s="701" t="n"/>
      <c r="M86" s="703" t="n"/>
      <c r="N86" s="701" t="n"/>
      <c r="O86" s="704" t="n"/>
    </row>
    <row r="87" ht="54" customHeight="1">
      <c r="A87" s="705" t="n"/>
      <c r="B87" s="671" t="n"/>
      <c r="C87" s="671" t="n"/>
      <c r="D87" s="671" t="n"/>
      <c r="E87" s="671" t="n"/>
      <c r="F87" s="672" t="n"/>
      <c r="H87" s="705" t="n"/>
      <c r="I87" s="671" t="n"/>
      <c r="J87" s="671" t="n"/>
      <c r="K87" s="671" t="n"/>
      <c r="L87" s="671" t="n"/>
      <c r="M87" s="671" t="n"/>
      <c r="N87" s="671" t="n"/>
      <c r="O87" s="672" t="n"/>
    </row>
    <row r="88" ht="82.5" customHeight="1">
      <c r="A88" s="699" t="inlineStr">
        <is>
          <t>Submission readiness (Apr-26)</t>
        </is>
      </c>
      <c r="B88" s="388" t="inlineStr">
        <is>
          <t>Supplier not ready to share submission documents due to confidentiality reasons</t>
        </is>
      </c>
      <c r="C88" s="388" t="inlineStr">
        <is>
          <t>Escalate via Procurement team  GSM .
RA to proactively plan on such license applications looking at the VCP and get involved at supplier onboarding stage.</t>
        </is>
      </c>
      <c r="D88" s="388" t="inlineStr">
        <is>
          <t>Gyanendra/Pavan</t>
        </is>
      </c>
      <c r="E88" s="379" t="n">
        <v>46157</v>
      </c>
      <c r="F88" s="700" t="n">
        <v>5</v>
      </c>
      <c r="H88" s="699" t="n"/>
      <c r="I88" s="701" t="n"/>
      <c r="J88" s="701" t="n"/>
      <c r="K88" s="701" t="n"/>
      <c r="L88" s="701" t="n"/>
      <c r="M88" s="703" t="n"/>
      <c r="N88" s="701" t="n"/>
      <c r="O88" s="704" t="n"/>
    </row>
    <row r="89" ht="78" customHeight="1">
      <c r="A89" s="705" t="n"/>
      <c r="B89" s="671" t="n"/>
      <c r="C89" s="671" t="n"/>
      <c r="D89" s="671" t="n"/>
      <c r="E89" s="671" t="n"/>
      <c r="F89" s="672" t="n"/>
      <c r="H89" s="705" t="n"/>
      <c r="I89" s="671" t="n"/>
      <c r="J89" s="671" t="n"/>
      <c r="K89" s="671" t="n"/>
      <c r="L89" s="671" t="n"/>
      <c r="M89" s="671" t="n"/>
      <c r="N89" s="671" t="n"/>
      <c r="O89" s="672" t="n"/>
    </row>
    <row r="90" ht="16.5" customHeight="1">
      <c r="A90" s="699" t="n"/>
      <c r="B90" s="707" t="n"/>
      <c r="C90" s="707" t="n"/>
      <c r="D90" s="707" t="n"/>
      <c r="E90" s="708" t="n"/>
      <c r="F90" s="700" t="n">
        <v>1</v>
      </c>
      <c r="H90" s="709" t="n"/>
      <c r="I90" s="710" t="n"/>
      <c r="J90" s="710" t="n"/>
      <c r="K90" s="710" t="n"/>
      <c r="L90" s="710" t="n"/>
      <c r="M90" s="711" t="n"/>
      <c r="N90" s="710" t="n"/>
      <c r="O90" s="712" t="n"/>
    </row>
    <row r="91" ht="17.1" customHeight="1" thickBot="1">
      <c r="A91" s="705" t="n"/>
      <c r="B91" s="713" t="n"/>
      <c r="C91" s="713" t="n"/>
      <c r="D91" s="713" t="n"/>
      <c r="E91" s="713" t="n"/>
      <c r="F91" s="672" t="n"/>
      <c r="H91" s="714" t="n"/>
      <c r="I91" s="713" t="n"/>
      <c r="J91" s="713" t="n"/>
      <c r="K91" s="713" t="n"/>
      <c r="L91" s="713" t="n"/>
      <c r="M91" s="713" t="n"/>
      <c r="N91" s="713" t="n"/>
      <c r="O91" s="715" t="n"/>
    </row>
    <row r="92">
      <c r="A92" s="34" t="inlineStr">
        <is>
          <t>Action not assigned</t>
        </is>
      </c>
      <c r="B92" s="34" t="inlineStr">
        <is>
          <t>Action assigned</t>
        </is>
      </c>
      <c r="C92" s="35" t="inlineStr">
        <is>
          <t>Action started</t>
        </is>
      </c>
      <c r="D92" s="35" t="inlineStr">
        <is>
          <t>Action in progress</t>
        </is>
      </c>
      <c r="E92" s="165" t="inlineStr">
        <is>
          <t>Action completed</t>
        </is>
      </c>
      <c r="F92" s="716" t="n"/>
      <c r="G92" s="639" t="n"/>
    </row>
    <row r="93">
      <c r="A93" s="639" t="n"/>
      <c r="C93" s="639" t="n"/>
      <c r="D93" s="639" t="n"/>
      <c r="E93" s="639" t="n"/>
      <c r="F93" s="639" t="n"/>
      <c r="G93" s="639" t="n"/>
    </row>
    <row r="94">
      <c r="C94" s="639" t="n"/>
      <c r="D94" s="639" t="n"/>
      <c r="E94" s="639" t="n"/>
      <c r="F94" s="639" t="n"/>
      <c r="G94" s="639" t="n"/>
      <c r="H94" s="639" t="n"/>
    </row>
  </sheetData>
  <mergeCells count="141">
    <mergeCell ref="F84:F85"/>
    <mergeCell ref="H82:H83"/>
    <mergeCell ref="J82:J83"/>
    <mergeCell ref="E8:E9"/>
    <mergeCell ref="K88:K89"/>
    <mergeCell ref="G8:G9"/>
    <mergeCell ref="M88:M89"/>
    <mergeCell ref="H78:O78"/>
    <mergeCell ref="E88:E89"/>
    <mergeCell ref="B86:B87"/>
    <mergeCell ref="D86:D87"/>
    <mergeCell ref="F86:F87"/>
    <mergeCell ref="A16:A17"/>
    <mergeCell ref="C10:C11"/>
    <mergeCell ref="C16:C17"/>
    <mergeCell ref="E10:E11"/>
    <mergeCell ref="B14:B15"/>
    <mergeCell ref="G10:G11"/>
    <mergeCell ref="F18:F19"/>
    <mergeCell ref="M90:M91"/>
    <mergeCell ref="H88:H89"/>
    <mergeCell ref="K90:K91"/>
    <mergeCell ref="D16:D17"/>
    <mergeCell ref="B6:B7"/>
    <mergeCell ref="G18:G19"/>
    <mergeCell ref="K82:K83"/>
    <mergeCell ref="H90:H91"/>
    <mergeCell ref="B80:B81"/>
    <mergeCell ref="D18:D19"/>
    <mergeCell ref="A42:B42"/>
    <mergeCell ref="I82:I83"/>
    <mergeCell ref="D8:D9"/>
    <mergeCell ref="A20:A21"/>
    <mergeCell ref="N90:N91"/>
    <mergeCell ref="C86:C87"/>
    <mergeCell ref="I84:I85"/>
    <mergeCell ref="D10:D11"/>
    <mergeCell ref="O82:O83"/>
    <mergeCell ref="L80:L81"/>
    <mergeCell ref="N80:N81"/>
    <mergeCell ref="J88:J89"/>
    <mergeCell ref="C6:C7"/>
    <mergeCell ref="L82:L83"/>
    <mergeCell ref="I86:I87"/>
    <mergeCell ref="F16:F17"/>
    <mergeCell ref="C14:C15"/>
    <mergeCell ref="K80:K81"/>
    <mergeCell ref="E14:E15"/>
    <mergeCell ref="A88:A89"/>
    <mergeCell ref="B90:B91"/>
    <mergeCell ref="F20:F21"/>
    <mergeCell ref="A90:A91"/>
    <mergeCell ref="B43:F43"/>
    <mergeCell ref="B84:B85"/>
    <mergeCell ref="A8:A9"/>
    <mergeCell ref="H80:H81"/>
    <mergeCell ref="L84:L85"/>
    <mergeCell ref="C8:C9"/>
    <mergeCell ref="N84:N85"/>
    <mergeCell ref="C82:C83"/>
    <mergeCell ref="A10:A11"/>
    <mergeCell ref="L86:L87"/>
    <mergeCell ref="N86:N87"/>
    <mergeCell ref="A43:A44"/>
    <mergeCell ref="D88:D89"/>
    <mergeCell ref="F88:F89"/>
    <mergeCell ref="B16:B17"/>
    <mergeCell ref="O86:O87"/>
    <mergeCell ref="C18:C19"/>
    <mergeCell ref="F10:F11"/>
    <mergeCell ref="A40:E40"/>
    <mergeCell ref="D90:D91"/>
    <mergeCell ref="B18:B19"/>
    <mergeCell ref="A84:A85"/>
    <mergeCell ref="C20:C21"/>
    <mergeCell ref="E20:E21"/>
    <mergeCell ref="E82:E83"/>
    <mergeCell ref="B8:B9"/>
    <mergeCell ref="D80:D81"/>
    <mergeCell ref="A6:A7"/>
    <mergeCell ref="E92:F92"/>
    <mergeCell ref="B82:B83"/>
    <mergeCell ref="C84:C85"/>
    <mergeCell ref="E84:E85"/>
    <mergeCell ref="A80:A81"/>
    <mergeCell ref="C80:C81"/>
    <mergeCell ref="F8:F9"/>
    <mergeCell ref="M80:M81"/>
    <mergeCell ref="N88:N89"/>
    <mergeCell ref="G6:G7"/>
    <mergeCell ref="E86:E87"/>
    <mergeCell ref="A3:B3"/>
    <mergeCell ref="A14:A15"/>
    <mergeCell ref="H84:H85"/>
    <mergeCell ref="N82:N83"/>
    <mergeCell ref="I88:I89"/>
    <mergeCell ref="E80:E81"/>
    <mergeCell ref="J90:J91"/>
    <mergeCell ref="H86:H87"/>
    <mergeCell ref="L90:L91"/>
    <mergeCell ref="B20:B21"/>
    <mergeCell ref="E16:E17"/>
    <mergeCell ref="D20:D21"/>
    <mergeCell ref="G16:G17"/>
    <mergeCell ref="D14:D15"/>
    <mergeCell ref="F14:F15"/>
    <mergeCell ref="I90:I91"/>
    <mergeCell ref="E18:E19"/>
    <mergeCell ref="O90:O91"/>
    <mergeCell ref="I80:I81"/>
    <mergeCell ref="A78:F78"/>
    <mergeCell ref="D6:D7"/>
    <mergeCell ref="M82:M83"/>
    <mergeCell ref="F6:F7"/>
    <mergeCell ref="F80:F81"/>
    <mergeCell ref="J84:J85"/>
    <mergeCell ref="J86:J87"/>
    <mergeCell ref="C88:C89"/>
    <mergeCell ref="K84:K85"/>
    <mergeCell ref="O88:O89"/>
    <mergeCell ref="M84:M85"/>
    <mergeCell ref="O84:O85"/>
    <mergeCell ref="B88:B89"/>
    <mergeCell ref="C90:C91"/>
    <mergeCell ref="A86:A87"/>
    <mergeCell ref="L88:L89"/>
    <mergeCell ref="E90:E91"/>
    <mergeCell ref="J80:J81"/>
    <mergeCell ref="E6:E7"/>
    <mergeCell ref="K86:K87"/>
    <mergeCell ref="B10:B11"/>
    <mergeCell ref="M86:M87"/>
    <mergeCell ref="A18:A19"/>
    <mergeCell ref="G20:G21"/>
    <mergeCell ref="G14:G15"/>
    <mergeCell ref="O80:O81"/>
    <mergeCell ref="F90:F91"/>
    <mergeCell ref="F82:F83"/>
    <mergeCell ref="D82:D83"/>
    <mergeCell ref="A82:A83"/>
    <mergeCell ref="D84:D85"/>
  </mergeCells>
  <conditionalFormatting sqref="A51 A80:A91 C51:F51">
    <cfRule type="containsBlanks" priority="22" dxfId="3">
      <formula>LEN(TRIM(A51))=0</formula>
    </cfRule>
  </conditionalFormatting>
  <conditionalFormatting sqref="A45:F45 A48:F48 A54:F54 A57:F57 A60:F60 B46:F46 B49:F49 B52:F52 B55:F55 B58:F58 B61:F61">
    <cfRule type="containsBlanks" priority="21" dxfId="3">
      <formula>LEN(TRIM(A45))=0</formula>
    </cfRule>
  </conditionalFormatting>
  <conditionalFormatting sqref="A6:G6 A10:G10">
    <cfRule type="containsBlanks" priority="25" dxfId="3">
      <formula>LEN(TRIM(A6))=0</formula>
    </cfRule>
  </conditionalFormatting>
  <conditionalFormatting sqref="A14:G14">
    <cfRule type="containsBlanks" priority="9" dxfId="3">
      <formula>LEN(TRIM(A14))=0</formula>
    </cfRule>
  </conditionalFormatting>
  <conditionalFormatting sqref="A16:G16 A18:G18">
    <cfRule type="containsBlanks" priority="36" dxfId="3">
      <formula>LEN(TRIM(A16))=0</formula>
    </cfRule>
  </conditionalFormatting>
  <conditionalFormatting sqref="A20:G20">
    <cfRule type="containsBlanks" priority="7" dxfId="3">
      <formula>LEN(TRIM(A20))=0</formula>
    </cfRule>
  </conditionalFormatting>
  <conditionalFormatting sqref="B8">
    <cfRule type="containsBlanks" priority="1" dxfId="3">
      <formula>LEN(TRIM(B8))=0</formula>
    </cfRule>
  </conditionalFormatting>
  <conditionalFormatting sqref="B80:E80 B82:E82 B84:E84 B86:E86 B88:E88 B90:E90">
    <cfRule type="containsBlanks" priority="31" dxfId="3">
      <formula>LEN(TRIM(B80))=0</formula>
    </cfRule>
  </conditionalFormatting>
  <conditionalFormatting sqref="D1 F1">
    <cfRule type="containsBlanks" priority="39" dxfId="3">
      <formula>LEN(TRIM(D1))=0</formula>
    </cfRule>
  </conditionalFormatting>
  <conditionalFormatting sqref="F80 F82 F84 F86 F88 F90">
    <cfRule type="expression" priority="38" dxfId="19">
      <formula>AND(#REF!&lt;&gt;"",E80&lt;TODAY(),F80&lt;4)</formula>
    </cfRule>
    <cfRule type="iconSet" priority="37">
      <iconSet iconSet="5Quarters" showValue="0">
        <cfvo type="percent" val="0"/>
        <cfvo type="num" val="2"/>
        <cfvo type="num" val="3"/>
        <cfvo type="num" val="4"/>
        <cfvo type="num" val="5"/>
      </iconSet>
    </cfRule>
  </conditionalFormatting>
  <conditionalFormatting sqref="H80:H91">
    <cfRule type="containsBlanks" priority="20" dxfId="3">
      <formula>LEN(TRIM(H80))=0</formula>
    </cfRule>
  </conditionalFormatting>
  <conditionalFormatting sqref="I80:O80 I82:O82 I84:O84 I86:O86 I88:O88 I90:O90">
    <cfRule type="containsBlanks" priority="30" dxfId="3">
      <formula>LEN(TRIM(I80))=0</formula>
    </cfRule>
  </conditionalFormatting>
  <conditionalFormatting sqref="I7:T7 I9:T9 I11:T11 I15:T15 I17:T17 I19:T19 I21:T21">
    <cfRule type="expression" priority="26" dxfId="0">
      <formula>AND(OR($F6="Lower the better", $F6="Lower the Better"), I7&gt;I6)</formula>
    </cfRule>
    <cfRule type="expression" priority="27" dxfId="1">
      <formula>AND(OR($F6="Lower the better", $F6="Lower the Better"), I7&lt;=I6)</formula>
    </cfRule>
    <cfRule type="expression" priority="28" dxfId="0">
      <formula>AND(OR($F6="Higher the better", $F6="Higher the Better"), I7&lt;I6)</formula>
    </cfRule>
    <cfRule type="expression" priority="29" dxfId="1" stopIfTrue="1">
      <formula>AND(OR($F6="Higher the better", $F6="Higher the Better"), I7&gt;=I6)</formula>
    </cfRule>
  </conditionalFormatting>
  <conditionalFormatting sqref="I7:T7 I9:T9 I11:T11">
    <cfRule type="containsBlanks" priority="23" dxfId="3">
      <formula>LEN(TRIM(I7))=0</formula>
    </cfRule>
  </conditionalFormatting>
  <conditionalFormatting sqref="I15:T15 I17:T17 I19:T19 I21:T21">
    <cfRule type="containsBlanks" priority="12" dxfId="3">
      <formula>LEN(TRIM(I15))=0</formula>
    </cfRule>
  </conditionalFormatting>
  <conditionalFormatting sqref="M80:M91">
    <cfRule type="containsText" priority="18" operator="containsText" dxfId="6" text="No">
      <formula>NOT(ISERROR(SEARCH("No",M80)))</formula>
    </cfRule>
    <cfRule type="containsText" priority="19" operator="containsText" dxfId="5" text="Yes">
      <formula>NOT(ISERROR(SEARCH("Yes",M80)))</formula>
    </cfRule>
  </conditionalFormatting>
  <dataValidations count="7">
    <dataValidation sqref="E6:E8 E10:E11 E14:E18 E20:E21" showDropDown="0" showInputMessage="1" showErrorMessage="1" allowBlank="1" type="list">
      <formula1>"%, Mn, No., "</formula1>
    </dataValidation>
    <dataValidation sqref="B1:B2" showDropDown="0" showInputMessage="1" showErrorMessage="1" allowBlank="1" type="list">
      <formula1>"Jan-2026, Feb-2026, Mar-2026, Apr-2026, May-2026, Jun-2026, Jul-2026, Aug-2026, Sep-2026, Oct-2026, Nov-2026, Dec-2026"</formula1>
    </dataValidation>
    <dataValidation sqref="M80 M82 M84 M86 M88 M90" showDropDown="0" showInputMessage="1" showErrorMessage="1" allowBlank="1" type="list">
      <formula1>"Yes, No"</formula1>
    </dataValidation>
    <dataValidation sqref="C6:C8 C10:C11 C14:C18 C20:C21" showDropDown="0" showInputMessage="1" showErrorMessage="1" allowBlank="1" type="list">
      <formula1>"&gt;, &lt;, &gt;=, &lt;=, ="</formula1>
    </dataValidation>
    <dataValidation sqref="G6:G8 G10:G11 G14:G21" showDropDown="0" showInputMessage="1" showErrorMessage="1" allowBlank="1" type="list">
      <formula1>"Monthly, Quarterly, Half yearly"</formula1>
    </dataValidation>
    <dataValidation sqref="F6:F8 F10:F11 F14:F18 F20:F21" showDropDown="0" showInputMessage="1" showErrorMessage="1" allowBlank="1" type="list">
      <formula1>"Higher the better, Lower the better"</formula1>
    </dataValidation>
    <dataValidation sqref="F80:G80 F82:G82 F84:G84 F86:G86 F88:G88 F90:G90" showDropDown="0" showInputMessage="1" showErrorMessage="1" allowBlank="1" type="list">
      <formula1>"1,2,3,4,5"</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codeName="Sheet5">
    <outlinePr summaryBelow="1" summaryRight="1"/>
    <pageSetUpPr/>
  </sheetPr>
  <dimension ref="A1:AI117"/>
  <sheetViews>
    <sheetView zoomScale="81" zoomScaleNormal="80" workbookViewId="0">
      <selection activeCell="C102" sqref="C102:C103"/>
    </sheetView>
  </sheetViews>
  <sheetFormatPr baseColWidth="8" defaultRowHeight="14.45"/>
  <cols>
    <col width="21.5703125" customWidth="1" style="269" min="1" max="1"/>
    <col width="25.5703125" customWidth="1" style="639" min="2" max="2"/>
    <col width="20" customWidth="1" min="3" max="3"/>
    <col width="19.5703125" customWidth="1" min="4" max="4"/>
    <col width="9.42578125" customWidth="1" min="5" max="5"/>
    <col width="13" customWidth="1" min="6" max="6"/>
    <col width="17.5703125" customWidth="1" min="7" max="7"/>
    <col width="11.5703125" customWidth="1" min="8" max="8"/>
    <col width="9.28515625" customWidth="1" min="9" max="9"/>
    <col width="11.5703125" customWidth="1" min="10" max="12"/>
    <col width="14.42578125" customWidth="1" min="13" max="13"/>
    <col width="11.5703125" customWidth="1" min="14" max="16"/>
    <col width="12" customWidth="1" min="17" max="20"/>
    <col width="14.5703125" customWidth="1" min="21" max="21"/>
    <col width="9.42578125" customWidth="1" min="22" max="22"/>
    <col hidden="1" width="11.42578125" customWidth="1" min="23" max="23"/>
    <col hidden="1" width="11" customWidth="1" min="24" max="24"/>
    <col hidden="1" width="8.42578125" customWidth="1" min="25" max="25"/>
    <col hidden="1" width="4.5703125" customWidth="1" min="26" max="35"/>
    <col width="9.42578125" customWidth="1" min="36" max="36"/>
    <col width="8.5703125" customWidth="1" min="37" max="49"/>
  </cols>
  <sheetData>
    <row r="1" ht="19.35" customHeight="1">
      <c r="A1" s="130" t="inlineStr">
        <is>
          <t>Month</t>
        </is>
      </c>
      <c r="B1" s="666" t="n">
        <v>46023</v>
      </c>
      <c r="C1" s="12" t="inlineStr">
        <is>
          <t xml:space="preserve">MT Owner: </t>
        </is>
      </c>
      <c r="D1" s="12" t="inlineStr">
        <is>
          <t>Rupali J</t>
        </is>
      </c>
      <c r="E1" s="12" t="inlineStr">
        <is>
          <t>MT Delegate:</t>
        </is>
      </c>
      <c r="F1" s="12" t="inlineStr">
        <is>
          <t>Souvik Das</t>
        </is>
      </c>
      <c r="W1" t="inlineStr">
        <is>
          <t>Actual green</t>
        </is>
      </c>
      <c r="X1">
        <f>IF(I15&lt;&gt;"",IF($F14="Higher the better",IF(I15&gt;=I14,I15,NA()),IF(I15&lt;=I14,I15,NA())),NA())</f>
        <v/>
      </c>
      <c r="Y1">
        <f>IF(J15&lt;&gt;"",IF($F14="Higher the better",IF(J15&gt;=J14,J15,NA()),IF(J15&lt;=J14,J15,NA())),NA())</f>
        <v/>
      </c>
      <c r="Z1">
        <f>IF(K15&lt;&gt;"",IF($F14="Higher the better",IF(K15&gt;=K14,K15,NA()),IF(K15&lt;=K14,K15,NA())),NA())</f>
        <v/>
      </c>
      <c r="AA1">
        <f>IF(L15&lt;&gt;"",IF($F14="Higher the better",IF(L15&gt;=L14,L15,NA()),IF(L15&lt;=L14,L15,NA())),NA())</f>
        <v/>
      </c>
      <c r="AB1">
        <f>IF(M15&lt;&gt;"",IF($F14="Higher the better",IF(M15&gt;=M14,M15,NA()),IF(M15&lt;=M14,M15,NA())),NA())</f>
        <v/>
      </c>
      <c r="AC1">
        <f>IF(N15&lt;&gt;"",IF($F14="Higher the better",IF(N15&gt;=N14,N15,NA()),IF(N15&lt;=N14,N15,NA())),NA())</f>
        <v/>
      </c>
      <c r="AD1">
        <f>IF(O15&lt;&gt;"",IF($F14="Higher the better",IF(O15&gt;=O14,O15,NA()),IF(O15&lt;=O14,O15,NA())),NA())</f>
        <v/>
      </c>
      <c r="AE1">
        <f>IF(P15&lt;&gt;"",IF($F14="Higher the better",IF(P15&gt;=P14,P15,NA()),IF(P15&lt;=P14,P15,NA())),NA())</f>
        <v/>
      </c>
      <c r="AF1">
        <f>IF(Q15&lt;&gt;"",IF($F14="Higher the better",IF(Q15&gt;=Q14,Q15,NA()),IF(Q15&lt;=Q14,Q15,NA())),NA())</f>
        <v/>
      </c>
      <c r="AG1">
        <f>IF(R15&lt;&gt;"",IF($F14="Higher the better",IF(R15&gt;=R14,R15,NA()),IF(R15&lt;=R14,R15,NA())),NA())</f>
        <v/>
      </c>
      <c r="AH1">
        <f>IF(S15&lt;&gt;"",IF($F14="Higher the better",IF(S15&gt;=S14,S15,NA()),IF(S15&lt;=S14,S15,NA())),NA())</f>
        <v/>
      </c>
      <c r="AI1">
        <f>IF(T15&lt;&gt;"",IF($F14="Higher the better",IF(T15&gt;=T14,T15,NA()),IF(T15&lt;=T14,T15,NA())),NA())</f>
        <v/>
      </c>
    </row>
    <row r="2" ht="19.35" customHeight="1">
      <c r="A2" s="337" t="n"/>
      <c r="B2" s="683" t="n"/>
      <c r="D2" s="13" t="n"/>
      <c r="E2" s="13" t="n"/>
      <c r="I2" s="682" t="n"/>
      <c r="J2" s="682" t="n"/>
      <c r="K2" s="682" t="n"/>
      <c r="L2" s="682" t="n"/>
      <c r="M2" s="682" t="n"/>
      <c r="N2" s="682" t="n"/>
      <c r="O2" s="265" t="n"/>
      <c r="P2" s="682" t="n"/>
      <c r="Q2" s="682" t="n"/>
      <c r="R2" s="682" t="n"/>
      <c r="S2" s="682" t="n"/>
      <c r="T2" s="682" t="n"/>
      <c r="W2" t="inlineStr">
        <is>
          <t>Actual red</t>
        </is>
      </c>
      <c r="X2">
        <f>IF(I15&lt;&gt;"",IF($F14="Higher the better",IF(I15&lt;I14,I15,NA()),IF(I15&gt;I14,I15,NA())),NA())</f>
        <v/>
      </c>
      <c r="Y2">
        <f>IF(J15&lt;&gt;"",IF($F14="Higher the better",IF(J15&lt;J14,J15,NA()),IF(J15&gt;J14,J15,NA())),NA())</f>
        <v/>
      </c>
      <c r="Z2">
        <f>IF(K15&lt;&gt;"",IF($F14="Higher the better",IF(K15&lt;K14,K15,NA()),IF(K15&gt;K14,K15,NA())),NA())</f>
        <v/>
      </c>
      <c r="AA2">
        <f>IF(L15&lt;&gt;"",IF($F14="Higher the better",IF(L15&lt;L14,L15,NA()),IF(L15&gt;L14,L15,NA())),NA())</f>
        <v/>
      </c>
      <c r="AB2">
        <f>IF(M15&lt;&gt;"",IF($F14="Higher the better",IF(M15&lt;M14,M15,NA()),IF(M15&gt;M14,M15,NA())),NA())</f>
        <v/>
      </c>
      <c r="AC2">
        <f>IF(N15&lt;&gt;"",IF($F14="Higher the better",IF(N15&lt;N14,N15,NA()),IF(N15&gt;N14,N15,NA())),NA())</f>
        <v/>
      </c>
      <c r="AD2">
        <f>IF(O15&lt;&gt;"",IF($F14="Higher the better",IF(O15&lt;O14,O15,NA()),IF(O15&gt;O14,O15,NA())),NA())</f>
        <v/>
      </c>
      <c r="AE2">
        <f>IF(P15&lt;&gt;"",IF($F14="Higher the better",IF(P15&lt;P14,P15,NA()),IF(P15&gt;P14,P15,NA())),NA())</f>
        <v/>
      </c>
      <c r="AF2">
        <f>IF(Q15&lt;&gt;"",IF($F14="Higher the better",IF(Q15&lt;Q14,Q15,NA()),IF(Q15&gt;Q14,Q15,NA())),NA())</f>
        <v/>
      </c>
      <c r="AG2">
        <f>IF(R15&lt;&gt;"",IF($F14="Higher the better",IF(R15&lt;R14,R15,NA()),IF(R15&gt;R14,R15,NA())),NA())</f>
        <v/>
      </c>
      <c r="AH2">
        <f>IF(S15&lt;&gt;"",IF($F14="Higher the better",IF(S15&lt;S14,S15,NA()),IF(S15&gt;S14,S15,NA())),NA())</f>
        <v/>
      </c>
      <c r="AI2">
        <f>IF(T15&lt;&gt;"",IF($F14="Higher the better",IF(T15&lt;T14,T15,NA()),IF(T15&gt;T14,T15,NA())),NA())</f>
        <v/>
      </c>
    </row>
    <row r="3" ht="20.1" customHeight="1">
      <c r="A3" s="449" t="inlineStr">
        <is>
          <t>ISC - DMB</t>
        </is>
      </c>
      <c r="O3" s="682" t="n"/>
      <c r="P3" s="682" t="n"/>
      <c r="Q3" s="682" t="n"/>
      <c r="R3" s="682" t="n"/>
      <c r="S3" s="682" t="n"/>
      <c r="T3" s="682" t="n"/>
      <c r="W3" t="inlineStr">
        <is>
          <t>Actual green</t>
        </is>
      </c>
      <c r="X3">
        <f>IF(I17&lt;&gt;"",IF($F16="Higher the better",IF(I17&gt;=I16,I17,NA()),IF(I17&lt;=I16,I17,NA())),NA())</f>
        <v/>
      </c>
      <c r="Y3">
        <f>IF(J17&lt;&gt;"",IF($F16="Higher the better",IF(J17&gt;=J16,J17,NA()),IF(J17&lt;=J16,J17,NA())),NA())</f>
        <v/>
      </c>
      <c r="Z3">
        <f>IF(K17&lt;&gt;"",IF($F16="Higher the better",IF(K17&gt;=K16,K17,NA()),IF(K17&lt;=K16,K17,NA())),NA())</f>
        <v/>
      </c>
      <c r="AA3">
        <f>IF(L17&lt;&gt;"",IF($F16="Higher the better",IF(L17&gt;=L16,L17,NA()),IF(L17&lt;=L16,L17,NA())),NA())</f>
        <v/>
      </c>
      <c r="AB3">
        <f>IF(M17&lt;&gt;"",IF($F16="Higher the better",IF(M17&gt;=M16,M17,NA()),IF(M17&lt;=M16,M17,NA())),NA())</f>
        <v/>
      </c>
      <c r="AC3">
        <f>IF(N17&lt;&gt;"",IF($F16="Higher the better",IF(N17&gt;=N16,N17,NA()),IF(N17&lt;=N16,N17,NA())),NA())</f>
        <v/>
      </c>
      <c r="AD3">
        <f>IF(O17&lt;&gt;"",IF($F16="Higher the better",IF(O17&gt;=O16,O17,NA()),IF(O17&lt;=O16,O17,NA())),NA())</f>
        <v/>
      </c>
      <c r="AE3">
        <f>IF(P17&lt;&gt;"",IF($F16="Higher the better",IF(P17&gt;=P16,P17,NA()),IF(P17&lt;=P16,P17,NA())),NA())</f>
        <v/>
      </c>
      <c r="AF3">
        <f>IF(Q17&lt;&gt;"",IF($F16="Higher the better",IF(Q17&gt;=Q16,Q17,NA()),IF(Q17&lt;=Q16,Q17,NA())),NA())</f>
        <v/>
      </c>
      <c r="AG3">
        <f>IF(R17&lt;&gt;"",IF($F16="Higher the better",IF(R17&gt;=R16,R17,NA()),IF(R17&lt;=R16,R17,NA())),NA())</f>
        <v/>
      </c>
      <c r="AH3">
        <f>IF(S17&lt;&gt;"",IF($F16="Higher the better",IF(S17&gt;=S16,S17,NA()),IF(S17&lt;=S16,S17,NA())),NA())</f>
        <v/>
      </c>
      <c r="AI3">
        <f>IF(T17&lt;&gt;"",IF($F16="Higher the better",IF(T17&gt;=T16,T17,NA()),IF(T17&lt;=T16,T17,NA())),NA())</f>
        <v/>
      </c>
    </row>
    <row r="4" ht="18.6" customHeight="1">
      <c r="A4" s="268" t="inlineStr">
        <is>
          <t>Mandatory Outcome KPI's (1-3)</t>
        </is>
      </c>
      <c r="B4" s="11" t="n"/>
      <c r="N4" t="inlineStr">
        <is>
          <t>YTD</t>
        </is>
      </c>
      <c r="W4" t="inlineStr">
        <is>
          <t>Actual red</t>
        </is>
      </c>
      <c r="X4">
        <f>IF(I17&lt;&gt;"",IF($F16="Higher the better",IF(I17&lt;I16,I17,NA()),IF(I17&gt;I16,I17,NA())),NA())</f>
        <v/>
      </c>
      <c r="Y4">
        <f>IF(J17&lt;&gt;"",IF($F16="Higher the better",IF(J17&lt;J16,J17,NA()),IF(J17&gt;J16,J17,NA())),NA())</f>
        <v/>
      </c>
      <c r="Z4">
        <f>IF(K17&lt;&gt;"",IF($F16="Higher the better",IF(K17&lt;K16,K17,NA()),IF(K17&gt;K16,K17,NA())),NA())</f>
        <v/>
      </c>
      <c r="AA4">
        <f>IF(L17&lt;&gt;"",IF($F16="Higher the better",IF(L17&lt;L16,L17,NA()),IF(L17&gt;L16,L17,NA())),NA())</f>
        <v/>
      </c>
      <c r="AB4">
        <f>IF(M17&lt;&gt;"",IF($F16="Higher the better",IF(M17&lt;M16,M17,NA()),IF(M17&gt;M16,M17,NA())),NA())</f>
        <v/>
      </c>
      <c r="AC4">
        <f>IF(N17&lt;&gt;"",IF($F16="Higher the better",IF(N17&lt;N16,N17,NA()),IF(N17&gt;N16,N17,NA())),NA())</f>
        <v/>
      </c>
      <c r="AD4">
        <f>IF(O17&lt;&gt;"",IF($F16="Higher the better",IF(O17&lt;O16,O17,NA()),IF(O17&gt;O16,O17,NA())),NA())</f>
        <v/>
      </c>
      <c r="AE4">
        <f>IF(P17&lt;&gt;"",IF($F16="Higher the better",IF(P17&lt;P16,P17,NA()),IF(P17&gt;P16,P17,NA())),NA())</f>
        <v/>
      </c>
      <c r="AF4">
        <f>IF(Q17&lt;&gt;"",IF($F16="Higher the better",IF(Q17&lt;Q16,Q17,NA()),IF(Q17&gt;Q16,Q17,NA())),NA())</f>
        <v/>
      </c>
      <c r="AG4">
        <f>IF(R17&lt;&gt;"",IF($F16="Higher the better",IF(R17&lt;R16,R17,NA()),IF(R17&gt;R16,R17,NA())),NA())</f>
        <v/>
      </c>
      <c r="AH4">
        <f>IF(S17&lt;&gt;"",IF($F16="Higher the better",IF(S17&lt;S16,S17,NA()),IF(S17&gt;S16,S17,NA())),NA())</f>
        <v/>
      </c>
      <c r="AI4">
        <f>IF(T17&lt;&gt;"",IF($F16="Higher the better",IF(T17&lt;T16,T17,NA()),IF(T17&gt;T16,T17,NA())),NA())</f>
        <v/>
      </c>
    </row>
    <row r="5" ht="29.1" customHeight="1">
      <c r="A5" s="267"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inlineStr">
        <is>
          <t>s</t>
        </is>
      </c>
      <c r="L5" s="684" t="n">
        <v>46113</v>
      </c>
      <c r="M5" s="684" t="n">
        <v>46143</v>
      </c>
      <c r="N5" s="684" t="n">
        <v>46174</v>
      </c>
      <c r="O5" s="684" t="n">
        <v>46204</v>
      </c>
      <c r="P5" s="684" t="n">
        <v>46235</v>
      </c>
      <c r="Q5" s="684" t="n">
        <v>46266</v>
      </c>
      <c r="R5" s="684" t="n">
        <v>46296</v>
      </c>
      <c r="S5" s="684" t="n">
        <v>46327</v>
      </c>
      <c r="T5" s="684" t="n">
        <v>46357</v>
      </c>
      <c r="W5" s="90" t="inlineStr">
        <is>
          <t>Actual green</t>
        </is>
      </c>
      <c r="X5">
        <f>IF(I19&lt;&gt;"",IF($F18="Higher the better",IF(I19&gt;=I18,I19,NA()),IF(I19&lt;=I18,I19,NA())),NA())</f>
        <v/>
      </c>
      <c r="Y5">
        <f>IF(J19&lt;&gt;"",IF($F18="Higher the better",IF(J19&gt;=J18,J19,NA()),IF(J19&lt;=J18,J19,NA())),NA())</f>
        <v/>
      </c>
      <c r="Z5">
        <f>IF(K19&lt;&gt;"",IF($F18="Higher the better",IF(K19&gt;=K18,K19,NA()),IF(K19&lt;=K18,K19,NA())),NA())</f>
        <v/>
      </c>
      <c r="AA5">
        <f>IF(L19&lt;&gt;"",IF($F18="Higher the better",IF(L19&gt;=L18,L19,NA()),IF(L19&lt;=L18,L19,NA())),NA())</f>
        <v/>
      </c>
      <c r="AB5">
        <f>IF(M19&lt;&gt;"",IF($F18="Higher the better",IF(M19&gt;=M18,M19,NA()),IF(M19&lt;=M18,M19,NA())),NA())</f>
        <v/>
      </c>
      <c r="AC5">
        <f>IF(N19&lt;&gt;"",IF($F18="Higher the better",IF(N19&gt;=N18,N19,NA()),IF(N19&lt;=N18,N19,NA())),NA())</f>
        <v/>
      </c>
      <c r="AD5">
        <f>IF(O19&lt;&gt;"",IF($F18="Higher the better",IF(O19&gt;=O18,O19,NA()),IF(O19&lt;=O18,O19,NA())),NA())</f>
        <v/>
      </c>
      <c r="AE5">
        <f>IF(P19&lt;&gt;"",IF($F18="Higher the better",IF(P19&gt;=P18,P19,NA()),IF(P19&lt;=P18,P19,NA())),NA())</f>
        <v/>
      </c>
      <c r="AF5">
        <f>IF(Q19&lt;&gt;"",IF($F18="Higher the better",IF(Q19&gt;=Q18,Q19,NA()),IF(Q19&lt;=Q18,Q19,NA())),NA())</f>
        <v/>
      </c>
      <c r="AG5">
        <f>IF(R19&lt;&gt;"",IF($F18="Higher the better",IF(R19&gt;=R18,R19,NA()),IF(R19&lt;=R18,R19,NA())),NA())</f>
        <v/>
      </c>
      <c r="AH5">
        <f>IF(S19&lt;&gt;"",IF($F18="Higher the better",IF(S19&gt;=S18,S19,NA()),IF(S19&lt;=S18,S19,NA())),NA())</f>
        <v/>
      </c>
      <c r="AI5">
        <f>IF(T19&lt;&gt;"",IF($F18="Higher the better",IF(T19&gt;=T18,T19,NA()),IF(T19&lt;=T18,T19,NA())),NA())</f>
        <v/>
      </c>
    </row>
    <row r="6">
      <c r="A6" s="427" t="inlineStr">
        <is>
          <t xml:space="preserve">Sales </t>
        </is>
      </c>
      <c r="B6" s="461" t="inlineStr">
        <is>
          <t>Revenue in M</t>
        </is>
      </c>
      <c r="C6" s="230" t="inlineStr">
        <is>
          <t>&gt;</t>
        </is>
      </c>
      <c r="D6" s="388" t="inlineStr">
        <is>
          <t>141/137</t>
        </is>
      </c>
      <c r="E6" s="230" t="inlineStr">
        <is>
          <t>Mn</t>
        </is>
      </c>
      <c r="F6" s="388" t="inlineStr">
        <is>
          <t>Higher the better</t>
        </is>
      </c>
      <c r="G6" s="230" t="inlineStr">
        <is>
          <t>Monthly</t>
        </is>
      </c>
      <c r="H6" s="14" t="inlineStr">
        <is>
          <t>Target</t>
        </is>
      </c>
      <c r="I6" s="720" t="n">
        <v>8.690306469999999</v>
      </c>
      <c r="J6" s="720" t="n">
        <v>14.05719274</v>
      </c>
      <c r="K6" s="720" t="n">
        <v>24.17907224</v>
      </c>
      <c r="L6" s="720" t="n">
        <v>33.55132587999999</v>
      </c>
      <c r="M6" s="720" t="n">
        <v>41.44286362999999</v>
      </c>
      <c r="N6" s="720" t="n">
        <v>60.82399274999999</v>
      </c>
      <c r="O6" s="720" t="n">
        <v>72.55789207999999</v>
      </c>
      <c r="P6" s="720" t="n">
        <v>82.44974068999998</v>
      </c>
      <c r="Q6" s="720" t="n">
        <v>97.41708853999998</v>
      </c>
      <c r="R6" s="720" t="n">
        <v>109.99426816</v>
      </c>
      <c r="S6" s="720" t="n">
        <v>123.71139689</v>
      </c>
      <c r="T6" s="720" t="n">
        <v>144.52878537</v>
      </c>
      <c r="U6" s="682" t="n"/>
      <c r="W6" t="inlineStr">
        <is>
          <t>Actual red</t>
        </is>
      </c>
      <c r="X6">
        <f>IF(I19&lt;&gt;"",IF($F18="Higher the better",IF(I19&lt;I18,I19,NA()),IF(I19&gt;I18,I19,NA())),NA())</f>
        <v/>
      </c>
      <c r="Y6">
        <f>IF(J19&lt;&gt;"",IF($F18="Higher the better",IF(J19&lt;J18,J19,NA()),IF(J19&gt;J18,J19,NA())),NA())</f>
        <v/>
      </c>
      <c r="Z6">
        <f>IF(K19&lt;&gt;"",IF($F18="Higher the better",IF(K19&lt;K18,K19,NA()),IF(K19&gt;K18,K19,NA())),NA())</f>
        <v/>
      </c>
      <c r="AA6">
        <f>IF(L19&lt;&gt;"",IF($F18="Higher the better",IF(L19&lt;L18,L19,NA()),IF(L19&gt;L18,L19,NA())),NA())</f>
        <v/>
      </c>
      <c r="AB6">
        <f>IF(M19&lt;&gt;"",IF($F18="Higher the better",IF(M19&lt;M18,M19,NA()),IF(M19&gt;M18,M19,NA())),NA())</f>
        <v/>
      </c>
      <c r="AC6">
        <f>IF(N19&lt;&gt;"",IF($F18="Higher the better",IF(N19&lt;N18,N19,NA()),IF(N19&gt;N18,N19,NA())),NA())</f>
        <v/>
      </c>
      <c r="AD6">
        <f>IF(O19&lt;&gt;"",IF($F18="Higher the better",IF(O19&lt;O18,O19,NA()),IF(O19&gt;O18,O19,NA())),NA())</f>
        <v/>
      </c>
      <c r="AE6">
        <f>IF(P19&lt;&gt;"",IF($F18="Higher the better",IF(P19&lt;P18,P19,NA()),IF(P19&gt;P18,P19,NA())),NA())</f>
        <v/>
      </c>
      <c r="AF6">
        <f>IF(Q19&lt;&gt;"",IF($F18="Higher the better",IF(Q19&lt;Q18,Q19,NA()),IF(Q19&gt;Q18,Q19,NA())),NA())</f>
        <v/>
      </c>
      <c r="AG6">
        <f>IF(R19&lt;&gt;"",IF($F18="Higher the better",IF(R19&lt;R18,R19,NA()),IF(R19&gt;R18,R19,NA())),NA())</f>
        <v/>
      </c>
      <c r="AH6">
        <f>IF(S19&lt;&gt;"",IF($F18="Higher the better",IF(S19&lt;S18,S19,NA()),IF(S19&gt;S18,S19,NA())),NA())</f>
        <v/>
      </c>
      <c r="AI6">
        <f>IF(T19&lt;&gt;"",IF($F18="Higher the better",IF(T19&lt;T18,T19,NA()),IF(T19&gt;T18,T19,NA())),NA())</f>
        <v/>
      </c>
    </row>
    <row r="7">
      <c r="A7" s="671" t="n"/>
      <c r="B7" s="671" t="n"/>
      <c r="C7" s="671" t="n"/>
      <c r="D7" s="671" t="n"/>
      <c r="E7" s="671" t="n"/>
      <c r="F7" s="671" t="n"/>
      <c r="G7" s="671" t="n"/>
      <c r="H7" s="14" t="inlineStr">
        <is>
          <t>Actual</t>
        </is>
      </c>
      <c r="I7" s="45" t="n">
        <v>4.1</v>
      </c>
      <c r="J7" s="45" t="n">
        <v>9.800000000000001</v>
      </c>
      <c r="K7" s="45" t="n">
        <v>25.3</v>
      </c>
      <c r="L7" s="45" t="n">
        <v>31.44</v>
      </c>
      <c r="M7" s="45" t="n">
        <v>40.9</v>
      </c>
      <c r="N7" s="45" t="n">
        <v>55.18</v>
      </c>
      <c r="O7" s="45" t="n">
        <v>61.4</v>
      </c>
      <c r="P7" s="45" t="n">
        <v>72.7</v>
      </c>
      <c r="Q7" s="45" t="n">
        <v>88.2</v>
      </c>
      <c r="R7" s="45" t="n"/>
      <c r="S7" s="45" t="n"/>
      <c r="T7" s="45" t="n"/>
      <c r="W7" t="inlineStr">
        <is>
          <t>Actual green</t>
        </is>
      </c>
      <c r="X7">
        <f>IF(I21&lt;&gt;"",IF($F20="Higher the better",IF(I21&gt;=I20,I21,NA()),IF(I21&lt;=I20,I21,NA())),NA())</f>
        <v/>
      </c>
      <c r="Y7">
        <f>IF(J21&lt;&gt;"",IF($F20="Higher the better",IF(J21&gt;=J20,J21,NA()),IF(J21&lt;=J20,J21,NA())),NA())</f>
        <v/>
      </c>
      <c r="Z7">
        <f>IF(K21&lt;&gt;"",IF($F20="Higher the better",IF(K21&gt;=K20,K21,NA()),IF(K21&lt;=K20,K21,NA())),NA())</f>
        <v/>
      </c>
      <c r="AA7">
        <f>IF(L21&lt;&gt;"",IF($F20="Higher the better",IF(L21&gt;=L20,L21,NA()),IF(L21&lt;=L20,L21,NA())),NA())</f>
        <v/>
      </c>
      <c r="AB7">
        <f>IF(M21&lt;&gt;"",IF($F20="Higher the better",IF(M21&gt;=M20,M21,NA()),IF(M21&lt;=M20,M21,NA())),NA())</f>
        <v/>
      </c>
      <c r="AC7">
        <f>IF(N21&lt;&gt;"",IF($F20="Higher the better",IF(N21&gt;=N20,N21,NA()),IF(N21&lt;=N20,N21,NA())),NA())</f>
        <v/>
      </c>
      <c r="AD7">
        <f>IF(O21&lt;&gt;"",IF($F20="Higher the better",IF(O21&gt;=O20,O21,NA()),IF(O21&lt;=O20,O21,NA())),NA())</f>
        <v/>
      </c>
      <c r="AE7">
        <f>IF(P21&lt;&gt;"",IF($F20="Higher the better",IF(P21&gt;=P20,P21,NA()),IF(P21&lt;=P20,P21,NA())),NA())</f>
        <v/>
      </c>
      <c r="AF7">
        <f>IF(Q21&lt;&gt;"",IF($F20="Higher the better",IF(Q21&gt;=Q20,Q21,NA()),IF(Q21&lt;=Q20,Q21,NA())),NA())</f>
        <v/>
      </c>
      <c r="AG7">
        <f>IF(R21&lt;&gt;"",IF($F20="Higher the better",IF(R21&gt;=R20,R21,NA()),IF(R21&lt;=R20,R21,NA())),NA())</f>
        <v/>
      </c>
      <c r="AH7">
        <f>IF(S21&lt;&gt;"",IF($F20="Higher the better",IF(S21&gt;=S20,S21,NA()),IF(S21&lt;=S20,S21,NA())),NA())</f>
        <v/>
      </c>
      <c r="AI7">
        <f>IF(T21&lt;&gt;"",IF($F20="Higher the better",IF(T21&gt;=T20,T21,NA()),IF(T21&lt;=T20,T21,NA())),NA())</f>
        <v/>
      </c>
    </row>
    <row r="8">
      <c r="A8" s="427" t="inlineStr">
        <is>
          <t>OTIF</t>
        </is>
      </c>
      <c r="B8" s="427" t="inlineStr">
        <is>
          <t>CDD adherance</t>
        </is>
      </c>
      <c r="C8" s="230" t="inlineStr">
        <is>
          <t>&gt;</t>
        </is>
      </c>
      <c r="D8" s="106" t="n">
        <v>0.85</v>
      </c>
      <c r="E8" s="230" t="inlineStr">
        <is>
          <t>%</t>
        </is>
      </c>
      <c r="F8" s="388" t="inlineStr">
        <is>
          <t>Higher the better</t>
        </is>
      </c>
      <c r="G8" s="230" t="inlineStr">
        <is>
          <t>Monthly</t>
        </is>
      </c>
      <c r="H8" s="14" t="inlineStr">
        <is>
          <t>Target</t>
        </is>
      </c>
      <c r="I8" s="4" t="n">
        <v>0.6899999999999999</v>
      </c>
      <c r="J8" s="4" t="n">
        <v>0.6899999999999999</v>
      </c>
      <c r="K8" s="4" t="n">
        <v>0.6899999999999999</v>
      </c>
      <c r="L8" s="4" t="n">
        <v>0.72</v>
      </c>
      <c r="M8" s="4" t="n">
        <v>0.72</v>
      </c>
      <c r="N8" s="4" t="n">
        <v>0.72</v>
      </c>
      <c r="O8" s="4" t="n">
        <v>0.74</v>
      </c>
      <c r="P8" s="4" t="n">
        <v>0.74</v>
      </c>
      <c r="Q8" s="4" t="n">
        <v>0.74</v>
      </c>
      <c r="R8" s="4" t="n">
        <v>0.77</v>
      </c>
      <c r="S8" s="4" t="n">
        <v>0.77</v>
      </c>
      <c r="T8" s="4" t="n">
        <v>0.8</v>
      </c>
      <c r="W8" t="inlineStr">
        <is>
          <t>Actual red</t>
        </is>
      </c>
      <c r="X8">
        <f>IF(I21&lt;&gt;"",IF($F20="Higher the better",IF(I21&lt;I20,I21,NA()),IF(I21&gt;I20,I21,NA())),NA())</f>
        <v/>
      </c>
      <c r="Y8">
        <f>IF(J21&lt;&gt;"",IF($F20="Higher the better",IF(J21&lt;J20,J21,NA()),IF(J21&gt;J20,J21,NA())),NA())</f>
        <v/>
      </c>
      <c r="Z8">
        <f>IF(K21&lt;&gt;"",IF($F20="Higher the better",IF(K21&lt;K20,K21,NA()),IF(K21&gt;K20,K21,NA())),NA())</f>
        <v/>
      </c>
      <c r="AA8">
        <f>IF(L21&lt;&gt;"",IF($F20="Higher the better",IF(L21&lt;L20,L21,NA()),IF(L21&gt;L20,L21,NA())),NA())</f>
        <v/>
      </c>
      <c r="AB8">
        <f>IF(M21&lt;&gt;"",IF($F20="Higher the better",IF(M21&lt;M20,M21,NA()),IF(M21&gt;M20,M21,NA())),NA())</f>
        <v/>
      </c>
      <c r="AC8">
        <f>IF(N21&lt;&gt;"",IF($F20="Higher the better",IF(N21&lt;N20,N21,NA()),IF(N21&gt;N20,N21,NA())),NA())</f>
        <v/>
      </c>
      <c r="AD8">
        <f>IF(O21&lt;&gt;"",IF($F20="Higher the better",IF(O21&lt;O20,O21,NA()),IF(O21&gt;O20,O21,NA())),NA())</f>
        <v/>
      </c>
      <c r="AE8">
        <f>IF(P21&lt;&gt;"",IF($F20="Higher the better",IF(P21&lt;P20,P21,NA()),IF(P21&gt;P20,P21,NA())),NA())</f>
        <v/>
      </c>
      <c r="AF8">
        <f>IF(Q21&lt;&gt;"",IF($F20="Higher the better",IF(Q21&lt;Q20,Q21,NA()),IF(Q21&gt;Q20,Q21,NA())),NA())</f>
        <v/>
      </c>
      <c r="AG8">
        <f>IF(R21&lt;&gt;"",IF($F20="Higher the better",IF(R21&lt;R20,R21,NA()),IF(R21&gt;R20,R21,NA())),NA())</f>
        <v/>
      </c>
      <c r="AH8">
        <f>IF(S21&lt;&gt;"",IF($F20="Higher the better",IF(S21&lt;S20,S21,NA()),IF(S21&gt;S20,S21,NA())),NA())</f>
        <v/>
      </c>
      <c r="AI8">
        <f>IF(T21&lt;&gt;"",IF($F20="Higher the better",IF(T21&lt;T20,T21,NA()),IF(T21&gt;T20,T21,NA())),NA())</f>
        <v/>
      </c>
    </row>
    <row r="9">
      <c r="A9" s="671" t="n"/>
      <c r="B9" s="671" t="n"/>
      <c r="C9" s="671" t="n"/>
      <c r="D9" s="671" t="n"/>
      <c r="E9" s="671" t="n"/>
      <c r="F9" s="671" t="n"/>
      <c r="G9" s="671" t="n"/>
      <c r="H9" s="14" t="inlineStr">
        <is>
          <t>Actual</t>
        </is>
      </c>
      <c r="I9" s="5" t="n">
        <v>0.83</v>
      </c>
      <c r="J9" s="5" t="n">
        <v>0.82</v>
      </c>
      <c r="K9" s="5" t="n">
        <v>0.8100000000000001</v>
      </c>
      <c r="L9" s="5" t="n">
        <v>0.6</v>
      </c>
      <c r="M9" s="5" t="n">
        <v>0.87</v>
      </c>
      <c r="N9" s="5" t="n">
        <v>0.77</v>
      </c>
      <c r="O9" s="5" t="n">
        <v>0.7</v>
      </c>
      <c r="P9" s="5" t="n">
        <v>0.8100000000000001</v>
      </c>
      <c r="Q9" s="5" t="n">
        <v>0.74</v>
      </c>
      <c r="R9" s="45" t="n"/>
      <c r="S9" s="45" t="n"/>
      <c r="T9" s="45" t="n"/>
      <c r="W9" t="inlineStr">
        <is>
          <t>Actual green</t>
        </is>
      </c>
      <c r="X9">
        <f>IF(I23&lt;&gt;"",IF($F22="Higher the better",IF(I23&gt;=I22,I23,NA()),IF(I23&lt;=I22,I23,NA())),NA())</f>
        <v/>
      </c>
      <c r="Y9">
        <f>IF(J23&lt;&gt;"",IF($F22="Higher the better",IF(J23&gt;=J22,J23,NA()),IF(J23&lt;=J22,J23,NA())),NA())</f>
        <v/>
      </c>
      <c r="Z9">
        <f>IF(K23&lt;&gt;"",IF($F22="Higher the better",IF(K23&gt;=K22,K23,NA()),IF(K23&lt;=K22,K23,NA())),NA())</f>
        <v/>
      </c>
      <c r="AA9">
        <f>IF(L23&lt;&gt;"",IF($F22="Higher the better",IF(L23&gt;=L22,L23,NA()),IF(L23&lt;=L22,L23,NA())),NA())</f>
        <v/>
      </c>
      <c r="AB9">
        <f>IF(M23&lt;&gt;"",IF($F22="Higher the better",IF(M23&gt;=M22,M23,NA()),IF(M23&lt;=M22,M23,NA())),NA())</f>
        <v/>
      </c>
      <c r="AC9">
        <f>IF(N23&lt;&gt;"",IF($F22="Higher the better",IF(N23&gt;=N22,N23,NA()),IF(N23&lt;=N22,N23,NA())),NA())</f>
        <v/>
      </c>
      <c r="AD9">
        <f>IF(O23&lt;&gt;"",IF($F22="Higher the better",IF(O23&gt;=O22,O23,NA()),IF(O23&lt;=O22,O23,NA())),NA())</f>
        <v/>
      </c>
      <c r="AE9">
        <f>IF(P23&lt;&gt;"",IF($F22="Higher the better",IF(P23&gt;=P22,P23,NA()),IF(P23&lt;=P22,P23,NA())),NA())</f>
        <v/>
      </c>
      <c r="AF9">
        <f>IF(Q23&lt;&gt;"",IF($F22="Higher the better",IF(Q23&gt;=Q22,Q23,NA()),IF(Q23&lt;=Q22,Q23,NA())),NA())</f>
        <v/>
      </c>
      <c r="AG9">
        <f>IF(R23&lt;&gt;"",IF($F22="Higher the better",IF(R23&gt;=R22,R23,NA()),IF(R23&lt;=R22,R23,NA())),NA())</f>
        <v/>
      </c>
      <c r="AH9">
        <f>IF(S23&lt;&gt;"",IF($F22="Higher the better",IF(S23&gt;=S22,S23,NA()),IF(S23&lt;=S22,S23,NA())),NA())</f>
        <v/>
      </c>
      <c r="AI9">
        <f>IF(T23&lt;&gt;"",IF($F22="Higher the better",IF(T23&gt;=T22,T23,NA()),IF(T23&lt;=T22,T23,NA())),NA())</f>
        <v/>
      </c>
    </row>
    <row r="10">
      <c r="A10" s="427" t="inlineStr">
        <is>
          <t>Inventory</t>
        </is>
      </c>
      <c r="B10" s="446" t="inlineStr">
        <is>
          <t>(Business+Market+Service ) as % of sales</t>
        </is>
      </c>
      <c r="C10" s="230" t="inlineStr">
        <is>
          <t>&lt;</t>
        </is>
      </c>
      <c r="D10" s="106" t="inlineStr">
        <is>
          <t>22% / 49 M</t>
        </is>
      </c>
      <c r="E10" s="230" t="inlineStr">
        <is>
          <t>%</t>
        </is>
      </c>
      <c r="F10" s="388" t="inlineStr">
        <is>
          <t>Lower the better</t>
        </is>
      </c>
      <c r="G10" s="230" t="inlineStr">
        <is>
          <t>Monthly</t>
        </is>
      </c>
      <c r="H10" s="14" t="inlineStr">
        <is>
          <t>Target</t>
        </is>
      </c>
      <c r="I10" s="721" t="n">
        <v>0.283</v>
      </c>
      <c r="J10" s="721" t="n">
        <v>0.28</v>
      </c>
      <c r="K10" s="721" t="n">
        <v>0.29</v>
      </c>
      <c r="L10" s="721" t="n">
        <v>0.286783791619612</v>
      </c>
      <c r="M10" s="721" t="n">
        <v>0.2677776589547665</v>
      </c>
      <c r="N10" s="721" t="n">
        <v>0.2586282144425282</v>
      </c>
      <c r="O10" s="721" t="n">
        <v>0.2407353222908198</v>
      </c>
      <c r="P10" s="721" t="n">
        <v>0.2337155180028213</v>
      </c>
      <c r="Q10" s="721" t="n">
        <v>0.2460353692294788</v>
      </c>
      <c r="R10" s="721" t="n">
        <v>0.235680215161127</v>
      </c>
      <c r="S10" s="721" t="n">
        <v>0.2341439938213514</v>
      </c>
      <c r="T10" s="721" t="n">
        <v>0.2110710515226424</v>
      </c>
      <c r="W10" t="inlineStr">
        <is>
          <t>Actual red</t>
        </is>
      </c>
      <c r="X10">
        <f>IF(I23&lt;&gt;"",IF($F22="Higher the better",IF(I23&lt;I22,I23,NA()),IF(I23&gt;I22,I23,NA())),NA())</f>
        <v/>
      </c>
      <c r="Y10">
        <f>IF(J23&lt;&gt;"",IF($F22="Higher the better",IF(J23&lt;J22,J23,NA()),IF(J23&gt;J22,J23,NA())),NA())</f>
        <v/>
      </c>
      <c r="Z10">
        <f>IF(K23&lt;&gt;"",IF($F22="Higher the better",IF(K23&lt;K22,K23,NA()),IF(K23&gt;K22,K23,NA())),NA())</f>
        <v/>
      </c>
      <c r="AA10">
        <f>IF(L23&lt;&gt;"",IF($F22="Higher the better",IF(L23&lt;L22,L23,NA()),IF(L23&gt;L22,L23,NA())),NA())</f>
        <v/>
      </c>
      <c r="AB10">
        <f>IF(M23&lt;&gt;"",IF($F22="Higher the better",IF(M23&lt;M22,M23,NA()),IF(M23&gt;M22,M23,NA())),NA())</f>
        <v/>
      </c>
      <c r="AC10">
        <f>IF(N23&lt;&gt;"",IF($F22="Higher the better",IF(N23&lt;N22,N23,NA()),IF(N23&gt;N22,N23,NA())),NA())</f>
        <v/>
      </c>
      <c r="AD10">
        <f>IF(O23&lt;&gt;"",IF($F22="Higher the better",IF(O23&lt;O22,O23,NA()),IF(O23&gt;O22,O23,NA())),NA())</f>
        <v/>
      </c>
      <c r="AE10">
        <f>IF(P23&lt;&gt;"",IF($F22="Higher the better",IF(P23&lt;P22,P23,NA()),IF(P23&gt;P22,P23,NA())),NA())</f>
        <v/>
      </c>
      <c r="AF10">
        <f>IF(Q23&lt;&gt;"",IF($F22="Higher the better",IF(Q23&lt;Q22,Q23,NA()),IF(Q23&gt;Q22,Q23,NA())),NA())</f>
        <v/>
      </c>
      <c r="AG10">
        <f>IF(R23&lt;&gt;"",IF($F22="Higher the better",IF(R23&lt;R22,R23,NA()),IF(R23&gt;R22,R23,NA())),NA())</f>
        <v/>
      </c>
      <c r="AH10">
        <f>IF(S23&lt;&gt;"",IF($F22="Higher the better",IF(S23&lt;S22,S23,NA()),IF(S23&gt;S22,S23,NA())),NA())</f>
        <v/>
      </c>
      <c r="AI10">
        <f>IF(T23&lt;&gt;"",IF($F22="Higher the better",IF(T23&lt;T22,T23,NA()),IF(T23&gt;T22,T23,NA())),NA())</f>
        <v/>
      </c>
    </row>
    <row r="11">
      <c r="A11" s="671" t="n"/>
      <c r="B11" s="671" t="n"/>
      <c r="C11" s="671" t="n"/>
      <c r="D11" s="671" t="n"/>
      <c r="E11" s="671" t="n"/>
      <c r="F11" s="671" t="n"/>
      <c r="G11" s="671" t="n"/>
      <c r="H11" s="14" t="inlineStr">
        <is>
          <t>Actual</t>
        </is>
      </c>
      <c r="I11" s="686" t="n">
        <v>0.274</v>
      </c>
      <c r="J11" s="686" t="n">
        <v>0.29</v>
      </c>
      <c r="K11" s="686" t="n">
        <v>0.29</v>
      </c>
      <c r="L11" s="686" t="n">
        <v>0.3</v>
      </c>
      <c r="M11" s="686" t="n">
        <v>0.3</v>
      </c>
      <c r="N11" s="686" t="n">
        <v>0.29</v>
      </c>
      <c r="O11" s="686" t="n">
        <v>0.3</v>
      </c>
      <c r="P11" s="686" t="n">
        <v>0.2992</v>
      </c>
      <c r="Q11" s="686" t="n">
        <v>0.27</v>
      </c>
      <c r="R11" s="686" t="n"/>
      <c r="S11" s="686" t="n"/>
      <c r="T11" s="686" t="n"/>
      <c r="W11" t="inlineStr">
        <is>
          <t>Actual green</t>
        </is>
      </c>
      <c r="X11">
        <f>IF(I25&lt;&gt;"",IF($F24="Higher the better",IF(I25&gt;=I24,I25,NA()),IF(I25&lt;=I24,I25,NA())),NA())</f>
        <v/>
      </c>
      <c r="Y11">
        <f>IF(J25&lt;&gt;"",IF($F24="Higher the better",IF(J25&gt;=J24,J25,NA()),IF(J25&lt;=J24,J25,NA())),NA())</f>
        <v/>
      </c>
      <c r="Z11">
        <f>IF(K25&lt;&gt;"",IF($F24="Higher the better",IF(K25&gt;=K24,K25,NA()),IF(K25&lt;=K24,K25,NA())),NA())</f>
        <v/>
      </c>
      <c r="AA11">
        <f>IF(L25&lt;&gt;"",IF($F24="Higher the better",IF(L25&gt;=L24,L25,NA()),IF(L25&lt;=L24,L25,NA())),NA())</f>
        <v/>
      </c>
      <c r="AB11">
        <f>IF(M25&lt;&gt;"",IF($F24="Higher the better",IF(M25&gt;=M24,M25,NA()),IF(M25&lt;=M24,M25,NA())),NA())</f>
        <v/>
      </c>
      <c r="AC11">
        <f>IF(N25&lt;&gt;"",IF($F24="Higher the better",IF(N25&gt;=N24,N25,NA()),IF(N25&lt;=N24,N25,NA())),NA())</f>
        <v/>
      </c>
      <c r="AD11">
        <f>IF(O25&lt;&gt;"",IF($F24="Higher the better",IF(O25&gt;=O24,O25,NA()),IF(O25&lt;=O24,O25,NA())),NA())</f>
        <v/>
      </c>
      <c r="AE11">
        <f>IF(P25&lt;&gt;"",IF($F24="Higher the better",IF(P25&gt;=P24,P25,NA()),IF(P25&lt;=P24,P25,NA())),NA())</f>
        <v/>
      </c>
      <c r="AF11">
        <f>IF(Q25&lt;&gt;"",IF($F24="Higher the better",IF(Q25&gt;=Q24,Q25,NA()),IF(Q25&lt;=Q24,Q25,NA())),NA())</f>
        <v/>
      </c>
      <c r="AG11">
        <f>IF(R25&lt;&gt;"",IF($F24="Higher the better",IF(R25&gt;=R24,R25,NA()),IF(R25&lt;=R24,R25,NA())),NA())</f>
        <v/>
      </c>
      <c r="AH11">
        <f>IF(S25&lt;&gt;"",IF($F24="Higher the better",IF(S25&gt;=S24,S25,NA()),IF(S25&lt;=S24,S25,NA())),NA())</f>
        <v/>
      </c>
      <c r="AI11">
        <f>IF(T25&lt;&gt;"",IF($F24="Higher the better",IF(T25&gt;=T24,T25,NA()),IF(T25&lt;=T24,T25,NA())),NA())</f>
        <v/>
      </c>
    </row>
    <row r="12" ht="18.6" customHeight="1">
      <c r="A12" s="338" t="inlineStr">
        <is>
          <t>Critical Enabling/Leading KPI's (3-5)</t>
        </is>
      </c>
      <c r="G12" s="38" t="n"/>
      <c r="I12" s="43" t="n"/>
      <c r="J12" s="43" t="n"/>
      <c r="K12" s="43" t="n"/>
      <c r="L12" s="43" t="n"/>
      <c r="M12" s="43" t="n"/>
      <c r="N12" s="43" t="n"/>
      <c r="O12" s="43" t="n"/>
      <c r="P12" s="43" t="n"/>
      <c r="Q12" s="43" t="n"/>
      <c r="R12" s="43" t="n"/>
      <c r="S12" s="43" t="n"/>
      <c r="T12" s="43" t="n"/>
      <c r="W12" t="inlineStr">
        <is>
          <t>Actual red</t>
        </is>
      </c>
      <c r="X12">
        <f>IF(I25&lt;&gt;"",IF($F24="Higher the better",IF(I25&lt;I24,I25,NA()),IF(I25&gt;I24,I25,NA())),NA())</f>
        <v/>
      </c>
      <c r="Y12">
        <f>IF(J25&lt;&gt;"",IF($F24="Higher the better",IF(J25&lt;J24,J25,NA()),IF(J25&gt;J24,J25,NA())),NA())</f>
        <v/>
      </c>
      <c r="Z12">
        <f>IF(K25&lt;&gt;"",IF($F24="Higher the better",IF(K25&lt;K24,K25,NA()),IF(K25&gt;K24,K25,NA())),NA())</f>
        <v/>
      </c>
      <c r="AA12">
        <f>IF(L25&lt;&gt;"",IF($F24="Higher the better",IF(L25&lt;L24,L25,NA()),IF(L25&gt;L24,L25,NA())),NA())</f>
        <v/>
      </c>
      <c r="AB12">
        <f>IF(M25&lt;&gt;"",IF($F24="Higher the better",IF(M25&lt;M24,M25,NA()),IF(M25&gt;M24,M25,NA())),NA())</f>
        <v/>
      </c>
      <c r="AC12">
        <f>IF(N25&lt;&gt;"",IF($F24="Higher the better",IF(N25&lt;N24,N25,NA()),IF(N25&gt;N24,N25,NA())),NA())</f>
        <v/>
      </c>
      <c r="AD12">
        <f>IF(O25&lt;&gt;"",IF($F24="Higher the better",IF(O25&lt;O24,O25,NA()),IF(O25&gt;O24,O25,NA())),NA())</f>
        <v/>
      </c>
      <c r="AE12">
        <f>IF(P25&lt;&gt;"",IF($F24="Higher the better",IF(P25&lt;P24,P25,NA()),IF(P25&gt;P24,P25,NA())),NA())</f>
        <v/>
      </c>
      <c r="AF12">
        <f>IF(Q25&lt;&gt;"",IF($F24="Higher the better",IF(Q25&lt;Q24,Q25,NA()),IF(Q25&gt;Q24,Q25,NA())),NA())</f>
        <v/>
      </c>
      <c r="AG12">
        <f>IF(R25&lt;&gt;"",IF($F24="Higher the better",IF(R25&lt;R24,R25,NA()),IF(R25&gt;R24,R25,NA())),NA())</f>
        <v/>
      </c>
      <c r="AH12">
        <f>IF(S25&lt;&gt;"",IF($F24="Higher the better",IF(S25&lt;S24,S25,NA()),IF(S25&gt;S24,S25,NA())),NA())</f>
        <v/>
      </c>
      <c r="AI12">
        <f>IF(T25&lt;&gt;"",IF($F24="Higher the better",IF(T25&lt;T24,T25,NA()),IF(T25&gt;T24,T25,NA())),NA())</f>
        <v/>
      </c>
    </row>
    <row r="13" ht="27.6" customHeight="1">
      <c r="A13" s="267"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c r="W13" t="inlineStr">
        <is>
          <t>Actual green</t>
        </is>
      </c>
      <c r="X13">
        <f>IF(#REF!&lt;&gt;"",IF(#REF!="Higher the better",IF(#REF!&gt;=#REF!,#REF!,NA()),IF(#REF!&lt;=#REF!,#REF!,NA())),NA())</f>
        <v/>
      </c>
      <c r="Y13">
        <f>IF(#REF!&lt;&gt;"",IF(#REF!="Higher the better",IF(#REF!&gt;=#REF!,#REF!,NA()),IF(#REF!&lt;=#REF!,#REF!,NA())),NA())</f>
        <v/>
      </c>
      <c r="Z13">
        <f>IF(#REF!&lt;&gt;"",IF(#REF!="Higher the better",IF(#REF!&gt;=#REF!,#REF!,NA()),IF(#REF!&lt;=#REF!,#REF!,NA())),NA())</f>
        <v/>
      </c>
      <c r="AA13">
        <f>IF(#REF!&lt;&gt;"",IF(#REF!="Higher the better",IF(#REF!&gt;=#REF!,#REF!,NA()),IF(#REF!&lt;=#REF!,#REF!,NA())),NA())</f>
        <v/>
      </c>
      <c r="AB13">
        <f>IF(#REF!&lt;&gt;"",IF(#REF!="Higher the better",IF(#REF!&gt;=#REF!,#REF!,NA()),IF(#REF!&lt;=#REF!,#REF!,NA())),NA())</f>
        <v/>
      </c>
      <c r="AC13">
        <f>IF(#REF!&lt;&gt;"",IF(#REF!="Higher the better",IF(#REF!&gt;=#REF!,#REF!,NA()),IF(#REF!&lt;=#REF!,#REF!,NA())),NA())</f>
        <v/>
      </c>
      <c r="AD13">
        <f>IF(#REF!&lt;&gt;"",IF(#REF!="Higher the better",IF(#REF!&gt;=#REF!,#REF!,NA()),IF(#REF!&lt;=#REF!,#REF!,NA())),NA())</f>
        <v/>
      </c>
      <c r="AE13">
        <f>IF(#REF!&lt;&gt;"",IF(#REF!="Higher the better",IF(#REF!&gt;=#REF!,#REF!,NA()),IF(#REF!&lt;=#REF!,#REF!,NA())),NA())</f>
        <v/>
      </c>
      <c r="AF13">
        <f>IF(#REF!&lt;&gt;"",IF(#REF!="Higher the better",IF(#REF!&gt;=#REF!,#REF!,NA()),IF(#REF!&lt;=#REF!,#REF!,NA())),NA())</f>
        <v/>
      </c>
      <c r="AG13">
        <f>IF(#REF!&lt;&gt;"",IF(#REF!="Higher the better",IF(#REF!&gt;=#REF!,#REF!,NA()),IF(#REF!&lt;=#REF!,#REF!,NA())),NA())</f>
        <v/>
      </c>
      <c r="AH13">
        <f>IF(#REF!&lt;&gt;"",IF(#REF!="Higher the better",IF(#REF!&gt;=#REF!,#REF!,NA()),IF(#REF!&lt;=#REF!,#REF!,NA())),NA())</f>
        <v/>
      </c>
      <c r="AI13">
        <f>IF(#REF!&lt;&gt;"",IF(#REF!="Higher the better",IF(#REF!&gt;=#REF!,#REF!,NA()),IF(#REF!&lt;=#REF!,#REF!,NA())),NA())</f>
        <v/>
      </c>
    </row>
    <row r="14" ht="13.5" customHeight="1">
      <c r="A14" s="427" t="inlineStr">
        <is>
          <t>Ontime supply</t>
        </is>
      </c>
      <c r="B14" s="427" t="inlineStr">
        <is>
          <t>FSD adherance</t>
        </is>
      </c>
      <c r="C14" s="230" t="inlineStr">
        <is>
          <t>&gt;</t>
        </is>
      </c>
      <c r="D14" s="106" t="n">
        <v>0.9</v>
      </c>
      <c r="E14" s="230" t="inlineStr">
        <is>
          <t>%</t>
        </is>
      </c>
      <c r="F14" s="388" t="inlineStr">
        <is>
          <t>Higher the better</t>
        </is>
      </c>
      <c r="G14" s="230" t="inlineStr">
        <is>
          <t>Monthly</t>
        </is>
      </c>
      <c r="H14" s="14" t="inlineStr">
        <is>
          <t>Target</t>
        </is>
      </c>
      <c r="I14" s="4" t="n">
        <v>0.9</v>
      </c>
      <c r="J14" s="4" t="n">
        <v>0.9</v>
      </c>
      <c r="K14" s="4" t="n">
        <v>0.9</v>
      </c>
      <c r="L14" s="4" t="n">
        <v>0.9</v>
      </c>
      <c r="M14" s="4" t="n">
        <v>0.9</v>
      </c>
      <c r="N14" s="4" t="n">
        <v>0.9</v>
      </c>
      <c r="O14" s="4" t="n">
        <v>0.9</v>
      </c>
      <c r="P14" s="4" t="n">
        <v>0.9</v>
      </c>
      <c r="Q14" s="4" t="n">
        <v>0.9</v>
      </c>
      <c r="R14" s="4" t="n">
        <v>0.9</v>
      </c>
      <c r="S14" s="4" t="n">
        <v>0.9</v>
      </c>
      <c r="T14" s="4" t="n">
        <v>0.9</v>
      </c>
      <c r="W14" t="inlineStr">
        <is>
          <t>Actual red</t>
        </is>
      </c>
      <c r="X14">
        <f>IF(#REF!&lt;&gt;"",IF(#REF!="Higher the better",IF(#REF!&lt;#REF!,#REF!,NA()),IF(#REF!&gt;#REF!,#REF!,NA())),NA())</f>
        <v/>
      </c>
      <c r="Y14">
        <f>IF(#REF!&lt;&gt;"",IF(#REF!="Higher the better",IF(#REF!&lt;#REF!,#REF!,NA()),IF(#REF!&gt;#REF!,#REF!,NA())),NA())</f>
        <v/>
      </c>
      <c r="Z14">
        <f>IF(#REF!&lt;&gt;"",IF(#REF!="Higher the better",IF(#REF!&lt;#REF!,#REF!,NA()),IF(#REF!&gt;#REF!,#REF!,NA())),NA())</f>
        <v/>
      </c>
      <c r="AA14">
        <f>IF(#REF!&lt;&gt;"",IF(#REF!="Higher the better",IF(#REF!&lt;#REF!,#REF!,NA()),IF(#REF!&gt;#REF!,#REF!,NA())),NA())</f>
        <v/>
      </c>
      <c r="AB14">
        <f>IF(#REF!&lt;&gt;"",IF(#REF!="Higher the better",IF(#REF!&lt;#REF!,#REF!,NA()),IF(#REF!&gt;#REF!,#REF!,NA())),NA())</f>
        <v/>
      </c>
      <c r="AC14">
        <f>IF(#REF!&lt;&gt;"",IF(#REF!="Higher the better",IF(#REF!&lt;#REF!,#REF!,NA()),IF(#REF!&gt;#REF!,#REF!,NA())),NA())</f>
        <v/>
      </c>
      <c r="AD14">
        <f>IF(#REF!&lt;&gt;"",IF(#REF!="Higher the better",IF(#REF!&lt;#REF!,#REF!,NA()),IF(#REF!&gt;#REF!,#REF!,NA())),NA())</f>
        <v/>
      </c>
      <c r="AE14">
        <f>IF(#REF!&lt;&gt;"",IF(#REF!="Higher the better",IF(#REF!&lt;#REF!,#REF!,NA()),IF(#REF!&gt;#REF!,#REF!,NA())),NA())</f>
        <v/>
      </c>
      <c r="AF14">
        <f>IF(#REF!&lt;&gt;"",IF(#REF!="Higher the better",IF(#REF!&lt;#REF!,#REF!,NA()),IF(#REF!&gt;#REF!,#REF!,NA())),NA())</f>
        <v/>
      </c>
      <c r="AG14">
        <f>IF(#REF!&lt;&gt;"",IF(#REF!="Higher the better",IF(#REF!&lt;#REF!,#REF!,NA()),IF(#REF!&gt;#REF!,#REF!,NA())),NA())</f>
        <v/>
      </c>
      <c r="AH14">
        <f>IF(#REF!&lt;&gt;"",IF(#REF!="Higher the better",IF(#REF!&lt;#REF!,#REF!,NA()),IF(#REF!&gt;#REF!,#REF!,NA())),NA())</f>
        <v/>
      </c>
      <c r="AI14">
        <f>IF(#REF!&lt;&gt;"",IF(#REF!="Higher the better",IF(#REF!&lt;#REF!,#REF!,NA()),IF(#REF!&gt;#REF!,#REF!,NA())),NA())</f>
        <v/>
      </c>
    </row>
    <row r="15" ht="14.85" customHeight="1">
      <c r="A15" s="671" t="n"/>
      <c r="B15" s="671" t="n"/>
      <c r="C15" s="671" t="n"/>
      <c r="D15" s="671" t="n"/>
      <c r="E15" s="671" t="n"/>
      <c r="F15" s="671" t="n"/>
      <c r="G15" s="671" t="n"/>
      <c r="H15" s="14" t="inlineStr">
        <is>
          <t>Actual</t>
        </is>
      </c>
      <c r="I15" s="5" t="n">
        <v>0.91</v>
      </c>
      <c r="J15" s="5" t="n">
        <v>0.96</v>
      </c>
      <c r="K15" s="5" t="n">
        <v>0.66</v>
      </c>
      <c r="L15" s="5" t="n">
        <v>0.73</v>
      </c>
      <c r="M15" s="5" t="n">
        <v>0.71</v>
      </c>
      <c r="N15" s="5" t="n">
        <v>0.95</v>
      </c>
      <c r="O15" s="5" t="n">
        <v>0.92</v>
      </c>
      <c r="P15" s="5" t="n">
        <v>0.98</v>
      </c>
      <c r="Q15" s="5" t="n">
        <v>0.87</v>
      </c>
      <c r="R15" s="5" t="n"/>
      <c r="S15" s="5" t="n"/>
      <c r="T15" s="5" t="n"/>
      <c r="W15" t="inlineStr">
        <is>
          <t>Actual green</t>
        </is>
      </c>
      <c r="X15">
        <f>IF(#REF!&lt;&gt;"",IF(#REF!="Higher the better",IF(#REF!&gt;=#REF!,#REF!,NA()),IF(#REF!&lt;=#REF!,#REF!,NA())),NA())</f>
        <v/>
      </c>
      <c r="Y15">
        <f>IF(#REF!&lt;&gt;"",IF(#REF!="Higher the better",IF(#REF!&gt;=#REF!,#REF!,NA()),IF(#REF!&lt;=#REF!,#REF!,NA())),NA())</f>
        <v/>
      </c>
      <c r="Z15">
        <f>IF(#REF!&lt;&gt;"",IF(#REF!="Higher the better",IF(#REF!&gt;=#REF!,#REF!,NA()),IF(#REF!&lt;=#REF!,#REF!,NA())),NA())</f>
        <v/>
      </c>
      <c r="AA15">
        <f>IF(#REF!&lt;&gt;"",IF(#REF!="Higher the better",IF(#REF!&gt;=#REF!,#REF!,NA()),IF(#REF!&lt;=#REF!,#REF!,NA())),NA())</f>
        <v/>
      </c>
      <c r="AB15">
        <f>IF(#REF!&lt;&gt;"",IF(#REF!="Higher the better",IF(#REF!&gt;=#REF!,#REF!,NA()),IF(#REF!&lt;=#REF!,#REF!,NA())),NA())</f>
        <v/>
      </c>
      <c r="AC15">
        <f>IF(#REF!&lt;&gt;"",IF(#REF!="Higher the better",IF(#REF!&gt;=#REF!,#REF!,NA()),IF(#REF!&lt;=#REF!,#REF!,NA())),NA())</f>
        <v/>
      </c>
      <c r="AD15">
        <f>IF(#REF!&lt;&gt;"",IF(#REF!="Higher the better",IF(#REF!&gt;=#REF!,#REF!,NA()),IF(#REF!&lt;=#REF!,#REF!,NA())),NA())</f>
        <v/>
      </c>
      <c r="AE15">
        <f>IF(#REF!&lt;&gt;"",IF(#REF!="Higher the better",IF(#REF!&gt;=#REF!,#REF!,NA()),IF(#REF!&lt;=#REF!,#REF!,NA())),NA())</f>
        <v/>
      </c>
      <c r="AF15">
        <f>IF(#REF!&lt;&gt;"",IF(#REF!="Higher the better",IF(#REF!&gt;=#REF!,#REF!,NA()),IF(#REF!&lt;=#REF!,#REF!,NA())),NA())</f>
        <v/>
      </c>
      <c r="AG15">
        <f>IF(#REF!&lt;&gt;"",IF(#REF!="Higher the better",IF(#REF!&gt;=#REF!,#REF!,NA()),IF(#REF!&lt;=#REF!,#REF!,NA())),NA())</f>
        <v/>
      </c>
      <c r="AH15">
        <f>IF(#REF!&lt;&gt;"",IF(#REF!="Higher the better",IF(#REF!&gt;=#REF!,#REF!,NA()),IF(#REF!&lt;=#REF!,#REF!,NA())),NA())</f>
        <v/>
      </c>
      <c r="AI15">
        <f>IF(#REF!&lt;&gt;"",IF(#REF!="Higher the better",IF(#REF!&gt;=#REF!,#REF!,NA()),IF(#REF!&lt;=#REF!,#REF!,NA())),NA())</f>
        <v/>
      </c>
    </row>
    <row r="16">
      <c r="A16" s="427" t="inlineStr">
        <is>
          <t>Production units</t>
        </is>
      </c>
      <c r="B16" s="427" t="inlineStr">
        <is>
          <t>Production number</t>
        </is>
      </c>
      <c r="C16" s="230" t="inlineStr">
        <is>
          <t>&gt;</t>
        </is>
      </c>
      <c r="D16" s="388" t="inlineStr">
        <is>
          <t>1004/1365</t>
        </is>
      </c>
      <c r="E16" s="230" t="inlineStr">
        <is>
          <t>No.</t>
        </is>
      </c>
      <c r="F16" s="388" t="inlineStr">
        <is>
          <t>Higher the better</t>
        </is>
      </c>
      <c r="G16" s="230" t="inlineStr">
        <is>
          <t>Monthly</t>
        </is>
      </c>
      <c r="H16" s="14" t="inlineStr">
        <is>
          <t>Target</t>
        </is>
      </c>
      <c r="I16" s="44" t="n">
        <v>110</v>
      </c>
      <c r="J16" s="44" t="n">
        <v>118</v>
      </c>
      <c r="K16" s="44" t="n">
        <v>115</v>
      </c>
      <c r="L16" s="44" t="n">
        <v>110</v>
      </c>
      <c r="M16" s="44" t="n">
        <v>120</v>
      </c>
      <c r="N16" s="44" t="n">
        <v>120</v>
      </c>
      <c r="O16" s="44" t="n">
        <v>125</v>
      </c>
      <c r="P16" s="44" t="n">
        <v>125</v>
      </c>
      <c r="Q16" s="44" t="n">
        <v>121</v>
      </c>
      <c r="R16" s="44" t="n">
        <v>112</v>
      </c>
      <c r="S16" s="44" t="n">
        <v>110</v>
      </c>
      <c r="T16" s="44" t="n">
        <v>79</v>
      </c>
      <c r="W16" t="inlineStr">
        <is>
          <t>Actual red</t>
        </is>
      </c>
      <c r="X16">
        <f>IF(#REF!&lt;&gt;"",IF(#REF!="Higher the better",IF(#REF!&lt;#REF!,#REF!,NA()),IF(#REF!&gt;#REF!,#REF!,NA())),NA())</f>
        <v/>
      </c>
      <c r="Y16">
        <f>IF(#REF!&lt;&gt;"",IF(#REF!="Higher the better",IF(#REF!&lt;#REF!,#REF!,NA()),IF(#REF!&gt;#REF!,#REF!,NA())),NA())</f>
        <v/>
      </c>
      <c r="Z16">
        <f>IF(#REF!&lt;&gt;"",IF(#REF!="Higher the better",IF(#REF!&lt;#REF!,#REF!,NA()),IF(#REF!&gt;#REF!,#REF!,NA())),NA())</f>
        <v/>
      </c>
      <c r="AA16">
        <f>IF(#REF!&lt;&gt;"",IF(#REF!="Higher the better",IF(#REF!&lt;#REF!,#REF!,NA()),IF(#REF!&gt;#REF!,#REF!,NA())),NA())</f>
        <v/>
      </c>
      <c r="AB16">
        <f>IF(#REF!&lt;&gt;"",IF(#REF!="Higher the better",IF(#REF!&lt;#REF!,#REF!,NA()),IF(#REF!&gt;#REF!,#REF!,NA())),NA())</f>
        <v/>
      </c>
      <c r="AC16">
        <f>IF(#REF!&lt;&gt;"",IF(#REF!="Higher the better",IF(#REF!&lt;#REF!,#REF!,NA()),IF(#REF!&gt;#REF!,#REF!,NA())),NA())</f>
        <v/>
      </c>
      <c r="AD16">
        <f>IF(#REF!&lt;&gt;"",IF(#REF!="Higher the better",IF(#REF!&lt;#REF!,#REF!,NA()),IF(#REF!&gt;#REF!,#REF!,NA())),NA())</f>
        <v/>
      </c>
      <c r="AE16">
        <f>IF(#REF!&lt;&gt;"",IF(#REF!="Higher the better",IF(#REF!&lt;#REF!,#REF!,NA()),IF(#REF!&gt;#REF!,#REF!,NA())),NA())</f>
        <v/>
      </c>
      <c r="AF16">
        <f>IF(#REF!&lt;&gt;"",IF(#REF!="Higher the better",IF(#REF!&lt;#REF!,#REF!,NA()),IF(#REF!&gt;#REF!,#REF!,NA())),NA())</f>
        <v/>
      </c>
      <c r="AG16">
        <f>IF(#REF!&lt;&gt;"",IF(#REF!="Higher the better",IF(#REF!&lt;#REF!,#REF!,NA()),IF(#REF!&gt;#REF!,#REF!,NA())),NA())</f>
        <v/>
      </c>
      <c r="AH16">
        <f>IF(#REF!&lt;&gt;"",IF(#REF!="Higher the better",IF(#REF!&lt;#REF!,#REF!,NA()),IF(#REF!&gt;#REF!,#REF!,NA())),NA())</f>
        <v/>
      </c>
      <c r="AI16">
        <f>IF(#REF!&lt;&gt;"",IF(#REF!="Higher the better",IF(#REF!&lt;#REF!,#REF!,NA()),IF(#REF!&gt;#REF!,#REF!,NA())),NA())</f>
        <v/>
      </c>
    </row>
    <row r="17">
      <c r="A17" s="671" t="n"/>
      <c r="B17" s="671" t="n"/>
      <c r="C17" s="671" t="n"/>
      <c r="D17" s="671" t="n"/>
      <c r="E17" s="671" t="n"/>
      <c r="F17" s="671" t="n"/>
      <c r="G17" s="671" t="n"/>
      <c r="H17" s="14" t="inlineStr">
        <is>
          <t>Actual</t>
        </is>
      </c>
      <c r="I17" s="45" t="n">
        <v>113</v>
      </c>
      <c r="J17" s="45" t="n">
        <v>119</v>
      </c>
      <c r="K17" s="45" t="n">
        <v>111</v>
      </c>
      <c r="L17" s="45" t="n">
        <v>89</v>
      </c>
      <c r="M17" s="45" t="n">
        <v>113</v>
      </c>
      <c r="N17" s="45" t="n">
        <v>109</v>
      </c>
      <c r="O17" s="45" t="n">
        <v>113</v>
      </c>
      <c r="P17" s="45" t="n">
        <v>120</v>
      </c>
      <c r="Q17" s="45" t="n">
        <v>117</v>
      </c>
      <c r="R17" s="45" t="n"/>
      <c r="S17" s="45" t="n"/>
      <c r="T17" s="45" t="n"/>
    </row>
    <row r="18" ht="14.85" customHeight="1">
      <c r="A18" s="427" t="inlineStr">
        <is>
          <t>CTB (12 weeks)</t>
        </is>
      </c>
      <c r="B18" s="446" t="inlineStr">
        <is>
          <t>Clear to build material avaialbility</t>
        </is>
      </c>
      <c r="C18" s="230" t="inlineStr">
        <is>
          <t>&gt;</t>
        </is>
      </c>
      <c r="D18" s="257" t="n">
        <v>0.9</v>
      </c>
      <c r="E18" s="230" t="inlineStr">
        <is>
          <t>%</t>
        </is>
      </c>
      <c r="F18" s="388" t="inlineStr">
        <is>
          <t>Higher the better</t>
        </is>
      </c>
      <c r="G18" s="230" t="inlineStr">
        <is>
          <t>Monthly</t>
        </is>
      </c>
      <c r="H18" s="14" t="inlineStr">
        <is>
          <t>Target</t>
        </is>
      </c>
      <c r="I18" s="4" t="n">
        <v>0.85</v>
      </c>
      <c r="J18" s="4" t="n">
        <v>0.87</v>
      </c>
      <c r="K18" s="4" t="n">
        <v>0.9</v>
      </c>
      <c r="L18" s="4" t="n">
        <v>0.9</v>
      </c>
      <c r="M18" s="4" t="n">
        <v>0.9</v>
      </c>
      <c r="N18" s="4" t="n">
        <v>0.9</v>
      </c>
      <c r="O18" s="4" t="n">
        <v>0.9</v>
      </c>
      <c r="P18" s="4" t="n">
        <v>0.9</v>
      </c>
      <c r="Q18" s="4" t="n">
        <v>0.92</v>
      </c>
      <c r="R18" s="4" t="n">
        <v>0.92</v>
      </c>
      <c r="S18" s="4" t="n">
        <v>0.92</v>
      </c>
      <c r="T18" s="4" t="n">
        <v>0.92</v>
      </c>
    </row>
    <row r="19">
      <c r="A19" s="671" t="n"/>
      <c r="B19" s="671" t="n"/>
      <c r="C19" s="671" t="n"/>
      <c r="D19" s="671" t="n"/>
      <c r="E19" s="671" t="n"/>
      <c r="F19" s="671" t="n"/>
      <c r="G19" s="671" t="n"/>
      <c r="H19" s="14" t="inlineStr">
        <is>
          <t>Actual</t>
        </is>
      </c>
      <c r="I19" s="5" t="n">
        <v>0.93</v>
      </c>
      <c r="J19" s="5" t="n">
        <v>0.89</v>
      </c>
      <c r="K19" s="5" t="n">
        <v>0.88</v>
      </c>
      <c r="L19" s="5" t="n">
        <v>0.84</v>
      </c>
      <c r="M19" s="5" t="n">
        <v>0.93</v>
      </c>
      <c r="N19" s="5" t="n">
        <v>0.93</v>
      </c>
      <c r="O19" s="5" t="n">
        <v>0.92</v>
      </c>
      <c r="P19" s="5" t="n">
        <v>0.96</v>
      </c>
      <c r="Q19" s="5" t="n">
        <v>0.92</v>
      </c>
      <c r="R19" s="5" t="n"/>
      <c r="S19" s="5" t="n"/>
      <c r="T19" s="5" t="n"/>
    </row>
    <row r="20">
      <c r="A20" s="427" t="inlineStr">
        <is>
          <t xml:space="preserve">OOH % </t>
        </is>
      </c>
      <c r="B20" s="446" t="inlineStr">
        <is>
          <t>OOH % for revnue in the Qtr</t>
        </is>
      </c>
      <c r="C20" s="230" t="inlineStr">
        <is>
          <t>&gt;</t>
        </is>
      </c>
      <c r="D20" s="388" t="inlineStr">
        <is>
          <t>%</t>
        </is>
      </c>
      <c r="E20" s="230" t="inlineStr">
        <is>
          <t>%</t>
        </is>
      </c>
      <c r="F20" s="388" t="inlineStr">
        <is>
          <t>Higher the better</t>
        </is>
      </c>
      <c r="G20" s="230" t="inlineStr">
        <is>
          <t>Monthly</t>
        </is>
      </c>
      <c r="H20" s="14" t="inlineStr">
        <is>
          <t>Target</t>
        </is>
      </c>
      <c r="I20" s="4" t="n">
        <v>0.85</v>
      </c>
      <c r="J20" s="4" t="n">
        <v>0.9</v>
      </c>
      <c r="K20" s="4" t="n">
        <v>0.95</v>
      </c>
      <c r="L20" s="4" t="n">
        <v>0.85</v>
      </c>
      <c r="M20" s="4" t="n">
        <v>0.9</v>
      </c>
      <c r="N20" s="4" t="n">
        <v>0.95</v>
      </c>
      <c r="O20" s="4" t="n">
        <v>0.85</v>
      </c>
      <c r="P20" s="4" t="n">
        <v>0.95</v>
      </c>
      <c r="Q20" s="4" t="n">
        <v>0.85</v>
      </c>
      <c r="R20" s="44" t="n"/>
      <c r="S20" s="44" t="n"/>
      <c r="T20" s="44" t="n"/>
    </row>
    <row r="21">
      <c r="A21" s="671" t="n"/>
      <c r="B21" s="671" t="n"/>
      <c r="C21" s="671" t="n"/>
      <c r="D21" s="671" t="n"/>
      <c r="E21" s="671" t="n"/>
      <c r="F21" s="671" t="n"/>
      <c r="G21" s="671" t="n"/>
      <c r="H21" s="14" t="inlineStr">
        <is>
          <t>Actual</t>
        </is>
      </c>
      <c r="I21" s="5" t="n">
        <v>0.8</v>
      </c>
      <c r="J21" s="5" t="n">
        <v>0.9</v>
      </c>
      <c r="K21" s="5" t="n">
        <v>1.02</v>
      </c>
      <c r="L21" s="5" t="n">
        <v>0.6</v>
      </c>
      <c r="M21" s="5" t="n">
        <v>0.72</v>
      </c>
      <c r="N21" s="5" t="n">
        <v>0.8100000000000001</v>
      </c>
      <c r="O21" s="5" t="n">
        <v>0.5600000000000001</v>
      </c>
      <c r="P21" s="5" t="n">
        <v>0.71</v>
      </c>
      <c r="Q21" s="5" t="n">
        <v>0.83</v>
      </c>
      <c r="R21" s="179" t="n"/>
      <c r="S21" s="179" t="n"/>
      <c r="T21" s="179" t="n"/>
    </row>
    <row r="22">
      <c r="A22" s="348" t="inlineStr">
        <is>
          <t xml:space="preserve">Market Inventory  </t>
        </is>
      </c>
      <c r="B22" s="349" t="inlineStr">
        <is>
          <t>Market inventory</t>
        </is>
      </c>
      <c r="C22" s="350" t="inlineStr">
        <is>
          <t>&lt;</t>
        </is>
      </c>
      <c r="D22" s="352" t="inlineStr">
        <is>
          <t>10 % reduction</t>
        </is>
      </c>
      <c r="E22" s="350" t="inlineStr">
        <is>
          <t>Mn</t>
        </is>
      </c>
      <c r="F22" s="352" t="inlineStr">
        <is>
          <t>Lower the better</t>
        </is>
      </c>
      <c r="G22" s="350" t="inlineStr">
        <is>
          <t>Monthly</t>
        </is>
      </c>
      <c r="H22" s="14" t="inlineStr">
        <is>
          <t>Target</t>
        </is>
      </c>
      <c r="I22" s="720" t="n">
        <v>11.54047933038479</v>
      </c>
      <c r="J22" s="720" t="n">
        <v>13.98559311072262</v>
      </c>
      <c r="K22" s="720" t="n">
        <v>14.90020821476038</v>
      </c>
      <c r="L22" s="720" t="n">
        <v>15.54656139968258</v>
      </c>
      <c r="M22" s="720" t="n">
        <v>12.92373512194984</v>
      </c>
      <c r="N22" s="720" t="n">
        <v>13.01823771123194</v>
      </c>
      <c r="O22" s="720" t="n">
        <v>11.3455024479378</v>
      </c>
      <c r="P22" s="720" t="n">
        <v>11.43287004102791</v>
      </c>
      <c r="Q22" s="720" t="n">
        <v>14.88857966801285</v>
      </c>
      <c r="R22" s="720" t="n">
        <v>13.43698488329329</v>
      </c>
      <c r="S22" s="720" t="n">
        <v>15.1448752528637</v>
      </c>
      <c r="T22" s="720" t="n">
        <v>9.571796288760964</v>
      </c>
    </row>
    <row r="23" ht="15.6" customHeight="1">
      <c r="A23" s="685" t="n"/>
      <c r="B23" s="685" t="n"/>
      <c r="C23" s="685" t="n"/>
      <c r="D23" s="685" t="n"/>
      <c r="E23" s="685" t="n"/>
      <c r="F23" s="685" t="n"/>
      <c r="G23" s="685" t="n"/>
      <c r="H23" s="14" t="inlineStr">
        <is>
          <t>Actual</t>
        </is>
      </c>
      <c r="I23" s="45" t="n">
        <v>17.3</v>
      </c>
      <c r="J23" s="45" t="n">
        <v>21.89</v>
      </c>
      <c r="K23" s="45" t="n">
        <v>21.44</v>
      </c>
      <c r="L23" s="45" t="n">
        <v>24.02</v>
      </c>
      <c r="M23" s="45" t="n">
        <v>24.1</v>
      </c>
      <c r="N23" s="45" t="n">
        <v>22.5</v>
      </c>
      <c r="O23" s="45" t="n">
        <v>23</v>
      </c>
      <c r="P23" s="45" t="n">
        <v>25.31</v>
      </c>
      <c r="Q23" s="45" t="n">
        <v>22.5</v>
      </c>
      <c r="R23" s="45" t="n"/>
      <c r="S23" s="45" t="n"/>
      <c r="T23" s="45" t="n"/>
    </row>
    <row r="24">
      <c r="A24" s="722" t="inlineStr">
        <is>
          <t>CDD push out / month</t>
        </is>
      </c>
      <c r="B24" s="427" t="inlineStr">
        <is>
          <t xml:space="preserve">CDD move out during to execution </t>
        </is>
      </c>
      <c r="C24" s="230" t="inlineStr">
        <is>
          <t>&lt;=</t>
        </is>
      </c>
      <c r="D24" s="723" t="n">
        <v>15</v>
      </c>
      <c r="E24" s="230" t="inlineStr">
        <is>
          <t>No.</t>
        </is>
      </c>
      <c r="F24" s="388" t="inlineStr">
        <is>
          <t>Lower the better</t>
        </is>
      </c>
      <c r="G24" s="230" t="inlineStr">
        <is>
          <t>Monthly</t>
        </is>
      </c>
      <c r="H24" s="14" t="inlineStr">
        <is>
          <t>Target</t>
        </is>
      </c>
      <c r="I24" s="44" t="n">
        <v>15</v>
      </c>
      <c r="J24" s="44" t="n">
        <v>15</v>
      </c>
      <c r="K24" s="44" t="n">
        <v>15</v>
      </c>
      <c r="L24" s="44" t="n">
        <v>15</v>
      </c>
      <c r="M24" s="44" t="n">
        <v>15</v>
      </c>
      <c r="N24" s="44" t="n">
        <v>15</v>
      </c>
      <c r="O24" s="44" t="n">
        <v>15</v>
      </c>
      <c r="P24" s="44" t="n">
        <v>15</v>
      </c>
      <c r="Q24" s="44" t="n">
        <v>15</v>
      </c>
      <c r="R24" s="44" t="n">
        <v>15</v>
      </c>
      <c r="S24" s="44" t="n">
        <v>15</v>
      </c>
      <c r="T24" s="44" t="n">
        <v>15</v>
      </c>
    </row>
    <row r="25" ht="13.5" customHeight="1">
      <c r="A25" s="724" t="n"/>
      <c r="B25" s="671" t="n"/>
      <c r="C25" s="671" t="n"/>
      <c r="D25" s="671" t="n"/>
      <c r="E25" s="671" t="n"/>
      <c r="F25" s="671" t="n"/>
      <c r="G25" s="671" t="n"/>
      <c r="H25" s="14" t="inlineStr">
        <is>
          <t>Actual</t>
        </is>
      </c>
      <c r="I25" s="45" t="n">
        <v>7</v>
      </c>
      <c r="J25" s="45" t="n">
        <v>8</v>
      </c>
      <c r="K25" s="45">
        <f>0+0+14+11+3</f>
        <v/>
      </c>
      <c r="L25" s="45" t="n">
        <v>16</v>
      </c>
      <c r="M25" s="45" t="n">
        <v>20</v>
      </c>
      <c r="N25" s="45" t="n">
        <v>9</v>
      </c>
      <c r="O25" s="45" t="n">
        <v>13</v>
      </c>
      <c r="P25" s="45" t="n">
        <v>5</v>
      </c>
      <c r="Q25" s="45" t="n">
        <v>15</v>
      </c>
      <c r="R25" s="45" t="n"/>
      <c r="S25" s="45" t="n"/>
      <c r="T25" s="45" t="n"/>
    </row>
    <row r="26" ht="21" customHeight="1">
      <c r="A26" s="449" t="inlineStr">
        <is>
          <t xml:space="preserve">   Supplier Quality  - Product  Quality DMB</t>
        </is>
      </c>
    </row>
    <row r="27" ht="20.85" customHeight="1">
      <c r="A27" s="268" t="inlineStr">
        <is>
          <t>Mandatory Outcome KPI's (1-3)</t>
        </is>
      </c>
      <c r="B27" s="11" t="n"/>
    </row>
    <row r="28" ht="29.1" customHeight="1">
      <c r="A28" s="267" t="inlineStr">
        <is>
          <t xml:space="preserve">Mandatory KPI </t>
        </is>
      </c>
      <c r="B28" s="26" t="inlineStr">
        <is>
          <t>KPI  Definition</t>
        </is>
      </c>
      <c r="C28" s="26" t="inlineStr">
        <is>
          <t>Operators</t>
        </is>
      </c>
      <c r="D28" s="26" t="inlineStr">
        <is>
          <t>Target AOP 2026</t>
        </is>
      </c>
      <c r="E28" s="26" t="inlineStr">
        <is>
          <t>Units</t>
        </is>
      </c>
      <c r="F28" s="26" t="inlineStr">
        <is>
          <t>Metric nature</t>
        </is>
      </c>
      <c r="G28" s="26" t="inlineStr">
        <is>
          <t>Frequency</t>
        </is>
      </c>
      <c r="H28" s="26" t="inlineStr">
        <is>
          <t>Target/ Actual</t>
        </is>
      </c>
      <c r="I28" s="684" t="n">
        <v>46023</v>
      </c>
      <c r="J28" s="684" t="n">
        <v>46054</v>
      </c>
      <c r="K28" s="684" t="n">
        <v>46082</v>
      </c>
      <c r="L28" s="684" t="n">
        <v>46113</v>
      </c>
      <c r="M28" s="684" t="n">
        <v>46143</v>
      </c>
      <c r="N28" s="684" t="n">
        <v>46174</v>
      </c>
      <c r="O28" s="684" t="n">
        <v>46204</v>
      </c>
      <c r="P28" s="684" t="n">
        <v>46235</v>
      </c>
      <c r="Q28" s="684" t="n">
        <v>46266</v>
      </c>
      <c r="R28" s="684" t="n">
        <v>46296</v>
      </c>
      <c r="S28" s="684" t="n">
        <v>46327</v>
      </c>
      <c r="T28" s="684" t="n">
        <v>46357</v>
      </c>
    </row>
    <row r="29">
      <c r="A29" s="427" t="inlineStr">
        <is>
          <t>SQN reduction</t>
        </is>
      </c>
      <c r="B29" s="387" t="inlineStr">
        <is>
          <t>Supplier Quality notification reduction</t>
        </is>
      </c>
      <c r="C29" s="230" t="inlineStr">
        <is>
          <t>&gt;=</t>
        </is>
      </c>
      <c r="D29" s="257" t="n">
        <v>0.2</v>
      </c>
      <c r="E29" s="230" t="inlineStr">
        <is>
          <t>%</t>
        </is>
      </c>
      <c r="F29" s="388" t="inlineStr">
        <is>
          <t>Lower the better</t>
        </is>
      </c>
      <c r="G29" s="230" t="inlineStr">
        <is>
          <t>Monthly</t>
        </is>
      </c>
      <c r="H29" s="14" t="inlineStr">
        <is>
          <t xml:space="preserve">Target </t>
        </is>
      </c>
      <c r="I29" s="47" t="n">
        <v>15</v>
      </c>
      <c r="J29" s="47" t="n">
        <v>15</v>
      </c>
      <c r="K29" s="47" t="n">
        <v>15</v>
      </c>
      <c r="L29" s="47" t="n">
        <v>15</v>
      </c>
      <c r="M29" s="47" t="n">
        <v>15</v>
      </c>
      <c r="N29" s="47" t="n">
        <v>15</v>
      </c>
      <c r="O29" s="47" t="n">
        <v>15</v>
      </c>
      <c r="P29" s="47" t="n">
        <v>15</v>
      </c>
      <c r="Q29" s="47" t="n">
        <v>15</v>
      </c>
      <c r="R29" s="47" t="n">
        <v>15</v>
      </c>
      <c r="S29" s="47" t="n">
        <v>15</v>
      </c>
      <c r="T29" s="47" t="n">
        <v>15</v>
      </c>
    </row>
    <row r="30">
      <c r="A30" s="671" t="n"/>
      <c r="B30" s="671" t="n"/>
      <c r="C30" s="671" t="n"/>
      <c r="D30" s="671" t="n"/>
      <c r="E30" s="671" t="n"/>
      <c r="F30" s="671" t="n"/>
      <c r="G30" s="671" t="n"/>
      <c r="H30" s="14" t="inlineStr">
        <is>
          <t>Actual</t>
        </is>
      </c>
      <c r="I30" s="45" t="n">
        <v>11</v>
      </c>
      <c r="J30" s="45" t="n">
        <v>11</v>
      </c>
      <c r="K30" s="45" t="n">
        <v>14</v>
      </c>
      <c r="L30" s="45" t="n">
        <v>11</v>
      </c>
      <c r="M30" s="45" t="n">
        <v>9</v>
      </c>
      <c r="N30" s="45" t="n">
        <v>9</v>
      </c>
      <c r="O30" s="45" t="n">
        <v>11</v>
      </c>
      <c r="P30" s="45" t="n">
        <v>11</v>
      </c>
      <c r="Q30" s="45" t="n">
        <v>13</v>
      </c>
      <c r="R30" s="45" t="n"/>
      <c r="S30" s="45" t="n"/>
      <c r="T30" s="45" t="n"/>
    </row>
    <row r="31">
      <c r="A31" s="427" t="inlineStr">
        <is>
          <t>SCAR Performance</t>
        </is>
      </c>
      <c r="B31" s="446" t="inlineStr">
        <is>
          <t>SCAR Clsoure
% SCARs Closed &lt; 180d</t>
        </is>
      </c>
      <c r="C31" s="230" t="inlineStr">
        <is>
          <t>&gt;=</t>
        </is>
      </c>
      <c r="D31" s="106" t="n">
        <v>0.9</v>
      </c>
      <c r="E31" s="230" t="inlineStr">
        <is>
          <t>%</t>
        </is>
      </c>
      <c r="F31" s="388" t="inlineStr">
        <is>
          <t>Higher the better</t>
        </is>
      </c>
      <c r="G31" s="230" t="inlineStr">
        <is>
          <t>Monthly</t>
        </is>
      </c>
      <c r="H31" s="14" t="inlineStr">
        <is>
          <t>Target</t>
        </is>
      </c>
      <c r="I31" s="4" t="n">
        <v>0.9</v>
      </c>
      <c r="J31" s="4" t="n">
        <v>0.9</v>
      </c>
      <c r="K31" s="4" t="n">
        <v>0.9</v>
      </c>
      <c r="L31" s="4" t="n">
        <v>0.9</v>
      </c>
      <c r="M31" s="4" t="n">
        <v>0.9</v>
      </c>
      <c r="N31" s="4" t="n">
        <v>0.9</v>
      </c>
      <c r="O31" s="4" t="n">
        <v>0.9</v>
      </c>
      <c r="P31" s="4" t="n">
        <v>0.9</v>
      </c>
      <c r="Q31" s="4" t="n">
        <v>0.9</v>
      </c>
      <c r="R31" s="4" t="n">
        <v>0.9</v>
      </c>
      <c r="S31" s="4" t="n">
        <v>0.9</v>
      </c>
      <c r="T31" s="4" t="n">
        <v>0.9</v>
      </c>
    </row>
    <row r="32">
      <c r="A32" s="671" t="n"/>
      <c r="B32" s="671" t="n"/>
      <c r="C32" s="671" t="n"/>
      <c r="D32" s="671" t="n"/>
      <c r="E32" s="671" t="n"/>
      <c r="F32" s="671" t="n"/>
      <c r="G32" s="671" t="n"/>
      <c r="H32" s="14" t="inlineStr">
        <is>
          <t>Actual</t>
        </is>
      </c>
      <c r="I32" s="5" t="n">
        <v>1</v>
      </c>
      <c r="J32" s="5" t="n">
        <v>1</v>
      </c>
      <c r="K32" s="5" t="n">
        <v>1</v>
      </c>
      <c r="L32" s="5" t="n">
        <v>1</v>
      </c>
      <c r="M32" s="5" t="n">
        <v>1</v>
      </c>
      <c r="N32" s="5" t="n">
        <v>1</v>
      </c>
      <c r="O32" s="5" t="n">
        <v>1</v>
      </c>
      <c r="P32" s="5" t="n">
        <v>1</v>
      </c>
      <c r="Q32" s="5" t="n">
        <v>1</v>
      </c>
      <c r="R32" s="5" t="n"/>
      <c r="S32" s="5" t="n"/>
      <c r="T32" s="5" t="n"/>
    </row>
    <row r="33">
      <c r="A33" s="427" t="inlineStr">
        <is>
          <t>SCAR Performance</t>
        </is>
      </c>
      <c r="B33" s="461" t="inlineStr">
        <is>
          <t>SCARs on time to plan (OTTP)</t>
        </is>
      </c>
      <c r="C33" s="230" t="inlineStr">
        <is>
          <t>&gt;=</t>
        </is>
      </c>
      <c r="D33" s="106" t="n">
        <v>0.95</v>
      </c>
      <c r="E33" s="230" t="inlineStr">
        <is>
          <t>%</t>
        </is>
      </c>
      <c r="F33" s="388" t="inlineStr">
        <is>
          <t>Higher the better</t>
        </is>
      </c>
      <c r="G33" s="230" t="inlineStr">
        <is>
          <t>Monthly</t>
        </is>
      </c>
      <c r="H33" s="14" t="inlineStr">
        <is>
          <t>Target</t>
        </is>
      </c>
      <c r="I33" s="4" t="n">
        <v>0.95</v>
      </c>
      <c r="J33" s="4" t="n">
        <v>0.95</v>
      </c>
      <c r="K33" s="4" t="n">
        <v>0.95</v>
      </c>
      <c r="L33" s="4" t="n">
        <v>0.95</v>
      </c>
      <c r="M33" s="4" t="n">
        <v>0.95</v>
      </c>
      <c r="N33" s="4" t="n">
        <v>0.95</v>
      </c>
      <c r="O33" s="4" t="n">
        <v>0.95</v>
      </c>
      <c r="P33" s="4" t="n">
        <v>0.95</v>
      </c>
      <c r="Q33" s="4" t="n">
        <v>0.95</v>
      </c>
      <c r="R33" s="4" t="n">
        <v>0.95</v>
      </c>
      <c r="S33" s="4" t="n">
        <v>0.95</v>
      </c>
      <c r="T33" s="4" t="n">
        <v>0.95</v>
      </c>
    </row>
    <row r="34">
      <c r="A34" s="671" t="n"/>
      <c r="B34" s="671" t="n"/>
      <c r="C34" s="671" t="n"/>
      <c r="D34" s="671" t="n"/>
      <c r="E34" s="671" t="n"/>
      <c r="F34" s="671" t="n"/>
      <c r="G34" s="671" t="n"/>
      <c r="H34" s="14" t="inlineStr">
        <is>
          <t>Actual</t>
        </is>
      </c>
      <c r="I34" s="5" t="n">
        <v>0.71</v>
      </c>
      <c r="J34" s="5" t="n">
        <v>0.74</v>
      </c>
      <c r="K34" s="5" t="n">
        <v>1</v>
      </c>
      <c r="L34" s="5" t="n">
        <v>1</v>
      </c>
      <c r="M34" s="5" t="n">
        <v>1</v>
      </c>
      <c r="N34" s="5" t="n">
        <v>1</v>
      </c>
      <c r="O34" s="5" t="n">
        <v>1</v>
      </c>
      <c r="P34" s="5" t="n">
        <v>1</v>
      </c>
      <c r="Q34" s="5" t="n">
        <v>1</v>
      </c>
      <c r="R34" s="5" t="n"/>
      <c r="S34" s="5" t="n"/>
      <c r="T34" s="5" t="n"/>
    </row>
    <row r="35">
      <c r="A35" s="427" t="inlineStr">
        <is>
          <t>SICRs execution</t>
        </is>
      </c>
      <c r="B35" s="446" t="inlineStr">
        <is>
          <t>Monthly execution of high priority SICRs without any line down situation</t>
        </is>
      </c>
      <c r="C35" s="230" t="inlineStr">
        <is>
          <t>&gt;=</t>
        </is>
      </c>
      <c r="D35" s="106" t="n">
        <v>1</v>
      </c>
      <c r="E35" s="230" t="inlineStr">
        <is>
          <t>%</t>
        </is>
      </c>
      <c r="F35" s="388" t="inlineStr">
        <is>
          <t>Higher the better</t>
        </is>
      </c>
      <c r="G35" s="230" t="inlineStr">
        <is>
          <t>Monthly</t>
        </is>
      </c>
      <c r="H35" s="14" t="inlineStr">
        <is>
          <t>Target</t>
        </is>
      </c>
      <c r="I35" s="4" t="n">
        <v>1</v>
      </c>
      <c r="J35" s="4" t="n">
        <v>1</v>
      </c>
      <c r="K35" s="4" t="n">
        <v>1</v>
      </c>
      <c r="L35" s="4" t="n">
        <v>1</v>
      </c>
      <c r="M35" s="4" t="n">
        <v>1</v>
      </c>
      <c r="N35" s="4" t="n">
        <v>1</v>
      </c>
      <c r="O35" s="4" t="n">
        <v>1</v>
      </c>
      <c r="P35" s="4" t="n">
        <v>1</v>
      </c>
      <c r="Q35" s="4" t="n">
        <v>1</v>
      </c>
      <c r="R35" s="4" t="n">
        <v>1</v>
      </c>
      <c r="S35" s="4" t="n">
        <v>1</v>
      </c>
      <c r="T35" s="4" t="n">
        <v>1</v>
      </c>
    </row>
    <row r="36" ht="20.1" customHeight="1">
      <c r="A36" s="671" t="n"/>
      <c r="B36" s="671" t="n"/>
      <c r="C36" s="671" t="n"/>
      <c r="D36" s="671" t="n"/>
      <c r="E36" s="671" t="n"/>
      <c r="F36" s="671" t="n"/>
      <c r="G36" s="671" t="n"/>
      <c r="H36" s="14" t="inlineStr">
        <is>
          <t>Actual</t>
        </is>
      </c>
      <c r="I36" s="5" t="n">
        <v>1</v>
      </c>
      <c r="J36" s="5" t="n">
        <v>1</v>
      </c>
      <c r="K36" s="5" t="n">
        <v>1</v>
      </c>
      <c r="L36" s="5" t="n">
        <v>1</v>
      </c>
      <c r="M36" s="5" t="n">
        <v>1</v>
      </c>
      <c r="N36" s="5" t="n">
        <v>1</v>
      </c>
      <c r="O36" s="5" t="n">
        <v>1</v>
      </c>
      <c r="P36" s="5" t="n">
        <v>1</v>
      </c>
      <c r="Q36" s="5" t="n">
        <v>1</v>
      </c>
      <c r="R36" s="5" t="n"/>
      <c r="S36" s="5" t="n"/>
      <c r="T36" s="5" t="n"/>
    </row>
    <row r="37" ht="20.1" customHeight="1">
      <c r="A37" s="688" t="inlineStr">
        <is>
          <t>DEFOA</t>
        </is>
      </c>
      <c r="B37" s="387" t="inlineStr">
        <is>
          <t>commercial Defect On Arrival at customer place</t>
        </is>
      </c>
      <c r="C37" s="279" t="inlineStr">
        <is>
          <t>&lt;</t>
        </is>
      </c>
      <c r="D37" s="725" t="n">
        <v>0.03</v>
      </c>
      <c r="E37" s="230" t="inlineStr">
        <is>
          <t>No.</t>
        </is>
      </c>
      <c r="F37" s="388" t="inlineStr">
        <is>
          <t>Lower the better</t>
        </is>
      </c>
      <c r="G37" s="230" t="inlineStr">
        <is>
          <t>Monthly</t>
        </is>
      </c>
      <c r="H37" s="134" t="inlineStr">
        <is>
          <t>Target</t>
        </is>
      </c>
      <c r="I37" s="214" t="n">
        <v>0.03</v>
      </c>
      <c r="J37" s="214" t="n">
        <v>0.03</v>
      </c>
      <c r="K37" s="135" t="n">
        <v>0.03</v>
      </c>
      <c r="L37" s="135" t="n">
        <v>0.03</v>
      </c>
      <c r="M37" s="135" t="n">
        <v>0.03</v>
      </c>
      <c r="N37" s="135" t="n">
        <v>0.03</v>
      </c>
      <c r="O37" s="135" t="n">
        <v>0.03</v>
      </c>
      <c r="P37" s="135" t="n">
        <v>0.03</v>
      </c>
      <c r="Q37" s="135" t="n">
        <v>0.03</v>
      </c>
      <c r="R37" s="135" t="n"/>
      <c r="S37" s="135" t="n"/>
      <c r="T37" s="135" t="n"/>
    </row>
    <row r="38" ht="20.1" customHeight="1">
      <c r="A38" s="641" t="n"/>
      <c r="B38" s="671" t="n"/>
      <c r="C38" s="669" t="n"/>
      <c r="D38" s="671" t="n"/>
      <c r="E38" s="671" t="n"/>
      <c r="F38" s="671" t="n"/>
      <c r="G38" s="671" t="n"/>
      <c r="H38" s="111" t="inlineStr">
        <is>
          <t>Actual</t>
        </is>
      </c>
      <c r="I38" s="129" t="n">
        <v>0.03</v>
      </c>
      <c r="J38" s="129" t="n">
        <v>0.04</v>
      </c>
      <c r="K38" s="726" t="n">
        <v>0.006</v>
      </c>
      <c r="L38" s="726" t="n">
        <v>0</v>
      </c>
      <c r="M38" s="727" t="n">
        <v>0.02</v>
      </c>
      <c r="N38" s="727" t="n">
        <v>0.013</v>
      </c>
      <c r="O38" s="129" t="n">
        <v>0.01</v>
      </c>
      <c r="P38" s="129" t="n">
        <v>0.02</v>
      </c>
      <c r="Q38" s="129" t="n">
        <v>0.02</v>
      </c>
      <c r="R38" s="92" t="n"/>
      <c r="S38" s="92" t="n"/>
      <c r="T38" s="92" t="n"/>
    </row>
    <row r="39" ht="23.65" customHeight="1">
      <c r="A39" s="688" t="inlineStr">
        <is>
          <t>Factory Yeild ( NPI)</t>
        </is>
      </c>
      <c r="B39" s="728" t="inlineStr">
        <is>
          <t>(Total Units dispatched-Number of defective products during manufacturing) *100/Total units dispatched</t>
        </is>
      </c>
      <c r="C39" s="690" t="inlineStr">
        <is>
          <t>&gt;=</t>
        </is>
      </c>
      <c r="D39" s="398" t="n">
        <v>85</v>
      </c>
      <c r="E39" s="452" t="inlineStr">
        <is>
          <t>%</t>
        </is>
      </c>
      <c r="F39" s="398" t="inlineStr">
        <is>
          <t>Higher the better</t>
        </is>
      </c>
      <c r="G39" s="452" t="inlineStr">
        <is>
          <t>Monthly</t>
        </is>
      </c>
      <c r="H39" s="14" t="inlineStr">
        <is>
          <t>Target</t>
        </is>
      </c>
      <c r="I39" s="91" t="n">
        <v>0.85</v>
      </c>
      <c r="J39" s="91" t="n">
        <v>0.85</v>
      </c>
      <c r="K39" s="91" t="n">
        <v>0.85</v>
      </c>
      <c r="L39" s="91" t="n">
        <v>0.85</v>
      </c>
      <c r="M39" s="91" t="n">
        <v>0.85</v>
      </c>
      <c r="N39" s="91" t="n">
        <v>0.85</v>
      </c>
      <c r="O39" s="91" t="n">
        <v>0.85</v>
      </c>
      <c r="P39" s="91" t="n">
        <v>0.85</v>
      </c>
      <c r="Q39" s="91" t="n">
        <v>0.85</v>
      </c>
      <c r="R39" s="91" t="n">
        <v>0.85</v>
      </c>
      <c r="S39" s="91" t="n">
        <v>0.85</v>
      </c>
      <c r="T39" s="91" t="n">
        <v>0.85</v>
      </c>
    </row>
    <row r="40" ht="31.15" customHeight="1">
      <c r="A40" s="641" t="n"/>
      <c r="B40" s="671" t="n"/>
      <c r="C40" s="671" t="n"/>
      <c r="D40" s="671" t="n"/>
      <c r="E40" s="671" t="n"/>
      <c r="F40" s="671" t="n"/>
      <c r="G40" s="671" t="n"/>
      <c r="H40" s="14" t="inlineStr">
        <is>
          <t>Actual</t>
        </is>
      </c>
      <c r="I40" s="92" t="n">
        <v>0.75</v>
      </c>
      <c r="J40" s="92" t="n">
        <v>0.8</v>
      </c>
      <c r="K40" s="92" t="n">
        <v>0.77</v>
      </c>
      <c r="L40" s="92" t="n">
        <v>0.84</v>
      </c>
      <c r="M40" s="92" t="n">
        <v>0.85</v>
      </c>
      <c r="N40" s="92" t="n">
        <v>0.9</v>
      </c>
      <c r="O40" s="92" t="n">
        <v>0.86</v>
      </c>
      <c r="P40" s="92" t="n">
        <v>0.85</v>
      </c>
      <c r="Q40" s="92" t="n">
        <v>0.9</v>
      </c>
      <c r="R40" s="92" t="n"/>
      <c r="S40" s="92" t="n"/>
      <c r="T40" s="92" t="n"/>
    </row>
    <row r="41">
      <c r="M41" s="43" t="n"/>
      <c r="N41" s="43" t="n"/>
      <c r="O41" s="43" t="n"/>
      <c r="P41" s="43" t="n"/>
      <c r="Q41" s="43" t="n"/>
      <c r="R41" s="43" t="n"/>
      <c r="S41" s="43" t="n"/>
      <c r="T41" s="43" t="n"/>
    </row>
    <row r="42" ht="21" customHeight="1">
      <c r="A42" s="449" t="inlineStr">
        <is>
          <t>Trends-</t>
        </is>
      </c>
    </row>
    <row r="59" ht="21" customHeight="1">
      <c r="A59" s="536" t="inlineStr">
        <is>
          <t>If the KPI is reported Red, fill all the details as mentioned below for analysis &amp; actions:</t>
        </is>
      </c>
    </row>
    <row r="60" ht="21" customHeight="1">
      <c r="A60" s="449" t="inlineStr">
        <is>
          <t>Root Cause Analysis-</t>
        </is>
      </c>
    </row>
    <row r="61" ht="20.1" customHeight="1">
      <c r="A61" s="513" t="inlineStr">
        <is>
          <t xml:space="preserve"> Red KPI</t>
        </is>
      </c>
      <c r="B61" s="361" t="inlineStr">
        <is>
          <t xml:space="preserve">Top  Causes </t>
        </is>
      </c>
      <c r="C61" s="693" t="n"/>
      <c r="D61" s="693" t="n"/>
      <c r="E61" s="693" t="n"/>
      <c r="F61" s="692" t="n"/>
    </row>
    <row r="62" ht="15" customHeight="1">
      <c r="A62" s="694" t="n"/>
      <c r="B62" s="361" t="inlineStr">
        <is>
          <t xml:space="preserve">Cause 1 </t>
        </is>
      </c>
      <c r="C62" s="361" t="inlineStr">
        <is>
          <t>Cause 2</t>
        </is>
      </c>
      <c r="D62" s="361" t="inlineStr">
        <is>
          <t>Cause 3</t>
        </is>
      </c>
      <c r="E62" s="361" t="inlineStr">
        <is>
          <t>Cause 4</t>
        </is>
      </c>
      <c r="F62" s="361" t="inlineStr">
        <is>
          <t>Cause 5</t>
        </is>
      </c>
      <c r="I62" s="215" t="n"/>
    </row>
    <row r="63" ht="59.1" customHeight="1">
      <c r="A63" s="339" t="inlineStr">
        <is>
          <t>Production units</t>
        </is>
      </c>
      <c r="B63" s="127" t="inlineStr">
        <is>
          <t>E-component shortage: MVS PC(Supplier Pune Factory) - Due to STC cable shortage - Bizlink</t>
        </is>
      </c>
      <c r="C63" s="127" t="inlineStr">
        <is>
          <t>FD 12 Grid (Supplier BEST factory) - due to lgs challenges at Mumbai Airport</t>
        </is>
      </c>
      <c r="E63" s="127" t="n"/>
      <c r="F63" s="41" t="n"/>
      <c r="G63" s="32" t="n"/>
      <c r="I63" s="32" t="n"/>
      <c r="J63" s="33" t="n"/>
    </row>
    <row r="64" ht="19.35" customHeight="1">
      <c r="A64" s="339" t="inlineStr">
        <is>
          <t>% impact on KPI gap</t>
        </is>
      </c>
      <c r="B64" s="42" t="n">
        <v>0.7</v>
      </c>
      <c r="C64" s="42" t="n">
        <v>0.3</v>
      </c>
      <c r="D64" s="42" t="n"/>
      <c r="E64" s="42" t="n"/>
      <c r="F64" s="42" t="n"/>
      <c r="G64" s="32" t="n"/>
      <c r="H64" s="32" t="n"/>
    </row>
    <row r="65" ht="19.35" customHeight="1">
      <c r="A65" s="150" t="inlineStr">
        <is>
          <t>Red KPI</t>
        </is>
      </c>
      <c r="B65" s="361" t="inlineStr">
        <is>
          <t xml:space="preserve">Cause 1 </t>
        </is>
      </c>
      <c r="C65" s="361" t="inlineStr">
        <is>
          <t>Cause 2</t>
        </is>
      </c>
      <c r="D65" s="361" t="inlineStr">
        <is>
          <t>Cause 3</t>
        </is>
      </c>
      <c r="E65" s="361" t="inlineStr">
        <is>
          <t>Cause 4</t>
        </is>
      </c>
      <c r="F65" s="361" t="inlineStr">
        <is>
          <t>Cause 5</t>
        </is>
      </c>
      <c r="G65" s="32" t="n"/>
      <c r="H65" s="32" t="n"/>
    </row>
    <row r="66" ht="29.85" customHeight="1">
      <c r="A66" s="229" t="inlineStr">
        <is>
          <t xml:space="preserve">Market Inventory  </t>
        </is>
      </c>
      <c r="B66" s="388" t="inlineStr">
        <is>
          <t>Intransit inventory (due to ME situation)</t>
        </is>
      </c>
      <c r="C66" s="388" t="inlineStr">
        <is>
          <t xml:space="preserve">META-Hudut 41 systems </t>
        </is>
      </c>
      <c r="D66" s="388" t="inlineStr">
        <is>
          <t>EU : UKI stocking</t>
        </is>
      </c>
      <c r="E66" s="388" t="inlineStr">
        <is>
          <t>NAM FSL</t>
        </is>
      </c>
      <c r="F66" s="127" t="inlineStr">
        <is>
          <t>Europe DEMO</t>
        </is>
      </c>
      <c r="G66" s="32" t="n"/>
      <c r="H66" s="32" t="n"/>
    </row>
    <row r="67" ht="19.35" customHeight="1">
      <c r="A67" s="339" t="inlineStr">
        <is>
          <t>% impact on KPI gap</t>
        </is>
      </c>
      <c r="B67" s="106">
        <f>4/12</f>
        <v/>
      </c>
      <c r="C67" s="106">
        <f>3.3/12</f>
        <v/>
      </c>
      <c r="D67" s="106">
        <f>1.8/12</f>
        <v/>
      </c>
      <c r="E67" s="106">
        <f>0.3/12</f>
        <v/>
      </c>
      <c r="F67" s="42">
        <f>2.6/12</f>
        <v/>
      </c>
      <c r="G67" s="32" t="n"/>
      <c r="H67" s="32" t="n"/>
    </row>
    <row r="68" ht="19.35" customHeight="1">
      <c r="A68" s="150" t="inlineStr">
        <is>
          <t>Red KPI</t>
        </is>
      </c>
      <c r="B68" s="361" t="inlineStr">
        <is>
          <t xml:space="preserve">Cause 1 </t>
        </is>
      </c>
      <c r="C68" s="361" t="inlineStr">
        <is>
          <t>Cause 2</t>
        </is>
      </c>
      <c r="D68" s="361" t="inlineStr">
        <is>
          <t>Cause 3</t>
        </is>
      </c>
      <c r="E68" s="361" t="inlineStr">
        <is>
          <t>Cause 4</t>
        </is>
      </c>
      <c r="F68" s="361" t="inlineStr">
        <is>
          <t>Cause 5</t>
        </is>
      </c>
      <c r="G68" s="32" t="n"/>
      <c r="H68" s="32" t="n"/>
    </row>
    <row r="69" ht="42" customHeight="1">
      <c r="A69" s="229" t="inlineStr">
        <is>
          <t>OOH% to revunue in Qtr.</t>
        </is>
      </c>
      <c r="B69" s="393" t="inlineStr">
        <is>
          <t>NAM</t>
        </is>
      </c>
      <c r="C69" s="230" t="inlineStr">
        <is>
          <t>Europe</t>
        </is>
      </c>
      <c r="D69" s="388" t="inlineStr">
        <is>
          <t>Growth</t>
        </is>
      </c>
      <c r="E69" s="388" t="n"/>
      <c r="F69" s="127" t="n"/>
      <c r="G69" s="32" t="n"/>
      <c r="I69" s="32" t="n"/>
    </row>
    <row r="70" ht="19.35" customHeight="1">
      <c r="A70" s="229" t="inlineStr">
        <is>
          <t>% impact on KPI gap</t>
        </is>
      </c>
      <c r="B70" s="106" t="n">
        <v>0.74</v>
      </c>
      <c r="C70" s="106" t="n">
        <v>0.65</v>
      </c>
      <c r="D70" s="106" t="n">
        <v>0.44</v>
      </c>
      <c r="E70" s="106" t="n"/>
      <c r="F70" s="42" t="n"/>
      <c r="G70" s="32" t="n"/>
      <c r="H70" s="32" t="n"/>
    </row>
    <row r="71" ht="19.35" customHeight="1">
      <c r="A71" s="150" t="inlineStr">
        <is>
          <t>Red KPI</t>
        </is>
      </c>
      <c r="B71" s="361" t="inlineStr">
        <is>
          <t xml:space="preserve">Cause 1 </t>
        </is>
      </c>
      <c r="C71" s="361" t="inlineStr">
        <is>
          <t>Cause 2</t>
        </is>
      </c>
      <c r="D71" s="254" t="n">
        <v>41852</v>
      </c>
      <c r="E71" s="361" t="inlineStr">
        <is>
          <t>Cause 4</t>
        </is>
      </c>
      <c r="F71" s="361" t="inlineStr">
        <is>
          <t>Cause 5</t>
        </is>
      </c>
      <c r="G71" s="32" t="n"/>
      <c r="H71" s="32" t="n"/>
    </row>
    <row r="72" ht="58.5" customHeight="1">
      <c r="A72" s="339" t="inlineStr">
        <is>
          <t>Inventory</t>
        </is>
      </c>
      <c r="B72" s="127" t="inlineStr">
        <is>
          <t>Market Inventory</t>
        </is>
      </c>
      <c r="C72" s="127" t="inlineStr">
        <is>
          <t>UIEP correction</t>
        </is>
      </c>
      <c r="D72" s="127" t="n"/>
      <c r="E72" s="127" t="n"/>
      <c r="F72" s="41" t="n"/>
      <c r="G72" s="32" t="n"/>
      <c r="H72" s="32" t="n"/>
    </row>
    <row r="73" ht="19.35" customHeight="1">
      <c r="A73" s="229" t="inlineStr">
        <is>
          <t>% impact on KPI gap</t>
        </is>
      </c>
      <c r="B73" s="42" t="n">
        <v>0.9</v>
      </c>
      <c r="C73" s="42" t="n">
        <v>0.1</v>
      </c>
      <c r="D73" s="42" t="n"/>
      <c r="E73" s="42" t="n"/>
      <c r="F73" s="42" t="n"/>
    </row>
    <row r="74" ht="19.35" customHeight="1">
      <c r="A74" s="150" t="inlineStr">
        <is>
          <t>Red KPI</t>
        </is>
      </c>
      <c r="B74" s="361" t="inlineStr">
        <is>
          <t xml:space="preserve">Cause 1 </t>
        </is>
      </c>
      <c r="C74" s="361" t="inlineStr">
        <is>
          <t>Cause 2</t>
        </is>
      </c>
      <c r="D74" s="361" t="inlineStr">
        <is>
          <t>Cause 3</t>
        </is>
      </c>
      <c r="E74" s="361" t="inlineStr">
        <is>
          <t>Cause 4</t>
        </is>
      </c>
      <c r="F74" s="361" t="inlineStr">
        <is>
          <t>Cause 5</t>
        </is>
      </c>
    </row>
    <row r="75" ht="30.6" customHeight="1">
      <c r="A75" s="339" t="inlineStr">
        <is>
          <t>Sales</t>
        </is>
      </c>
      <c r="B75" s="41" t="inlineStr">
        <is>
          <t>NAR</t>
        </is>
      </c>
      <c r="C75" s="41" t="inlineStr">
        <is>
          <t>Europe</t>
        </is>
      </c>
      <c r="D75" s="41" t="inlineStr">
        <is>
          <t>Growth</t>
        </is>
      </c>
      <c r="E75" s="41" t="n"/>
      <c r="F75" s="41" t="n"/>
    </row>
    <row r="76" ht="19.35" customHeight="1">
      <c r="A76" s="229" t="inlineStr">
        <is>
          <t>% impact on KPI gap</t>
        </is>
      </c>
      <c r="B76" s="42" t="n">
        <v>0.45</v>
      </c>
      <c r="C76" s="42" t="n">
        <v>0.33</v>
      </c>
      <c r="D76" s="42" t="n">
        <v>0.22</v>
      </c>
      <c r="E76" s="42" t="n"/>
      <c r="F76" s="42" t="n"/>
    </row>
    <row r="77" ht="19.35" customHeight="1">
      <c r="A77" s="150" t="inlineStr">
        <is>
          <t>Red KPI</t>
        </is>
      </c>
      <c r="B77" s="361" t="inlineStr">
        <is>
          <t xml:space="preserve">Cause 1 </t>
        </is>
      </c>
      <c r="C77" s="361" t="inlineStr">
        <is>
          <t>Cause 2</t>
        </is>
      </c>
      <c r="D77" s="361" t="inlineStr">
        <is>
          <t>Cause 3</t>
        </is>
      </c>
      <c r="E77" s="361" t="inlineStr">
        <is>
          <t>Cause 4</t>
        </is>
      </c>
      <c r="F77" s="361" t="inlineStr">
        <is>
          <t>Cause 5</t>
        </is>
      </c>
    </row>
    <row r="78" ht="19.35" customHeight="1">
      <c r="A78" s="339" t="n"/>
      <c r="B78" s="41" t="n"/>
      <c r="C78" s="41" t="n"/>
      <c r="D78" s="41" t="n"/>
      <c r="E78" s="41" t="n"/>
      <c r="F78" s="41" t="n"/>
    </row>
    <row r="79" ht="19.35" customHeight="1">
      <c r="A79" s="339" t="n"/>
      <c r="B79" s="42" t="n"/>
      <c r="C79" s="42" t="n"/>
      <c r="D79" s="42" t="n"/>
      <c r="E79" s="42" t="n"/>
      <c r="F79" s="42" t="n"/>
    </row>
    <row r="80" ht="21" customHeight="1">
      <c r="A80" s="449" t="inlineStr">
        <is>
          <t>Paretos for RCA</t>
        </is>
      </c>
    </row>
    <row r="95" ht="15" customHeight="1" thickBot="1">
      <c r="W95" s="15" t="n"/>
      <c r="X95" s="15" t="n"/>
      <c r="Y95" s="15" t="n"/>
      <c r="Z95" s="15" t="n"/>
      <c r="AA95" s="15" t="n"/>
      <c r="AB95" s="15" t="n"/>
      <c r="AC95" s="15" t="n"/>
      <c r="AD95" s="15" t="n"/>
      <c r="AE95" s="15" t="n"/>
      <c r="AF95" s="15" t="n"/>
      <c r="AG95" s="15" t="n"/>
      <c r="AH95" s="15" t="n"/>
      <c r="AI95" s="15" t="n"/>
    </row>
    <row r="96" ht="18.95" customHeight="1" thickBot="1">
      <c r="A96" s="695" t="inlineStr">
        <is>
          <t>Action tracker</t>
        </is>
      </c>
      <c r="B96" s="696" t="n"/>
      <c r="C96" s="696" t="n"/>
      <c r="D96" s="696" t="n"/>
      <c r="E96" s="696" t="n"/>
      <c r="F96" s="697" t="n"/>
      <c r="H96" s="698" t="inlineStr">
        <is>
          <t>Handshake Escalations/Support required</t>
        </is>
      </c>
      <c r="I96" s="696" t="n"/>
      <c r="J96" s="696" t="n"/>
      <c r="K96" s="696" t="n"/>
      <c r="L96" s="696" t="n"/>
      <c r="M96" s="696" t="n"/>
      <c r="N96" s="696" t="n"/>
      <c r="O96" s="697" t="n"/>
    </row>
    <row r="97" ht="41.85" customFormat="1" customHeight="1" s="15">
      <c r="A97" s="340" t="inlineStr">
        <is>
          <t>Red KPI</t>
        </is>
      </c>
      <c r="B97" s="17" t="inlineStr">
        <is>
          <t>Root cause description</t>
        </is>
      </c>
      <c r="C97" s="18" t="inlineStr">
        <is>
          <t>Corrective action</t>
        </is>
      </c>
      <c r="D97" s="19" t="inlineStr">
        <is>
          <t>Owner</t>
        </is>
      </c>
      <c r="E97" s="17" t="inlineStr">
        <is>
          <t>Due Date</t>
        </is>
      </c>
      <c r="F97" s="20" t="inlineStr">
        <is>
          <t>Status</t>
        </is>
      </c>
      <c r="H97" s="21" t="inlineStr">
        <is>
          <t>KPI Name</t>
        </is>
      </c>
      <c r="I97" s="22" t="inlineStr">
        <is>
          <t>Key Dependency</t>
        </is>
      </c>
      <c r="J97" s="22" t="inlineStr">
        <is>
          <t>Function Name</t>
        </is>
      </c>
      <c r="K97" s="23" t="inlineStr">
        <is>
          <t>What action/s from
 Function is expected</t>
        </is>
      </c>
      <c r="L97" s="23" t="inlineStr">
        <is>
          <t>Success measure for
Action Closure</t>
        </is>
      </c>
      <c r="M97" s="24" t="inlineStr">
        <is>
          <t>Handshaked
(Yes or No)</t>
        </is>
      </c>
      <c r="N97" s="23" t="inlineStr">
        <is>
          <t>Open issue description</t>
        </is>
      </c>
      <c r="O97" s="36" t="inlineStr">
        <is>
          <t>Solutions to 
Open issues</t>
        </is>
      </c>
    </row>
    <row r="98" ht="17.1" customHeight="1">
      <c r="A98" s="729" t="inlineStr">
        <is>
          <t>Production units</t>
        </is>
      </c>
      <c r="B98" s="388" t="inlineStr">
        <is>
          <t>E-component shortage: MVS PC(Supplier Pune Factory) - Due to STC cable shortage - Bizlink</t>
        </is>
      </c>
      <c r="C98" s="388" t="inlineStr">
        <is>
          <t>S&amp;OP with supplier to get better allocation of e-components and demand flutuations</t>
        </is>
      </c>
      <c r="D98" s="388" t="inlineStr">
        <is>
          <t>Anand</t>
        </is>
      </c>
      <c r="E98" s="379" t="inlineStr">
        <is>
          <t>Ongoing</t>
        </is>
      </c>
      <c r="F98" s="700" t="n">
        <v>4</v>
      </c>
      <c r="H98" s="699" t="n"/>
      <c r="I98" s="701" t="n"/>
      <c r="J98" s="701" t="n"/>
      <c r="K98" s="701" t="n"/>
      <c r="L98" s="701" t="n"/>
      <c r="M98" s="703" t="n"/>
      <c r="N98" s="701" t="n"/>
      <c r="O98" s="704" t="n"/>
    </row>
    <row r="99" ht="53.25" customHeight="1">
      <c r="A99" s="705" t="n"/>
      <c r="B99" s="671" t="n"/>
      <c r="C99" s="671" t="n"/>
      <c r="D99" s="671" t="n"/>
      <c r="E99" s="671" t="n"/>
      <c r="F99" s="672" t="n"/>
      <c r="H99" s="705" t="n"/>
      <c r="I99" s="671" t="n"/>
      <c r="J99" s="671" t="n"/>
      <c r="K99" s="671" t="n"/>
      <c r="L99" s="671" t="n"/>
      <c r="M99" s="671" t="n"/>
      <c r="N99" s="671" t="n"/>
      <c r="O99" s="672" t="n"/>
    </row>
    <row r="100" ht="57" customHeight="1">
      <c r="A100" s="364" t="inlineStr">
        <is>
          <t>Production units</t>
        </is>
      </c>
      <c r="B100" s="333" t="inlineStr">
        <is>
          <t>FD 12 Grid (Supplier BEST factory) - due to lgs challenges at Mumbai Airport</t>
        </is>
      </c>
      <c r="C100" s="402" t="inlineStr">
        <is>
          <t>Connect with forwarders for better port execution alerts and alternative port</t>
        </is>
      </c>
      <c r="D100" s="401" t="inlineStr">
        <is>
          <t>Lakshman</t>
        </is>
      </c>
      <c r="E100" s="307" t="inlineStr">
        <is>
          <t>Ongoing</t>
        </is>
      </c>
      <c r="F100" s="371" t="n">
        <v>2</v>
      </c>
      <c r="H100" s="501" t="n"/>
      <c r="I100" s="528" t="n"/>
      <c r="J100" s="528" t="n"/>
      <c r="K100" s="528" t="n"/>
      <c r="L100" s="528" t="n"/>
      <c r="M100" s="535" t="n"/>
      <c r="N100" s="528" t="n"/>
      <c r="O100" s="539" t="n"/>
    </row>
    <row r="101" ht="27.75" customHeight="1">
      <c r="A101" s="538" t="inlineStr">
        <is>
          <t xml:space="preserve">Market Inventory  </t>
        </is>
      </c>
      <c r="B101" s="388" t="inlineStr">
        <is>
          <t>Intransit inventory (due to ME situation)</t>
        </is>
      </c>
      <c r="C101" s="529" t="inlineStr">
        <is>
          <t xml:space="preserve">Closely monitor in transit inventory </t>
        </is>
      </c>
      <c r="D101" s="529" t="inlineStr">
        <is>
          <t>Souvik</t>
        </is>
      </c>
      <c r="E101" s="321" t="inlineStr">
        <is>
          <t>Ongoing</t>
        </is>
      </c>
      <c r="F101" s="531" t="n">
        <v>2</v>
      </c>
      <c r="H101" s="501" t="n"/>
      <c r="I101" s="528" t="n"/>
      <c r="J101" s="528" t="n"/>
      <c r="K101" s="528" t="n"/>
      <c r="L101" s="528" t="n"/>
      <c r="M101" s="535" t="n"/>
      <c r="N101" s="528" t="n"/>
      <c r="O101" s="539" t="n"/>
    </row>
    <row r="102" ht="17.1" customHeight="1">
      <c r="A102" s="537" t="inlineStr">
        <is>
          <t xml:space="preserve">Market Inventory  </t>
        </is>
      </c>
      <c r="B102" s="465" t="inlineStr">
        <is>
          <t>14 Hudut systems in market</t>
        </is>
      </c>
      <c r="C102" s="398" t="inlineStr">
        <is>
          <t>Convert all Hudut system into rev in Q3</t>
        </is>
      </c>
      <c r="D102" s="398" t="inlineStr">
        <is>
          <t>Ranga</t>
        </is>
      </c>
      <c r="E102" s="730" t="n">
        <v>46295</v>
      </c>
      <c r="F102" s="531" t="n">
        <v>5</v>
      </c>
      <c r="H102" s="699" t="n"/>
      <c r="I102" s="701" t="n"/>
      <c r="J102" s="701" t="n"/>
      <c r="K102" s="701" t="n"/>
      <c r="L102" s="701" t="n"/>
      <c r="M102" s="703" t="n"/>
      <c r="N102" s="701" t="n"/>
      <c r="O102" s="704" t="n"/>
    </row>
    <row r="103" ht="16.5" customHeight="1">
      <c r="A103" s="674" t="n"/>
      <c r="B103" s="671" t="n"/>
      <c r="C103" s="671" t="n"/>
      <c r="D103" s="671" t="n"/>
      <c r="E103" s="687" t="n"/>
      <c r="F103" s="674" t="n"/>
      <c r="H103" s="705" t="n"/>
      <c r="I103" s="671" t="n"/>
      <c r="J103" s="671" t="n"/>
      <c r="K103" s="671" t="n"/>
      <c r="L103" s="671" t="n"/>
      <c r="M103" s="671" t="n"/>
      <c r="N103" s="671" t="n"/>
      <c r="O103" s="672" t="n"/>
    </row>
    <row r="104" ht="23.25" customHeight="1">
      <c r="A104" s="538" t="inlineStr">
        <is>
          <t xml:space="preserve">Market Inventory  </t>
        </is>
      </c>
      <c r="B104" s="529" t="inlineStr">
        <is>
          <t xml:space="preserve">EU :  Stocking systems in UKI </t>
        </is>
      </c>
      <c r="C104" s="529" t="inlineStr">
        <is>
          <t>Ensure Demo/ Stock units conversion to revenue</t>
        </is>
      </c>
      <c r="D104" s="529" t="inlineStr">
        <is>
          <t>Silvia</t>
        </is>
      </c>
      <c r="E104" s="530" t="inlineStr">
        <is>
          <t>NOV</t>
        </is>
      </c>
      <c r="F104" s="531" t="n">
        <v>2</v>
      </c>
      <c r="H104" s="699" t="n"/>
      <c r="I104" s="701" t="n"/>
      <c r="J104" s="701" t="n"/>
      <c r="K104" s="701" t="n"/>
      <c r="L104" s="701" t="n"/>
      <c r="M104" s="703" t="n"/>
      <c r="N104" s="701" t="n"/>
      <c r="O104" s="704" t="n"/>
    </row>
    <row r="105" ht="24.75" customHeight="1">
      <c r="A105" s="674" t="n"/>
      <c r="B105" s="674" t="n"/>
      <c r="C105" s="674" t="n"/>
      <c r="D105" s="674" t="n"/>
      <c r="E105" s="731" t="n"/>
      <c r="F105" s="674" t="n"/>
      <c r="H105" s="705" t="n"/>
      <c r="I105" s="671" t="n"/>
      <c r="J105" s="671" t="n"/>
      <c r="K105" s="671" t="n"/>
      <c r="L105" s="671" t="n"/>
      <c r="M105" s="671" t="n"/>
      <c r="N105" s="671" t="n"/>
      <c r="O105" s="672" t="n"/>
    </row>
    <row r="106" ht="66.75" customHeight="1">
      <c r="A106" s="538" t="inlineStr">
        <is>
          <t xml:space="preserve">Market Inventory  </t>
        </is>
      </c>
      <c r="B106" s="529" t="inlineStr">
        <is>
          <t xml:space="preserve">NAR FSL stock </t>
        </is>
      </c>
      <c r="C106" s="529" t="inlineStr">
        <is>
          <t>Drive Q4 B&amp;B to convert FSL stock to revenue conversion</t>
        </is>
      </c>
      <c r="D106" s="529" t="inlineStr">
        <is>
          <t>Sarah</t>
        </is>
      </c>
      <c r="E106" s="297" t="inlineStr">
        <is>
          <t>Nov</t>
        </is>
      </c>
      <c r="F106" s="531" t="n">
        <v>3</v>
      </c>
      <c r="H106" s="464" t="n"/>
      <c r="I106" s="463" t="n"/>
      <c r="J106" s="463" t="n"/>
      <c r="K106" s="463" t="n"/>
      <c r="L106" s="463" t="n"/>
      <c r="M106" s="462" t="n"/>
      <c r="N106" s="463" t="n"/>
      <c r="O106" s="491" t="n"/>
    </row>
    <row r="107" ht="66.75" customHeight="1">
      <c r="A107" s="538" t="inlineStr">
        <is>
          <t xml:space="preserve">Market Inventory  </t>
        </is>
      </c>
      <c r="B107" s="529" t="inlineStr">
        <is>
          <t>EU : Demo order liquidation</t>
        </is>
      </c>
      <c r="C107" s="529" t="inlineStr">
        <is>
          <t>52/72 demo orders have customer tagging and delivery planned in Q4</t>
        </is>
      </c>
      <c r="D107" s="529" t="inlineStr">
        <is>
          <t>Silvia</t>
        </is>
      </c>
      <c r="E107" s="530" t="n">
        <v>46387</v>
      </c>
      <c r="F107" s="531" t="n">
        <v>4</v>
      </c>
      <c r="H107" s="501" t="n"/>
      <c r="I107" s="528" t="n"/>
      <c r="J107" s="528" t="n"/>
      <c r="K107" s="528" t="n"/>
      <c r="L107" s="528" t="n"/>
      <c r="M107" s="535" t="n"/>
      <c r="N107" s="528" t="n"/>
      <c r="O107" s="539" t="n"/>
    </row>
    <row r="108" ht="66.75" customHeight="1">
      <c r="A108" s="229" t="inlineStr">
        <is>
          <t>OOH% to revunue in Qtr.</t>
        </is>
      </c>
      <c r="B108" s="529" t="inlineStr">
        <is>
          <t>NAR ,EU ,Growth</t>
        </is>
      </c>
      <c r="C108" s="529" t="inlineStr">
        <is>
          <t>Drive B&amp;B OIT</t>
        </is>
      </c>
      <c r="D108" s="529" t="inlineStr">
        <is>
          <t>RBLs</t>
        </is>
      </c>
      <c r="E108" s="530" t="n">
        <v>46325</v>
      </c>
      <c r="F108" s="531" t="n">
        <v>2</v>
      </c>
      <c r="H108" s="501" t="n"/>
      <c r="I108" s="528" t="n"/>
      <c r="J108" s="528" t="n"/>
      <c r="K108" s="528" t="n"/>
      <c r="L108" s="528" t="n"/>
      <c r="M108" s="535" t="n"/>
      <c r="N108" s="528" t="n"/>
      <c r="O108" s="539" t="n"/>
    </row>
    <row r="109" ht="66.75" customHeight="1">
      <c r="A109" s="538" t="inlineStr">
        <is>
          <t>OOH%</t>
        </is>
      </c>
      <c r="B109" s="529" t="inlineStr">
        <is>
          <t>Convert Funnel to OIT 4 M</t>
        </is>
      </c>
      <c r="C109" s="529" t="inlineStr">
        <is>
          <t>OIT conversion</t>
        </is>
      </c>
      <c r="D109" s="529" t="inlineStr">
        <is>
          <t>Sarah and Mark</t>
        </is>
      </c>
      <c r="E109" s="530" t="inlineStr">
        <is>
          <t>Sept</t>
        </is>
      </c>
      <c r="F109" s="531" t="n">
        <v>4</v>
      </c>
      <c r="H109" s="501" t="n"/>
      <c r="I109" s="528" t="n"/>
      <c r="J109" s="528" t="n"/>
      <c r="K109" s="528" t="n"/>
      <c r="L109" s="528" t="n"/>
      <c r="M109" s="535" t="n"/>
      <c r="N109" s="528" t="n"/>
      <c r="O109" s="539" t="n"/>
    </row>
    <row r="110" ht="16.5" customHeight="1">
      <c r="A110" s="532" t="inlineStr">
        <is>
          <t>OOH %</t>
        </is>
      </c>
      <c r="B110" s="401" t="inlineStr">
        <is>
          <t>EU B&amp;B OIT  for Q4 : 7M</t>
        </is>
      </c>
      <c r="C110" s="401" t="inlineStr">
        <is>
          <t>Drive Q4 revenue convertible OIT</t>
        </is>
      </c>
      <c r="D110" s="401" t="inlineStr">
        <is>
          <t>Silvia</t>
        </is>
      </c>
      <c r="E110" s="403" t="inlineStr">
        <is>
          <t>Nov</t>
        </is>
      </c>
      <c r="F110" s="404" t="n">
        <v>2</v>
      </c>
      <c r="H110" s="372" t="n"/>
      <c r="I110" s="373" t="n"/>
      <c r="J110" s="373" t="n"/>
      <c r="K110" s="373" t="n"/>
      <c r="L110" s="373" t="n"/>
      <c r="M110" s="368" t="n"/>
      <c r="N110" s="373" t="n"/>
      <c r="O110" s="374" t="n"/>
    </row>
    <row r="111" ht="16.5" customHeight="1">
      <c r="A111" s="732" t="n"/>
      <c r="B111" s="685" t="n"/>
      <c r="C111" s="685" t="n"/>
      <c r="D111" s="685" t="n"/>
      <c r="E111" s="685" t="n"/>
      <c r="F111" s="733" t="n"/>
      <c r="H111" s="732" t="n"/>
      <c r="I111" s="685" t="n"/>
      <c r="J111" s="685" t="n"/>
      <c r="K111" s="685" t="n"/>
      <c r="L111" s="685" t="n"/>
      <c r="M111" s="685" t="n"/>
      <c r="N111" s="685" t="n"/>
      <c r="O111" s="733" t="n"/>
    </row>
    <row r="112" ht="45.6" customHeight="1">
      <c r="A112" s="538" t="inlineStr">
        <is>
          <t>Inventory</t>
        </is>
      </c>
      <c r="B112" s="529" t="inlineStr">
        <is>
          <t xml:space="preserve">Market Inventory </t>
        </is>
      </c>
      <c r="C112" s="529" t="inlineStr">
        <is>
          <t>Market inventory liquidation to revenue</t>
        </is>
      </c>
      <c r="D112" s="529" t="inlineStr">
        <is>
          <t>RBLs</t>
        </is>
      </c>
      <c r="E112" s="297" t="n">
        <v>46387</v>
      </c>
      <c r="F112" s="531" t="n">
        <v>2</v>
      </c>
      <c r="H112" s="176" t="n"/>
      <c r="I112" s="177" t="n"/>
      <c r="J112" s="177" t="n"/>
      <c r="K112" s="177" t="n"/>
      <c r="L112" s="177" t="n"/>
      <c r="M112" s="15" t="n"/>
      <c r="N112" s="177" t="n"/>
      <c r="O112" s="177" t="n"/>
    </row>
    <row r="113" ht="41.45" customHeight="1">
      <c r="A113" s="538" t="inlineStr">
        <is>
          <t>Inventory</t>
        </is>
      </c>
      <c r="B113" s="529" t="inlineStr">
        <is>
          <t>UIEP correction</t>
        </is>
      </c>
      <c r="C113" s="529" t="inlineStr">
        <is>
          <t>Deep dive in COE inventory team to capture correct UIEP factor for MoS</t>
        </is>
      </c>
      <c r="D113" s="529" t="inlineStr">
        <is>
          <t>Souvik</t>
        </is>
      </c>
      <c r="E113" s="297" t="n">
        <v>46356</v>
      </c>
      <c r="F113" s="531" t="n">
        <v>2</v>
      </c>
      <c r="H113" s="176" t="n"/>
      <c r="I113" s="177" t="n"/>
      <c r="J113" s="177" t="n"/>
      <c r="K113" s="177" t="n"/>
      <c r="L113" s="177" t="n"/>
      <c r="M113" s="15" t="n"/>
      <c r="N113" s="177" t="n"/>
      <c r="O113" s="177" t="n"/>
    </row>
    <row r="114" ht="27.95" customHeight="1" thickBot="1">
      <c r="A114" s="538" t="inlineStr">
        <is>
          <t>Sales</t>
        </is>
      </c>
      <c r="B114" s="529" t="inlineStr">
        <is>
          <t xml:space="preserve">OIT phasing  </t>
        </is>
      </c>
      <c r="C114" s="336" t="inlineStr">
        <is>
          <t>Drive B&amp;B OIT to meet 2026 revenue target</t>
        </is>
      </c>
      <c r="D114" s="529" t="inlineStr">
        <is>
          <t>RBLs</t>
        </is>
      </c>
      <c r="E114" s="297" t="n">
        <v>46356</v>
      </c>
      <c r="F114" s="531" t="n">
        <v>2</v>
      </c>
      <c r="H114" s="176" t="n"/>
      <c r="I114" s="177" t="n"/>
      <c r="J114" s="177" t="n"/>
      <c r="K114" s="177" t="n"/>
      <c r="L114" s="177" t="n"/>
      <c r="M114" s="15" t="n"/>
      <c r="N114" s="177" t="n"/>
      <c r="O114" s="177" t="n"/>
    </row>
    <row r="115">
      <c r="A115" s="276" t="inlineStr">
        <is>
          <t xml:space="preserve">         Action not assigned</t>
        </is>
      </c>
      <c r="B115" s="34" t="inlineStr">
        <is>
          <t>Action assigned</t>
        </is>
      </c>
      <c r="C115" s="35" t="inlineStr">
        <is>
          <t>Action started</t>
        </is>
      </c>
      <c r="D115" s="35" t="inlineStr">
        <is>
          <t>Action in progress</t>
        </is>
      </c>
      <c r="E115" s="165" t="inlineStr">
        <is>
          <t>Action completed</t>
        </is>
      </c>
      <c r="F115" s="716" t="n"/>
      <c r="G115" s="639" t="n"/>
    </row>
    <row r="116">
      <c r="C116" s="639" t="n"/>
      <c r="D116" s="639" t="n"/>
      <c r="E116" s="639" t="n"/>
      <c r="F116" s="639" t="n"/>
      <c r="G116" s="639" t="n"/>
    </row>
    <row r="117">
      <c r="C117" s="639" t="n"/>
      <c r="D117" s="639" t="n"/>
      <c r="E117" s="639" t="n"/>
      <c r="F117" s="639" t="n"/>
      <c r="G117" s="639" t="n"/>
      <c r="H117" s="639" t="n"/>
    </row>
  </sheetData>
  <mergeCells count="170">
    <mergeCell ref="E39:E40"/>
    <mergeCell ref="E8:E9"/>
    <mergeCell ref="G8:G9"/>
    <mergeCell ref="L110:L111"/>
    <mergeCell ref="C29:C30"/>
    <mergeCell ref="I104:I105"/>
    <mergeCell ref="K104:K105"/>
    <mergeCell ref="H102:H103"/>
    <mergeCell ref="M98:M99"/>
    <mergeCell ref="A16:A17"/>
    <mergeCell ref="J102:J103"/>
    <mergeCell ref="C16:C17"/>
    <mergeCell ref="C10:C11"/>
    <mergeCell ref="E10:E11"/>
    <mergeCell ref="A26:C26"/>
    <mergeCell ref="B14:B15"/>
    <mergeCell ref="G10:G11"/>
    <mergeCell ref="F18:F19"/>
    <mergeCell ref="B29:B30"/>
    <mergeCell ref="J98:J99"/>
    <mergeCell ref="D16:D17"/>
    <mergeCell ref="B6:B7"/>
    <mergeCell ref="G18:G19"/>
    <mergeCell ref="B37:B38"/>
    <mergeCell ref="F31:F32"/>
    <mergeCell ref="G33:G34"/>
    <mergeCell ref="A22:A23"/>
    <mergeCell ref="D18:D19"/>
    <mergeCell ref="A33:A34"/>
    <mergeCell ref="D8:D9"/>
    <mergeCell ref="F37:F38"/>
    <mergeCell ref="A20:A21"/>
    <mergeCell ref="O110:O111"/>
    <mergeCell ref="G35:G36"/>
    <mergeCell ref="A59:I59"/>
    <mergeCell ref="A35:A36"/>
    <mergeCell ref="G22:G23"/>
    <mergeCell ref="D10:D11"/>
    <mergeCell ref="B104:B105"/>
    <mergeCell ref="D98:D99"/>
    <mergeCell ref="A102:A103"/>
    <mergeCell ref="F98:F99"/>
    <mergeCell ref="E115:F115"/>
    <mergeCell ref="C6:C7"/>
    <mergeCell ref="M102:M103"/>
    <mergeCell ref="F16:F17"/>
    <mergeCell ref="C14:C15"/>
    <mergeCell ref="C98:C99"/>
    <mergeCell ref="O102:O103"/>
    <mergeCell ref="E14:E15"/>
    <mergeCell ref="B35:B36"/>
    <mergeCell ref="A110:A111"/>
    <mergeCell ref="A61:A62"/>
    <mergeCell ref="F20:F21"/>
    <mergeCell ref="G39:G40"/>
    <mergeCell ref="F35:F36"/>
    <mergeCell ref="O98:O99"/>
    <mergeCell ref="F22:F23"/>
    <mergeCell ref="A37:A38"/>
    <mergeCell ref="F33:F34"/>
    <mergeCell ref="F110:F111"/>
    <mergeCell ref="C31:C32"/>
    <mergeCell ref="H110:H111"/>
    <mergeCell ref="E31:E32"/>
    <mergeCell ref="A8:A9"/>
    <mergeCell ref="C8:C9"/>
    <mergeCell ref="M104:M105"/>
    <mergeCell ref="O104:O105"/>
    <mergeCell ref="E104:E105"/>
    <mergeCell ref="D37:D38"/>
    <mergeCell ref="D102:D103"/>
    <mergeCell ref="I98:I99"/>
    <mergeCell ref="F102:F103"/>
    <mergeCell ref="A10:A11"/>
    <mergeCell ref="D39:D40"/>
    <mergeCell ref="C102:C103"/>
    <mergeCell ref="H104:H105"/>
    <mergeCell ref="A39:A40"/>
    <mergeCell ref="B16:B17"/>
    <mergeCell ref="C18:C19"/>
    <mergeCell ref="F10:F11"/>
    <mergeCell ref="F24:F25"/>
    <mergeCell ref="B31:B32"/>
    <mergeCell ref="B18:B19"/>
    <mergeCell ref="C20:C21"/>
    <mergeCell ref="E20:E21"/>
    <mergeCell ref="E29:E30"/>
    <mergeCell ref="B8:B9"/>
    <mergeCell ref="A6:A7"/>
    <mergeCell ref="K110:K111"/>
    <mergeCell ref="M110:M111"/>
    <mergeCell ref="C22:C23"/>
    <mergeCell ref="F8:F9"/>
    <mergeCell ref="B98:B99"/>
    <mergeCell ref="G6:G7"/>
    <mergeCell ref="J104:J105"/>
    <mergeCell ref="G37:G38"/>
    <mergeCell ref="L104:L105"/>
    <mergeCell ref="I102:I103"/>
    <mergeCell ref="N98:N99"/>
    <mergeCell ref="G24:G25"/>
    <mergeCell ref="K102:K103"/>
    <mergeCell ref="A3:B3"/>
    <mergeCell ref="A14:A15"/>
    <mergeCell ref="K98:K99"/>
    <mergeCell ref="A104:A105"/>
    <mergeCell ref="B33:B34"/>
    <mergeCell ref="F39:F40"/>
    <mergeCell ref="B20:B21"/>
    <mergeCell ref="C39:C40"/>
    <mergeCell ref="E16:E17"/>
    <mergeCell ref="D20:D21"/>
    <mergeCell ref="G16:G17"/>
    <mergeCell ref="D14:D15"/>
    <mergeCell ref="D29:D30"/>
    <mergeCell ref="F14:F15"/>
    <mergeCell ref="F29:F30"/>
    <mergeCell ref="J110:J111"/>
    <mergeCell ref="H96:O96"/>
    <mergeCell ref="B22:B23"/>
    <mergeCell ref="E18:E19"/>
    <mergeCell ref="D31:D32"/>
    <mergeCell ref="B110:B111"/>
    <mergeCell ref="D110:D111"/>
    <mergeCell ref="A31:A32"/>
    <mergeCell ref="A98:A99"/>
    <mergeCell ref="D6:D7"/>
    <mergeCell ref="N110:N111"/>
    <mergeCell ref="F6:F7"/>
    <mergeCell ref="A24:A25"/>
    <mergeCell ref="A60:B60"/>
    <mergeCell ref="C33:C34"/>
    <mergeCell ref="C104:C105"/>
    <mergeCell ref="E33:E34"/>
    <mergeCell ref="E98:E99"/>
    <mergeCell ref="B102:B103"/>
    <mergeCell ref="L102:L103"/>
    <mergeCell ref="N102:N103"/>
    <mergeCell ref="C35:C36"/>
    <mergeCell ref="B39:B40"/>
    <mergeCell ref="E35:E36"/>
    <mergeCell ref="D104:D105"/>
    <mergeCell ref="F104:F105"/>
    <mergeCell ref="H98:H99"/>
    <mergeCell ref="B61:F61"/>
    <mergeCell ref="E6:E7"/>
    <mergeCell ref="B10:B11"/>
    <mergeCell ref="A96:F96"/>
    <mergeCell ref="A18:A19"/>
    <mergeCell ref="B24:B25"/>
    <mergeCell ref="G20:G21"/>
    <mergeCell ref="D24:D25"/>
    <mergeCell ref="G29:G30"/>
    <mergeCell ref="C110:C111"/>
    <mergeCell ref="G14:G15"/>
    <mergeCell ref="D33:D34"/>
    <mergeCell ref="E110:E111"/>
    <mergeCell ref="A29:A30"/>
    <mergeCell ref="I110:I111"/>
    <mergeCell ref="N104:N105"/>
    <mergeCell ref="E22:E23"/>
    <mergeCell ref="C37:C38"/>
    <mergeCell ref="E37:E38"/>
    <mergeCell ref="E102:E103"/>
    <mergeCell ref="G31:G32"/>
    <mergeCell ref="C24:C25"/>
    <mergeCell ref="L98:L99"/>
    <mergeCell ref="D35:D36"/>
    <mergeCell ref="E24:E25"/>
    <mergeCell ref="D22:D23"/>
  </mergeCells>
  <conditionalFormatting sqref="A63:C63 A66:E66 A69 A72:D72 A75:D75 A78:F78 A98:A114 B64:E64 B67:E67 B69:F70 B73:D73 B76:D76 B79:F79 E63 E72:F73 E75:F76 F63:F64 F66:F67 H98:H114">
    <cfRule type="containsBlanks" priority="130" dxfId="3">
      <formula>LEN(TRIM(A63))=0</formula>
    </cfRule>
  </conditionalFormatting>
  <conditionalFormatting sqref="A6:G6 A8:G8 A10:G10">
    <cfRule type="containsBlanks" priority="134" dxfId="3">
      <formula>LEN(TRIM(A6))=0</formula>
    </cfRule>
  </conditionalFormatting>
  <conditionalFormatting sqref="A14:G14">
    <cfRule type="containsBlanks" priority="126" dxfId="3">
      <formula>LEN(TRIM(A14))=0</formula>
    </cfRule>
  </conditionalFormatting>
  <conditionalFormatting sqref="A16:G16">
    <cfRule type="containsBlanks" priority="125" dxfId="3">
      <formula>LEN(TRIM(A16))=0</formula>
    </cfRule>
  </conditionalFormatting>
  <conditionalFormatting sqref="A18:G18 A20:G20 A22:G22 B24:G24">
    <cfRule type="containsBlanks" priority="145" dxfId="3">
      <formula>LEN(TRIM(A18))=0</formula>
    </cfRule>
  </conditionalFormatting>
  <conditionalFormatting sqref="A29:G29 A31:G31 A35:G35">
    <cfRule type="containsBlanks" priority="119" dxfId="3">
      <formula>LEN(TRIM(A29))=0</formula>
    </cfRule>
  </conditionalFormatting>
  <conditionalFormatting sqref="B100:B101">
    <cfRule type="containsBlanks" priority="14" dxfId="3">
      <formula>LEN(TRIM(B100))=0</formula>
    </cfRule>
  </conditionalFormatting>
  <conditionalFormatting sqref="B98:E98 B102:D102 B110:E111">
    <cfRule type="containsBlanks" priority="140" dxfId="3">
      <formula>LEN(TRIM(B98))=0</formula>
    </cfRule>
  </conditionalFormatting>
  <conditionalFormatting sqref="B104:E104">
    <cfRule type="containsBlanks" priority="41" dxfId="3">
      <formula>LEN(TRIM(B104))=0</formula>
    </cfRule>
  </conditionalFormatting>
  <conditionalFormatting sqref="C39:G39">
    <cfRule type="containsBlanks" priority="76" dxfId="3">
      <formula>LEN(TRIM(C39))=0</formula>
    </cfRule>
  </conditionalFormatting>
  <conditionalFormatting sqref="D1 F1">
    <cfRule type="containsBlanks" priority="148" dxfId="3">
      <formula>LEN(TRIM(D1))=0</formula>
    </cfRule>
  </conditionalFormatting>
  <conditionalFormatting sqref="E100:E101">
    <cfRule type="containsBlanks" priority="15" dxfId="3">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priority="524" dxfId="19">
      <formula>AND(#REF!&lt;&gt;"",E98&lt;TODAY(),F98&lt;4)</formula>
    </cfRule>
  </conditionalFormatting>
  <conditionalFormatting sqref="F100:F102">
    <cfRule type="expression" priority="13" dxfId="19">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priority="43" dxfId="19">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priority="139" dxfId="3">
      <formula>LEN(TRIM(I98))=0</formula>
    </cfRule>
  </conditionalFormatting>
  <conditionalFormatting sqref="I7:T7 I9:T9 I11:T11 I17:T17 I19:T19 I21:T21 I23:T23 I25:T25">
    <cfRule type="expression" priority="138" dxfId="1" stopIfTrue="1">
      <formula>AND(OR($F6="Higher the better", $F6="Higher the Better"), I7&gt;=I6)</formula>
    </cfRule>
    <cfRule type="expression" priority="137" dxfId="0">
      <formula>AND(OR($F6="Higher the better", $F6="Higher the Better"), I7&lt;I6)</formula>
    </cfRule>
    <cfRule type="expression" priority="136" dxfId="1">
      <formula>AND(OR($F6="Lower the better", $F6="Lower the Better"), I7&lt;=I6)</formula>
    </cfRule>
    <cfRule type="expression" priority="135" dxfId="0">
      <formula>AND(OR($F6="Lower the better", $F6="Lower the Better"), I7&gt;I6)</formula>
    </cfRule>
  </conditionalFormatting>
  <conditionalFormatting sqref="I7:T7 I9:T9 I11:T11">
    <cfRule type="containsBlanks" priority="132" dxfId="3">
      <formula>LEN(TRIM(I7))=0</formula>
    </cfRule>
  </conditionalFormatting>
  <conditionalFormatting sqref="I15:T15 I17:T17 I19:T19 I21:T21 I25:T25">
    <cfRule type="containsBlanks" priority="133" dxfId="3">
      <formula>LEN(TRIM(I15))=0</formula>
    </cfRule>
  </conditionalFormatting>
  <conditionalFormatting sqref="I15:T15">
    <cfRule type="expression" priority="144" dxfId="1" stopIfTrue="1">
      <formula>AND(OR($F14="Higher the better", $F14="Higher the Better"), I15&gt;=I14)</formula>
    </cfRule>
    <cfRule type="expression" priority="143" dxfId="0">
      <formula>AND(OR($F14="Higher the better", $F14="Higher the Better"), I15&lt;I14)</formula>
    </cfRule>
    <cfRule type="expression" priority="141" dxfId="0">
      <formula>AND(OR($F14="Lower the better", $F14="Lower the Better"), I15&gt;I14)</formula>
    </cfRule>
    <cfRule type="expression" priority="142" dxfId="1">
      <formula>AND(OR($F14="Lower the better", $F14="Lower the Better"), I15&lt;=I14)</formula>
    </cfRule>
  </conditionalFormatting>
  <conditionalFormatting sqref="I23:T23">
    <cfRule type="containsBlanks" priority="131" dxfId="3">
      <formula>LEN(TRIM(I23))=0</formula>
    </cfRule>
  </conditionalFormatting>
  <conditionalFormatting sqref="I30:T30">
    <cfRule type="expression" priority="109" dxfId="0">
      <formula>AND(OR($F29="Higher the better", $F29="Higher the Better"), I30&lt;I29)</formula>
    </cfRule>
    <cfRule type="expression" priority="110" dxfId="1" stopIfTrue="1">
      <formula>AND(OR($F29="Higher the better", $F29="Higher the Better"), I30&gt;=I29)</formula>
    </cfRule>
    <cfRule type="containsBlanks" priority="106" dxfId="3">
      <formula>LEN(TRIM(I30))=0</formula>
    </cfRule>
    <cfRule type="expression" priority="107" dxfId="0">
      <formula>AND(OR($F29="Lower the better", $F29="Lower the Better"), I30&gt;I29)</formula>
    </cfRule>
    <cfRule type="expression" priority="108" dxfId="1">
      <formula>AND(OR($F29="Lower the better", $F29="Lower the Better"), I30&lt;=I29)</formula>
    </cfRule>
  </conditionalFormatting>
  <conditionalFormatting sqref="I32:T32">
    <cfRule type="expression" priority="47" dxfId="0">
      <formula>AND(OR($F31="Higher the better", $F31="Higher the Better"), I32&lt;I31)</formula>
    </cfRule>
    <cfRule type="expression" priority="46" dxfId="1">
      <formula>AND(OR($F31="Lower the better", $F31="Lower the Better"), I32&lt;=I31)</formula>
    </cfRule>
    <cfRule type="expression" priority="45" dxfId="0">
      <formula>AND(OR($F31="Lower the better", $F31="Lower the Better"), I32&gt;I31)</formula>
    </cfRule>
    <cfRule type="containsBlanks" priority="44" dxfId="3">
      <formula>LEN(TRIM(I32))=0</formula>
    </cfRule>
    <cfRule type="expression" priority="48" dxfId="1" stopIfTrue="1">
      <formula>AND(OR($F31="Higher the better", $F31="Higher the Better"), I32&gt;=I31)</formula>
    </cfRule>
  </conditionalFormatting>
  <conditionalFormatting sqref="I34:T34">
    <cfRule type="expression" priority="10" dxfId="1" stopIfTrue="1">
      <formula>AND(OR($F33="Higher the better", $F33="Higher the Better"), I34&gt;=I33)</formula>
    </cfRule>
    <cfRule type="expression" priority="9" dxfId="0">
      <formula>AND(OR($F33="Higher the better", $F33="Higher the Better"), I34&lt;I33)</formula>
    </cfRule>
    <cfRule type="expression" priority="7" dxfId="0">
      <formula>AND(OR($F33="Lower the better", $F33="Lower the Better"), I34&gt;I33)</formula>
    </cfRule>
    <cfRule type="containsBlanks" priority="6" dxfId="3">
      <formula>LEN(TRIM(I34))=0</formula>
    </cfRule>
    <cfRule type="expression" priority="8" dxfId="1">
      <formula>AND(OR($F33="Lower the better", $F33="Lower the Better"), I34&lt;=I33)</formula>
    </cfRule>
  </conditionalFormatting>
  <conditionalFormatting sqref="I36:T36">
    <cfRule type="containsBlanks" priority="1" dxfId="3">
      <formula>LEN(TRIM(I36))=0</formula>
    </cfRule>
    <cfRule type="expression" priority="5" dxfId="1" stopIfTrue="1">
      <formula>AND(OR($F35="Higher the better", $F35="Higher the Better"), I36&gt;=I35)</formula>
    </cfRule>
    <cfRule type="expression" priority="4" dxfId="0">
      <formula>AND(OR($F35="Higher the better", $F35="Higher the Better"), I36&lt;I35)</formula>
    </cfRule>
    <cfRule type="expression" priority="3" dxfId="1">
      <formula>AND(OR($F35="Lower the better", $F35="Lower the Better"), I36&lt;=I35)</formula>
    </cfRule>
    <cfRule type="expression" priority="2" dxfId="0">
      <formula>AND(OR($F35="Lower the better", $F35="Lower the Better"), I36&gt;I35)</formula>
    </cfRule>
  </conditionalFormatting>
  <conditionalFormatting sqref="I38:T38 I40:T40">
    <cfRule type="expression" priority="78" dxfId="1">
      <formula>AND(OR($F37="Lower the better", $F37="Lower the Better"), I38&lt;=I37)</formula>
    </cfRule>
    <cfRule type="expression" priority="77" dxfId="0">
      <formula>AND(OR($F37="Lower the better", $F37="Lower the Better"), I38&gt;I37)</formula>
    </cfRule>
    <cfRule type="expression" priority="80" dxfId="1" stopIfTrue="1">
      <formula>AND(OR($F37="Higher the better", $F37="Higher the Better"), I38&gt;=I37)</formula>
    </cfRule>
    <cfRule type="expression" priority="79" dxfId="0">
      <formula>AND(OR($F37="Higher the better", $F37="Higher the Better"), I38&lt;I37)</formula>
    </cfRule>
  </conditionalFormatting>
  <conditionalFormatting sqref="I38:T40">
    <cfRule type="containsBlanks" priority="75" dxfId="3">
      <formula>LEN(TRIM(I38))=0</formula>
    </cfRule>
  </conditionalFormatting>
  <conditionalFormatting sqref="M98:M114">
    <cfRule type="containsText" priority="127" operator="containsText" dxfId="6" text="No">
      <formula>NOT(ISERROR(SEARCH("No",M98)))</formula>
    </cfRule>
    <cfRule type="containsText" priority="128" operator="containsText" dxfId="5" text="Yes">
      <formula>NOT(ISERROR(SEARCH("Yes",M98)))</formula>
    </cfRule>
  </conditionalFormatting>
  <dataValidations count="7">
    <dataValidation sqref="F98:G98 F100:F101 F102:G102 F104:G104 F106:F109 F110:G111 F112:F114" showDropDown="0" showInputMessage="1" showErrorMessage="1" allowBlank="1" type="list">
      <formula1>"1,2,3,4,5"</formula1>
    </dataValidation>
    <dataValidation sqref="F6:F11 F14:F20 F22 F24:F25 F29:F33 F35:F37 F39:F40" showDropDown="0" showInputMessage="1" showErrorMessage="1" allowBlank="1" type="list">
      <formula1>"Higher the better, Lower the better"</formula1>
    </dataValidation>
    <dataValidation sqref="G6:G11 G14:G20 G22 G24:G25 G29:G33 G35:G37 G39:G40" showDropDown="0" showInputMessage="1" showErrorMessage="1" allowBlank="1" type="list">
      <formula1>"Monthly, Quarterly, Half yearly"</formula1>
    </dataValidation>
    <dataValidation sqref="C6:C11 C14:C20 C22 C24:C25 C29:C33 C35:C37 C39:C40" showDropDown="0" showInputMessage="1" showErrorMessage="1" allowBlank="1" type="list">
      <formula1>"&gt;, &lt;, &gt;=, &lt;=, ="</formula1>
    </dataValidation>
    <dataValidation sqref="M98 M102 M104 M110:M111" showDropDown="0" showInputMessage="1" showErrorMessage="1" allowBlank="1" type="list">
      <formula1>"Yes, No"</formula1>
    </dataValidation>
    <dataValidation sqref="B1:B2" showDropDown="0" showInputMessage="1" showErrorMessage="1" allowBlank="1" type="list">
      <formula1>"Jan-2026, Feb-2026, Mar-2026, Apr-2026, May-2026, Jun-2026, Jul-2026, Aug-2026, Sep-2026, Oct-2026, Nov-2026, Dec-2026"</formula1>
    </dataValidation>
    <dataValidation sqref="E6:E11 E14:E20 E22 E24:E25 E29:E33 E35:E37 E39:E40" showDropDown="0" showInputMessage="1" showErrorMessage="1" allowBlank="1" type="list">
      <formula1>"%, Mn, No., "</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codeName="Sheet6">
    <outlinePr summaryBelow="1" summaryRight="1"/>
    <pageSetUpPr/>
  </sheetPr>
  <dimension ref="A1:AI94"/>
  <sheetViews>
    <sheetView topLeftCell="A82" zoomScale="73" zoomScaleNormal="70" workbookViewId="0">
      <selection activeCell="D93" sqref="D93"/>
    </sheetView>
  </sheetViews>
  <sheetFormatPr baseColWidth="8" defaultRowHeight="14.45"/>
  <cols>
    <col width="21" customWidth="1" min="1" max="1"/>
    <col width="22.42578125" customWidth="1" style="639" min="2" max="2"/>
    <col hidden="1" width="15.42578125" customWidth="1" min="3" max="3"/>
    <col width="14.28515625" customWidth="1" min="4" max="4"/>
    <col width="20.5703125" customWidth="1" min="5" max="5"/>
    <col width="16.42578125" customWidth="1" min="6" max="6"/>
    <col width="12" customWidth="1" min="7" max="7"/>
    <col width="9.28515625" customWidth="1" min="8" max="8"/>
    <col width="15.42578125" customWidth="1" min="9" max="9"/>
    <col width="16.42578125" customWidth="1" min="10" max="10"/>
    <col width="17" customWidth="1" min="11" max="11"/>
    <col width="16.5703125" customWidth="1" min="12" max="12"/>
    <col width="15.5703125" customWidth="1" min="13" max="13"/>
    <col width="16" customWidth="1" min="14" max="14"/>
    <col width="17" customWidth="1" min="15" max="15"/>
    <col width="17.5703125" customWidth="1" min="16" max="16"/>
    <col width="14.5703125" customWidth="1" min="17" max="17"/>
    <col width="14.42578125" customWidth="1" min="18" max="18"/>
    <col width="14.5703125" customWidth="1" min="19" max="19"/>
    <col width="14.42578125" customWidth="1" min="20" max="20"/>
    <col width="13.5703125" customWidth="1" min="21" max="21"/>
    <col width="17.42578125" customWidth="1" min="22" max="22"/>
    <col hidden="1" width="10.5703125" customWidth="1" min="23" max="23"/>
    <col hidden="1" width="8.5703125" customWidth="1" min="24" max="24"/>
    <col hidden="1" width="14.42578125" customWidth="1" min="25" max="25"/>
    <col hidden="1" width="8.5703125" customWidth="1" min="26" max="35"/>
    <col width="8.5703125" customWidth="1" min="36" max="49"/>
  </cols>
  <sheetData>
    <row r="1" ht="19.35" customHeight="1">
      <c r="A1" s="12" t="inlineStr">
        <is>
          <t>Month</t>
        </is>
      </c>
      <c r="B1" s="666" t="n">
        <v>46023</v>
      </c>
      <c r="C1" s="12" t="inlineStr">
        <is>
          <t xml:space="preserve">MT Owner: </t>
        </is>
      </c>
      <c r="D1" s="12" t="inlineStr">
        <is>
          <t>Anand P</t>
        </is>
      </c>
      <c r="E1" s="12" t="inlineStr">
        <is>
          <t>MT Delegate:</t>
        </is>
      </c>
      <c r="F1" s="39" t="n"/>
      <c r="W1" t="inlineStr">
        <is>
          <t>Actual green</t>
        </is>
      </c>
      <c r="X1">
        <f>IF(I15&lt;&gt;"",IF($F14="Higher the better",IF(I15&gt;=I14,I15,NA()),IF(I15&lt;=I14,I15,NA())),NA())</f>
        <v/>
      </c>
      <c r="Y1">
        <f>IF(J15&lt;&gt;"",IF($F14="Higher the better",IF(J15&gt;=J14,J15,NA()),IF(J15&lt;=J14,J15,NA())),NA())</f>
        <v/>
      </c>
      <c r="Z1">
        <f>IF(K15&lt;&gt;"",IF($F14="Higher the better",IF(K15&gt;=K14,K15,NA()),IF(K15&lt;=K14,K15,NA())),NA())</f>
        <v/>
      </c>
      <c r="AA1">
        <f>IF(L15&lt;&gt;"",IF($F14="Higher the better",IF(L15&gt;=L14,L15,NA()),IF(L15&lt;=L14,L15,NA())),NA())</f>
        <v/>
      </c>
      <c r="AB1">
        <f>IF(M15&lt;&gt;"",IF($F14="Higher the better",IF(M15&gt;=M14,M15,NA()),IF(M15&lt;=M14,M15,NA())),NA())</f>
        <v/>
      </c>
      <c r="AC1">
        <f>IF(N15&lt;&gt;"",IF($F14="Higher the better",IF(N15&gt;=N14,N15,NA()),IF(N15&lt;=N14,N15,NA())),NA())</f>
        <v/>
      </c>
      <c r="AD1">
        <f>IF(O15&lt;&gt;"",IF($F14="Higher the better",IF(O15&gt;=O14,O15,NA()),IF(O15&lt;=O14,O15,NA())),NA())</f>
        <v/>
      </c>
      <c r="AE1">
        <f>IF(P15&lt;&gt;"",IF($F14="Higher the better",IF(P15&gt;=P14,P15,NA()),IF(P15&lt;=P14,P15,NA())),NA())</f>
        <v/>
      </c>
      <c r="AF1">
        <f>IF(Q15&lt;&gt;"",IF($F14="Higher the better",IF(Q15&gt;=Q14,Q15,NA()),IF(Q15&lt;=Q14,Q15,NA())),NA())</f>
        <v/>
      </c>
      <c r="AG1">
        <f>IF(R15&lt;&gt;"",IF($F14="Higher the better",IF(R15&gt;=R14,R15,NA()),IF(R15&lt;=R14,R15,NA())),NA())</f>
        <v/>
      </c>
      <c r="AH1">
        <f>IF(S15&lt;&gt;"",IF($F14="Higher the better",IF(S15&gt;=S14,S15,NA()),IF(S15&lt;=S14,S15,NA())),NA())</f>
        <v/>
      </c>
      <c r="AI1">
        <f>IF(T15&lt;&gt;"",IF($F14="Higher the better",IF(T15&gt;=T14,T15,NA()),IF(T15&lt;=T14,T15,NA())),NA())</f>
        <v/>
      </c>
    </row>
    <row r="2" ht="19.35" customHeight="1">
      <c r="A2" s="13" t="n"/>
      <c r="B2" s="683" t="n"/>
      <c r="D2" s="13" t="n"/>
      <c r="E2" s="13" t="n"/>
      <c r="W2" t="inlineStr">
        <is>
          <t>Actual red</t>
        </is>
      </c>
      <c r="X2">
        <f>IF(I15&lt;&gt;"",IF($F14="Higher the better",IF(I15&lt;I14,I15,NA()),IF(I15&gt;I14,I15,NA())),NA())</f>
        <v/>
      </c>
      <c r="Y2">
        <f>IF(J15&lt;&gt;"",IF($F14="Higher the better",IF(J15&lt;J14,J15,NA()),IF(J15&gt;J14,J15,NA())),NA())</f>
        <v/>
      </c>
      <c r="Z2">
        <f>IF(K15&lt;&gt;"",IF($F14="Higher the better",IF(K15&lt;K14,K15,NA()),IF(K15&gt;K14,K15,NA())),NA())</f>
        <v/>
      </c>
      <c r="AA2">
        <f>IF(L15&lt;&gt;"",IF($F14="Higher the better",IF(L15&lt;L14,L15,NA()),IF(L15&gt;L14,L15,NA())),NA())</f>
        <v/>
      </c>
      <c r="AB2">
        <f>IF(M15&lt;&gt;"",IF($F14="Higher the better",IF(M15&lt;M14,M15,NA()),IF(M15&gt;M14,M15,NA())),NA())</f>
        <v/>
      </c>
      <c r="AC2">
        <f>IF(N15&lt;&gt;"",IF($F14="Higher the better",IF(N15&lt;N14,N15,NA()),IF(N15&gt;N14,N15,NA())),NA())</f>
        <v/>
      </c>
      <c r="AD2">
        <f>IF(O15&lt;&gt;"",IF($F14="Higher the better",IF(O15&lt;O14,O15,NA()),IF(O15&gt;O14,O15,NA())),NA())</f>
        <v/>
      </c>
      <c r="AE2">
        <f>IF(P15&lt;&gt;"",IF($F14="Higher the better",IF(P15&lt;P14,P15,NA()),IF(P15&gt;P14,P15,NA())),NA())</f>
        <v/>
      </c>
      <c r="AF2">
        <f>IF(Q15&lt;&gt;"",IF($F14="Higher the better",IF(Q15&lt;Q14,Q15,NA()),IF(Q15&gt;Q14,Q15,NA())),NA())</f>
        <v/>
      </c>
      <c r="AG2">
        <f>IF(R15&lt;&gt;"",IF($F14="Higher the better",IF(R15&lt;R14,R15,NA()),IF(R15&gt;R14,R15,NA())),NA())</f>
        <v/>
      </c>
      <c r="AH2">
        <f>IF(S15&lt;&gt;"",IF($F14="Higher the better",IF(S15&lt;S14,S15,NA()),IF(S15&gt;S14,S15,NA())),NA())</f>
        <v/>
      </c>
      <c r="AI2">
        <f>IF(T15&lt;&gt;"",IF($F14="Higher the better",IF(T15&lt;T14,T15,NA()),IF(T15&gt;T14,T15,NA())),NA())</f>
        <v/>
      </c>
    </row>
    <row r="3" ht="20.1" customHeight="1">
      <c r="A3" s="449" t="inlineStr">
        <is>
          <t>Procurement DMB</t>
        </is>
      </c>
      <c r="W3" t="inlineStr">
        <is>
          <t>Actual green</t>
        </is>
      </c>
      <c r="X3">
        <f>IF(I17&lt;&gt;"",IF($F16="Higher the better",IF(I17&gt;=I16,I17,NA()),IF(I17&lt;=I16,I17,NA())),NA())</f>
        <v/>
      </c>
      <c r="Y3">
        <f>IF(J17&lt;&gt;"",IF($F16="Higher the better",IF(J17&gt;=J16,J17,NA()),IF(J17&lt;=J16,J17,NA())),NA())</f>
        <v/>
      </c>
      <c r="Z3">
        <f>IF(K17&lt;&gt;"",IF($F16="Higher the better",IF(K17&gt;=K16,K17,NA()),IF(K17&lt;=K16,K17,NA())),NA())</f>
        <v/>
      </c>
      <c r="AA3">
        <f>IF(L17&lt;&gt;"",IF($F16="Higher the better",IF(L17&gt;=L16,L17,NA()),IF(L17&lt;=L16,L17,NA())),NA())</f>
        <v/>
      </c>
      <c r="AB3">
        <f>IF(M17&lt;&gt;"",IF($F16="Higher the better",IF(M17&gt;=M16,M17,NA()),IF(M17&lt;=M16,M17,NA())),NA())</f>
        <v/>
      </c>
      <c r="AC3">
        <f>IF(N17&lt;&gt;"",IF($F16="Higher the better",IF(N17&gt;=N16,N17,NA()),IF(N17&lt;=N16,N17,NA())),NA())</f>
        <v/>
      </c>
      <c r="AD3">
        <f>IF(O17&lt;&gt;"",IF($F16="Higher the better",IF(O17&gt;=O16,O17,NA()),IF(O17&lt;=O16,O17,NA())),NA())</f>
        <v/>
      </c>
      <c r="AE3">
        <f>IF(P17&lt;&gt;"",IF($F16="Higher the better",IF(P17&gt;=P16,P17,NA()),IF(P17&lt;=P16,P17,NA())),NA())</f>
        <v/>
      </c>
      <c r="AF3">
        <f>IF(Q17&lt;&gt;"",IF($F16="Higher the better",IF(Q17&gt;=Q16,Q17,NA()),IF(Q17&lt;=Q16,Q17,NA())),NA())</f>
        <v/>
      </c>
      <c r="AG3">
        <f>IF(R17&lt;&gt;"",IF($F16="Higher the better",IF(R17&gt;=R16,R17,NA()),IF(R17&lt;=R16,R17,NA())),NA())</f>
        <v/>
      </c>
      <c r="AH3">
        <f>IF(S17&lt;&gt;"",IF($F16="Higher the better",IF(S17&gt;=S16,S17,NA()),IF(S17&lt;=S16,S17,NA())),NA())</f>
        <v/>
      </c>
      <c r="AI3">
        <f>IF(T17&lt;&gt;"",IF($F16="Higher the better",IF(T17&gt;=T16,T17,NA()),IF(T17&lt;=T16,T17,NA())),NA())</f>
        <v/>
      </c>
    </row>
    <row r="4" ht="18.6" customHeight="1">
      <c r="A4" s="11" t="inlineStr">
        <is>
          <t>Mandatory Outcome KPI's (1-3)</t>
        </is>
      </c>
      <c r="B4" s="11" t="n"/>
      <c r="W4" t="inlineStr">
        <is>
          <t>Actual red</t>
        </is>
      </c>
      <c r="X4">
        <f>IF(I17&lt;&gt;"",IF($F16="Higher the better",IF(I17&lt;I16,I17,NA()),IF(I17&gt;I16,I17,NA())),NA())</f>
        <v/>
      </c>
      <c r="Y4">
        <f>IF(J17&lt;&gt;"",IF($F16="Higher the better",IF(J17&lt;J16,J17,NA()),IF(J17&gt;J16,J17,NA())),NA())</f>
        <v/>
      </c>
      <c r="Z4">
        <f>IF(K17&lt;&gt;"",IF($F16="Higher the better",IF(K17&lt;K16,K17,NA()),IF(K17&gt;K16,K17,NA())),NA())</f>
        <v/>
      </c>
      <c r="AA4">
        <f>IF(L17&lt;&gt;"",IF($F16="Higher the better",IF(L17&lt;L16,L17,NA()),IF(L17&gt;L16,L17,NA())),NA())</f>
        <v/>
      </c>
      <c r="AB4">
        <f>IF(M17&lt;&gt;"",IF($F16="Higher the better",IF(M17&lt;M16,M17,NA()),IF(M17&gt;M16,M17,NA())),NA())</f>
        <v/>
      </c>
      <c r="AC4">
        <f>IF(N17&lt;&gt;"",IF($F16="Higher the better",IF(N17&lt;N16,N17,NA()),IF(N17&gt;N16,N17,NA())),NA())</f>
        <v/>
      </c>
      <c r="AD4">
        <f>IF(O17&lt;&gt;"",IF($F16="Higher the better",IF(O17&lt;O16,O17,NA()),IF(O17&gt;O16,O17,NA())),NA())</f>
        <v/>
      </c>
      <c r="AE4">
        <f>IF(P17&lt;&gt;"",IF($F16="Higher the better",IF(P17&lt;P16,P17,NA()),IF(P17&gt;P16,P17,NA())),NA())</f>
        <v/>
      </c>
      <c r="AF4">
        <f>IF(Q17&lt;&gt;"",IF($F16="Higher the better",IF(Q17&lt;Q16,Q17,NA()),IF(Q17&gt;Q16,Q17,NA())),NA())</f>
        <v/>
      </c>
      <c r="AG4">
        <f>IF(R17&lt;&gt;"",IF($F16="Higher the better",IF(R17&lt;R16,R17,NA()),IF(R17&gt;R16,R17,NA())),NA())</f>
        <v/>
      </c>
      <c r="AH4">
        <f>IF(S17&lt;&gt;"",IF($F16="Higher the better",IF(S17&lt;S16,S17,NA()),IF(S17&gt;S16,S17,NA())),NA())</f>
        <v/>
      </c>
      <c r="AI4">
        <f>IF(T17&lt;&gt;"",IF($F16="Higher the better",IF(T17&lt;T16,T17,NA()),IF(T17&gt;T16,T17,NA())),NA())</f>
        <v/>
      </c>
    </row>
    <row r="5" ht="29.1"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t="inlineStr">
        <is>
          <t>Actual green</t>
        </is>
      </c>
      <c r="X5">
        <f>IF(I19&lt;&gt;"",IF($F18="Higher the better",IF(I19&gt;=I18,I19,NA()),IF(I19&lt;=I18,I19,NA())),NA())</f>
        <v/>
      </c>
      <c r="Y5">
        <f>IF(J19&lt;&gt;"",IF($F18="Higher the better",IF(J19&gt;=J18,J19,NA()),IF(J19&lt;=J18,J19,NA())),NA())</f>
        <v/>
      </c>
      <c r="Z5">
        <f>IF(K19&lt;&gt;"",IF($F18="Higher the better",IF(K19&gt;=K18,K19,NA()),IF(K19&lt;=K18,K19,NA())),NA())</f>
        <v/>
      </c>
      <c r="AA5">
        <f>IF(L19&lt;&gt;"",IF($F18="Higher the better",IF(L19&gt;=L18,L19,NA()),IF(L19&lt;=L18,L19,NA())),NA())</f>
        <v/>
      </c>
      <c r="AB5">
        <f>IF(M19&lt;&gt;"",IF($F18="Higher the better",IF(M19&gt;=M18,M19,NA()),IF(M19&lt;=M18,M19,NA())),NA())</f>
        <v/>
      </c>
      <c r="AC5">
        <f>IF(N19&lt;&gt;"",IF($F18="Higher the better",IF(N19&gt;=N18,N19,NA()),IF(N19&lt;=N18,N19,NA())),NA())</f>
        <v/>
      </c>
      <c r="AD5">
        <f>IF(O19&lt;&gt;"",IF($F18="Higher the better",IF(O19&gt;=O18,O19,NA()),IF(O19&lt;=O18,O19,NA())),NA())</f>
        <v/>
      </c>
      <c r="AE5">
        <f>IF(P19&lt;&gt;"",IF($F18="Higher the better",IF(P19&gt;=P18,P19,NA()),IF(P19&lt;=P18,P19,NA())),NA())</f>
        <v/>
      </c>
      <c r="AF5">
        <f>IF(Q19&lt;&gt;"",IF($F18="Higher the better",IF(Q19&gt;=Q18,Q19,NA()),IF(Q19&lt;=Q18,Q19,NA())),NA())</f>
        <v/>
      </c>
      <c r="AG5">
        <f>IF(R19&lt;&gt;"",IF($F18="Higher the better",IF(R19&gt;=R18,R19,NA()),IF(R19&lt;=R18,R19,NA())),NA())</f>
        <v/>
      </c>
      <c r="AH5">
        <f>IF(S19&lt;&gt;"",IF($F18="Higher the better",IF(S19&gt;=S18,S19,NA()),IF(S19&lt;=S18,S19,NA())),NA())</f>
        <v/>
      </c>
      <c r="AI5">
        <f>IF(T19&lt;&gt;"",IF($F18="Higher the better",IF(T19&gt;=T18,T19,NA()),IF(T19&lt;=T18,T19,NA())),NA())</f>
        <v/>
      </c>
    </row>
    <row r="6">
      <c r="A6" s="426" t="inlineStr">
        <is>
          <t>Productivity ( Nego)</t>
        </is>
      </c>
      <c r="B6" s="459" t="inlineStr">
        <is>
          <t>1% of Spend</t>
        </is>
      </c>
      <c r="C6" s="230" t="inlineStr">
        <is>
          <t>&lt;=</t>
        </is>
      </c>
      <c r="D6" s="257" t="inlineStr">
        <is>
          <t>0.4 M € 
0.7 M € Stretch</t>
        </is>
      </c>
      <c r="E6" s="230" t="inlineStr">
        <is>
          <t>%</t>
        </is>
      </c>
      <c r="F6" s="388" t="inlineStr">
        <is>
          <t>Higher the better</t>
        </is>
      </c>
      <c r="G6" s="230" t="inlineStr">
        <is>
          <t>Monthly</t>
        </is>
      </c>
      <c r="H6" s="14" t="inlineStr">
        <is>
          <t>Target</t>
        </is>
      </c>
      <c r="I6" s="44" t="n">
        <v>0.035</v>
      </c>
      <c r="J6" s="44">
        <f>I6+0.035</f>
        <v/>
      </c>
      <c r="K6" s="44">
        <f>J6+0.035</f>
        <v/>
      </c>
      <c r="L6" s="44">
        <f>K6+0.035</f>
        <v/>
      </c>
      <c r="M6" s="44">
        <f>L6+0.035</f>
        <v/>
      </c>
      <c r="N6" s="44">
        <f>M6+0.035</f>
        <v/>
      </c>
      <c r="O6" s="44" t="n">
        <v>0.23</v>
      </c>
      <c r="P6" s="44" t="n">
        <v>0.25</v>
      </c>
      <c r="Q6" s="44" t="n">
        <v>0.28</v>
      </c>
      <c r="R6" s="44" t="n">
        <v>0.31</v>
      </c>
      <c r="S6" s="44" t="n">
        <v>0.35</v>
      </c>
      <c r="T6" s="44" t="n">
        <v>0.4</v>
      </c>
      <c r="W6" t="inlineStr">
        <is>
          <t>Actual red</t>
        </is>
      </c>
      <c r="X6">
        <f>IF(I19&lt;&gt;"",IF($F18="Higher the better",IF(I19&lt;I18,I19,NA()),IF(I19&gt;I18,I19,NA())),NA())</f>
        <v/>
      </c>
      <c r="Y6">
        <f>IF(J19&lt;&gt;"",IF($F18="Higher the better",IF(J19&lt;J18,J19,NA()),IF(J19&gt;J18,J19,NA())),NA())</f>
        <v/>
      </c>
      <c r="Z6">
        <f>IF(K19&lt;&gt;"",IF($F18="Higher the better",IF(K19&lt;K18,K19,NA()),IF(K19&gt;K18,K19,NA())),NA())</f>
        <v/>
      </c>
      <c r="AA6">
        <f>IF(L19&lt;&gt;"",IF($F18="Higher the better",IF(L19&lt;L18,L19,NA()),IF(L19&gt;L18,L19,NA())),NA())</f>
        <v/>
      </c>
      <c r="AB6">
        <f>IF(M19&lt;&gt;"",IF($F18="Higher the better",IF(M19&lt;M18,M19,NA()),IF(M19&gt;M18,M19,NA())),NA())</f>
        <v/>
      </c>
      <c r="AC6">
        <f>IF(N19&lt;&gt;"",IF($F18="Higher the better",IF(N19&lt;N18,N19,NA()),IF(N19&gt;N18,N19,NA())),NA())</f>
        <v/>
      </c>
      <c r="AD6">
        <f>IF(O19&lt;&gt;"",IF($F18="Higher the better",IF(O19&lt;O18,O19,NA()),IF(O19&gt;O18,O19,NA())),NA())</f>
        <v/>
      </c>
      <c r="AE6">
        <f>IF(P19&lt;&gt;"",IF($F18="Higher the better",IF(P19&lt;P18,P19,NA()),IF(P19&gt;P18,P19,NA())),NA())</f>
        <v/>
      </c>
      <c r="AF6">
        <f>IF(Q19&lt;&gt;"",IF($F18="Higher the better",IF(Q19&lt;Q18,Q19,NA()),IF(Q19&gt;Q18,Q19,NA())),NA())</f>
        <v/>
      </c>
      <c r="AG6">
        <f>IF(R19&lt;&gt;"",IF($F18="Higher the better",IF(R19&lt;R18,R19,NA()),IF(R19&gt;R18,R19,NA())),NA())</f>
        <v/>
      </c>
      <c r="AH6">
        <f>IF(S19&lt;&gt;"",IF($F18="Higher the better",IF(S19&lt;S18,S19,NA()),IF(S19&gt;S18,S19,NA())),NA())</f>
        <v/>
      </c>
      <c r="AI6">
        <f>IF(T19&lt;&gt;"",IF($F18="Higher the better",IF(T19&lt;T18,T19,NA()),IF(T19&gt;T18,T19,NA())),NA())</f>
        <v/>
      </c>
    </row>
    <row r="7">
      <c r="A7" s="671" t="n"/>
      <c r="B7" s="671" t="n"/>
      <c r="C7" s="671" t="n"/>
      <c r="D7" s="671" t="n"/>
      <c r="E7" s="671" t="n"/>
      <c r="F7" s="671" t="n"/>
      <c r="G7" s="671" t="n"/>
      <c r="H7" s="14" t="inlineStr">
        <is>
          <t>Actual</t>
        </is>
      </c>
      <c r="I7" s="734">
        <f>20673/1000000</f>
        <v/>
      </c>
      <c r="J7" s="734">
        <f>(38099/1000000)+I7</f>
        <v/>
      </c>
      <c r="K7" s="734">
        <f>J7+(46887/1000000)</f>
        <v/>
      </c>
      <c r="L7" s="734">
        <f>K7+(46763/1000000)</f>
        <v/>
      </c>
      <c r="M7" s="45" t="n">
        <v>0.19</v>
      </c>
      <c r="N7" s="45" t="n">
        <v>0.21</v>
      </c>
      <c r="O7" s="45" t="n">
        <v>0.23</v>
      </c>
      <c r="P7" s="45" t="n">
        <v>0.25</v>
      </c>
      <c r="Q7" s="45" t="n">
        <v>0.27</v>
      </c>
      <c r="R7" s="45" t="n"/>
      <c r="S7" s="45" t="n"/>
      <c r="T7" s="45" t="n"/>
      <c r="W7" t="inlineStr">
        <is>
          <t>Actual green</t>
        </is>
      </c>
      <c r="X7">
        <f>IF(I21&lt;&gt;"",IF($F20="Higher the better",IF(I21&gt;=I20,I21,NA()),IF(I21&lt;=I20,I21,NA())),NA())</f>
        <v/>
      </c>
      <c r="Y7">
        <f>IF(J21&lt;&gt;"",IF($F20="Higher the better",IF(J21&gt;=J20,J21,NA()),IF(J21&lt;=J20,J21,NA())),NA())</f>
        <v/>
      </c>
      <c r="Z7">
        <f>IF(K21&lt;&gt;"",IF($F20="Higher the better",IF(K21&gt;=K20,K21,NA()),IF(K21&lt;=K20,K21,NA())),NA())</f>
        <v/>
      </c>
      <c r="AA7">
        <f>IF(L21&lt;&gt;"",IF($F20="Higher the better",IF(L21&gt;=L20,L21,NA()),IF(L21&lt;=L20,L21,NA())),NA())</f>
        <v/>
      </c>
      <c r="AB7">
        <f>IF(M21&lt;&gt;"",IF($F20="Higher the better",IF(M21&gt;=M20,M21,NA()),IF(M21&lt;=M20,M21,NA())),NA())</f>
        <v/>
      </c>
      <c r="AC7">
        <f>IF(N21&lt;&gt;"",IF($F20="Higher the better",IF(N21&gt;=N20,N21,NA()),IF(N21&lt;=N20,N21,NA())),NA())</f>
        <v/>
      </c>
      <c r="AD7">
        <f>IF(O21&lt;&gt;"",IF($F20="Higher the better",IF(O21&gt;=O20,O21,NA()),IF(O21&lt;=O20,O21,NA())),NA())</f>
        <v/>
      </c>
      <c r="AE7">
        <f>IF(P21&lt;&gt;"",IF($F20="Higher the better",IF(P21&gt;=P20,P21,NA()),IF(P21&lt;=P20,P21,NA())),NA())</f>
        <v/>
      </c>
      <c r="AF7">
        <f>IF(Q21&lt;&gt;"",IF($F20="Higher the better",IF(Q21&gt;=Q20,Q21,NA()),IF(Q21&lt;=Q20,Q21,NA())),NA())</f>
        <v/>
      </c>
      <c r="AG7">
        <f>IF(R21&lt;&gt;"",IF($F20="Higher the better",IF(R21&gt;=R20,R21,NA()),IF(R21&lt;=R20,R21,NA())),NA())</f>
        <v/>
      </c>
      <c r="AH7">
        <f>IF(S21&lt;&gt;"",IF($F20="Higher the better",IF(S21&gt;=S20,S21,NA()),IF(S21&lt;=S20,S21,NA())),NA())</f>
        <v/>
      </c>
      <c r="AI7">
        <f>IF(T21&lt;&gt;"",IF($F20="Higher the better",IF(T21&gt;=T20,T21,NA()),IF(T21&lt;=T20,T21,NA())),NA())</f>
        <v/>
      </c>
    </row>
    <row r="8">
      <c r="A8" s="735" t="inlineStr">
        <is>
          <t>Material Availability (escalation)</t>
        </is>
      </c>
      <c r="B8" s="386" t="inlineStr">
        <is>
          <t>Clear to build material avaialbility</t>
        </is>
      </c>
      <c r="C8" s="230" t="inlineStr">
        <is>
          <t>&gt;=</t>
        </is>
      </c>
      <c r="D8" s="106" t="n">
        <v>0.9</v>
      </c>
      <c r="E8" s="230" t="inlineStr">
        <is>
          <t>%</t>
        </is>
      </c>
      <c r="F8" s="388" t="inlineStr">
        <is>
          <t>Higher the better</t>
        </is>
      </c>
      <c r="G8" s="230" t="inlineStr">
        <is>
          <t>Monthly</t>
        </is>
      </c>
      <c r="H8" s="14" t="inlineStr">
        <is>
          <t>Target</t>
        </is>
      </c>
      <c r="I8" s="4" t="n">
        <v>0.9</v>
      </c>
      <c r="J8" s="4" t="n">
        <v>0.9</v>
      </c>
      <c r="K8" s="4" t="n">
        <v>0.9</v>
      </c>
      <c r="L8" s="4" t="n">
        <v>0.9</v>
      </c>
      <c r="M8" s="4" t="n">
        <v>0.9</v>
      </c>
      <c r="N8" s="4" t="n">
        <v>0.9</v>
      </c>
      <c r="O8" s="4" t="n">
        <v>0.9</v>
      </c>
      <c r="P8" s="4" t="n">
        <v>0.9</v>
      </c>
      <c r="Q8" s="4" t="n">
        <v>0.9</v>
      </c>
      <c r="R8" s="4" t="n">
        <v>0.9</v>
      </c>
      <c r="S8" s="4" t="n">
        <v>0.9</v>
      </c>
      <c r="T8" s="4" t="n">
        <v>0.9</v>
      </c>
      <c r="W8" t="inlineStr">
        <is>
          <t>Actual red</t>
        </is>
      </c>
      <c r="X8">
        <f>IF(I21&lt;&gt;"",IF($F20="Higher the better",IF(I21&lt;I20,I21,NA()),IF(I21&gt;I20,I21,NA())),NA())</f>
        <v/>
      </c>
      <c r="Y8">
        <f>IF(J21&lt;&gt;"",IF($F20="Higher the better",IF(J21&lt;J20,J21,NA()),IF(J21&gt;J20,J21,NA())),NA())</f>
        <v/>
      </c>
      <c r="Z8">
        <f>IF(K21&lt;&gt;"",IF($F20="Higher the better",IF(K21&lt;K20,K21,NA()),IF(K21&gt;K20,K21,NA())),NA())</f>
        <v/>
      </c>
      <c r="AA8">
        <f>IF(L21&lt;&gt;"",IF($F20="Higher the better",IF(L21&lt;L20,L21,NA()),IF(L21&gt;L20,L21,NA())),NA())</f>
        <v/>
      </c>
      <c r="AB8">
        <f>IF(M21&lt;&gt;"",IF($F20="Higher the better",IF(M21&lt;M20,M21,NA()),IF(M21&gt;M20,M21,NA())),NA())</f>
        <v/>
      </c>
      <c r="AC8">
        <f>IF(N21&lt;&gt;"",IF($F20="Higher the better",IF(N21&lt;N20,N21,NA()),IF(N21&gt;N20,N21,NA())),NA())</f>
        <v/>
      </c>
      <c r="AD8">
        <f>IF(O21&lt;&gt;"",IF($F20="Higher the better",IF(O21&lt;O20,O21,NA()),IF(O21&gt;O20,O21,NA())),NA())</f>
        <v/>
      </c>
      <c r="AE8">
        <f>IF(P21&lt;&gt;"",IF($F20="Higher the better",IF(P21&lt;P20,P21,NA()),IF(P21&gt;P20,P21,NA())),NA())</f>
        <v/>
      </c>
      <c r="AF8">
        <f>IF(Q21&lt;&gt;"",IF($F20="Higher the better",IF(Q21&lt;Q20,Q21,NA()),IF(Q21&gt;Q20,Q21,NA())),NA())</f>
        <v/>
      </c>
      <c r="AG8">
        <f>IF(R21&lt;&gt;"",IF($F20="Higher the better",IF(R21&lt;R20,R21,NA()),IF(R21&gt;R20,R21,NA())),NA())</f>
        <v/>
      </c>
      <c r="AH8">
        <f>IF(S21&lt;&gt;"",IF($F20="Higher the better",IF(S21&lt;S20,S21,NA()),IF(S21&gt;S20,S21,NA())),NA())</f>
        <v/>
      </c>
      <c r="AI8">
        <f>IF(T21&lt;&gt;"",IF($F20="Higher the better",IF(T21&lt;T20,T21,NA()),IF(T21&gt;T20,T21,NA())),NA())</f>
        <v/>
      </c>
    </row>
    <row r="9">
      <c r="A9" s="671" t="n"/>
      <c r="B9" s="671" t="n"/>
      <c r="C9" s="671" t="n"/>
      <c r="D9" s="671" t="n"/>
      <c r="E9" s="671" t="n"/>
      <c r="F9" s="671" t="n"/>
      <c r="G9" s="671" t="n"/>
      <c r="H9" s="14" t="inlineStr">
        <is>
          <t>Actual</t>
        </is>
      </c>
      <c r="I9" s="5" t="n">
        <v>1</v>
      </c>
      <c r="J9" s="5" t="n">
        <v>1</v>
      </c>
      <c r="K9" s="5" t="n">
        <v>1</v>
      </c>
      <c r="L9" s="5" t="n">
        <v>0.88</v>
      </c>
      <c r="M9" s="5" t="n">
        <v>0.93</v>
      </c>
      <c r="N9" s="5">
        <f>6/7</f>
        <v/>
      </c>
      <c r="O9" s="5" t="n">
        <v>1</v>
      </c>
      <c r="P9" s="5" t="n">
        <v>1</v>
      </c>
      <c r="Q9" s="5" t="inlineStr">
        <is>
          <t>90%%</t>
        </is>
      </c>
      <c r="R9" s="5" t="n"/>
      <c r="S9" s="5" t="n"/>
      <c r="T9" s="5" t="n"/>
    </row>
    <row r="10">
      <c r="A10" s="426" t="inlineStr">
        <is>
          <t>NPI / MLD</t>
        </is>
      </c>
      <c r="B10" s="426" t="inlineStr">
        <is>
          <t>NPI gate readiness</t>
        </is>
      </c>
      <c r="C10" s="230" t="inlineStr">
        <is>
          <t>=</t>
        </is>
      </c>
      <c r="D10" s="106" t="n">
        <v>1</v>
      </c>
      <c r="E10" s="230" t="inlineStr">
        <is>
          <t>%</t>
        </is>
      </c>
      <c r="F10" s="388" t="inlineStr">
        <is>
          <t>Higher the better</t>
        </is>
      </c>
      <c r="G10" s="230" t="inlineStr">
        <is>
          <t>Monthly</t>
        </is>
      </c>
      <c r="H10" s="14" t="inlineStr">
        <is>
          <t>Target</t>
        </is>
      </c>
      <c r="I10" s="44" t="n">
        <v>0</v>
      </c>
      <c r="J10" s="44" t="n">
        <v>0</v>
      </c>
      <c r="K10" s="44" t="n">
        <v>0</v>
      </c>
      <c r="L10" s="44" t="n">
        <v>1</v>
      </c>
      <c r="M10" s="44" t="n">
        <v>0</v>
      </c>
      <c r="N10" s="44" t="n">
        <v>0</v>
      </c>
      <c r="O10" s="44" t="n">
        <v>1</v>
      </c>
      <c r="P10" s="44" t="n">
        <v>1</v>
      </c>
      <c r="Q10" s="44" t="n">
        <v>0</v>
      </c>
      <c r="R10" s="44" t="n">
        <v>0</v>
      </c>
      <c r="S10" s="44" t="n">
        <v>0</v>
      </c>
      <c r="T10" s="44" t="n">
        <v>0</v>
      </c>
    </row>
    <row r="11">
      <c r="A11" s="671" t="n"/>
      <c r="B11" s="671" t="n"/>
      <c r="C11" s="671" t="n"/>
      <c r="D11" s="671" t="n"/>
      <c r="E11" s="671" t="n"/>
      <c r="F11" s="671" t="n"/>
      <c r="G11" s="671" t="n"/>
      <c r="H11" s="14" t="inlineStr">
        <is>
          <t>Actual</t>
        </is>
      </c>
      <c r="I11" s="45" t="inlineStr">
        <is>
          <t>-</t>
        </is>
      </c>
      <c r="J11" s="45" t="inlineStr">
        <is>
          <t>-</t>
        </is>
      </c>
      <c r="K11" s="45" t="inlineStr">
        <is>
          <t>-</t>
        </is>
      </c>
      <c r="L11" s="45" t="inlineStr">
        <is>
          <t>-</t>
        </is>
      </c>
      <c r="M11" s="45" t="inlineStr">
        <is>
          <t>-</t>
        </is>
      </c>
      <c r="N11" s="45" t="inlineStr">
        <is>
          <t>-</t>
        </is>
      </c>
      <c r="O11" s="45" t="n">
        <v>1</v>
      </c>
      <c r="P11" s="45" t="n">
        <v>1</v>
      </c>
      <c r="Q11" s="45" t="n">
        <v>0</v>
      </c>
      <c r="R11" s="45" t="n"/>
      <c r="S11" s="45" t="n"/>
      <c r="T11" s="45" t="n"/>
    </row>
    <row r="12" ht="18.6" customHeight="1">
      <c r="A12" s="31" t="inlineStr">
        <is>
          <t>Critical Enabling/Leading KPI's (3-5)</t>
        </is>
      </c>
      <c r="G12" s="38" t="n"/>
      <c r="I12" s="43" t="n"/>
      <c r="J12" s="43" t="n"/>
      <c r="K12" s="43" t="n"/>
      <c r="L12" s="43" t="n"/>
      <c r="M12" s="43" t="n"/>
      <c r="N12" s="43" t="n"/>
      <c r="O12" s="43" t="n"/>
      <c r="P12" s="43" t="n"/>
      <c r="Q12" s="43" t="n"/>
      <c r="R12" s="43" t="n"/>
      <c r="S12" s="43" t="n"/>
      <c r="T12" s="43" t="n"/>
    </row>
    <row r="13" ht="27.6"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row>
    <row r="14" ht="13.5" customHeight="1">
      <c r="A14" s="718" t="inlineStr">
        <is>
          <t>RFQ closure to meet NPI / MLD deliverables</t>
        </is>
      </c>
      <c r="B14" s="718" t="inlineStr">
        <is>
          <t>No of RFQ closed on time</t>
        </is>
      </c>
      <c r="C14" s="230" t="inlineStr">
        <is>
          <t>&lt;=</t>
        </is>
      </c>
      <c r="D14" s="257" t="n">
        <v>1</v>
      </c>
      <c r="E14" s="230" t="inlineStr">
        <is>
          <t>%</t>
        </is>
      </c>
      <c r="F14" s="388" t="inlineStr">
        <is>
          <t>Higher the better</t>
        </is>
      </c>
      <c r="G14" s="230" t="inlineStr">
        <is>
          <t>Monthly</t>
        </is>
      </c>
      <c r="H14" s="14" t="inlineStr">
        <is>
          <t>Target</t>
        </is>
      </c>
      <c r="I14" s="44" t="n">
        <v>15</v>
      </c>
      <c r="J14" s="44" t="n">
        <v>10</v>
      </c>
      <c r="K14" s="44" t="n">
        <v>15</v>
      </c>
      <c r="L14" s="44" t="n">
        <v>22</v>
      </c>
      <c r="M14" s="44" t="n">
        <v>1</v>
      </c>
      <c r="N14" s="44" t="n">
        <v>10</v>
      </c>
      <c r="O14" s="44" t="n">
        <v>1</v>
      </c>
      <c r="P14" s="44" t="n">
        <v>6</v>
      </c>
      <c r="Q14" s="44" t="n">
        <v>4</v>
      </c>
      <c r="R14" s="44" t="n">
        <v>0</v>
      </c>
      <c r="S14" s="44" t="n">
        <v>0</v>
      </c>
      <c r="T14" s="44" t="n">
        <v>0</v>
      </c>
    </row>
    <row r="15">
      <c r="A15" s="671" t="n"/>
      <c r="B15" s="671" t="n"/>
      <c r="C15" s="671" t="n"/>
      <c r="D15" s="671" t="n"/>
      <c r="E15" s="671" t="n"/>
      <c r="F15" s="671" t="n"/>
      <c r="G15" s="671" t="n"/>
      <c r="H15" s="14" t="inlineStr">
        <is>
          <t>Actual</t>
        </is>
      </c>
      <c r="I15" s="45" t="n">
        <v>15</v>
      </c>
      <c r="J15" s="45" t="n">
        <v>9</v>
      </c>
      <c r="K15" s="45" t="n">
        <v>15</v>
      </c>
      <c r="L15" s="45" t="n">
        <v>22</v>
      </c>
      <c r="M15" s="45" t="n">
        <v>1</v>
      </c>
      <c r="N15" s="45" t="n">
        <v>10</v>
      </c>
      <c r="O15" s="45" t="n">
        <v>1</v>
      </c>
      <c r="P15" s="45" t="n">
        <v>6</v>
      </c>
      <c r="Q15" s="45" t="n">
        <v>4</v>
      </c>
      <c r="R15" s="45" t="n"/>
      <c r="S15" s="45" t="n"/>
      <c r="T15" s="45" t="n"/>
    </row>
    <row r="16" ht="11.1" customHeight="1">
      <c r="A16" s="718" t="inlineStr">
        <is>
          <t>Supplier selection to meet NPI / MLD deliverables</t>
        </is>
      </c>
      <c r="B16" s="718" t="inlineStr">
        <is>
          <t>supplier selection per 12 NC for NPI</t>
        </is>
      </c>
      <c r="C16" s="230" t="inlineStr">
        <is>
          <t>&lt;=</t>
        </is>
      </c>
      <c r="D16" s="257" t="n">
        <v>1</v>
      </c>
      <c r="E16" s="230" t="inlineStr">
        <is>
          <t>%</t>
        </is>
      </c>
      <c r="F16" s="388" t="inlineStr">
        <is>
          <t>Higher the better</t>
        </is>
      </c>
      <c r="G16" s="230" t="inlineStr">
        <is>
          <t>Monthly</t>
        </is>
      </c>
      <c r="H16" s="14" t="inlineStr">
        <is>
          <t>Target</t>
        </is>
      </c>
      <c r="I16" s="44" t="n">
        <v>5</v>
      </c>
      <c r="J16" s="44" t="n">
        <v>8</v>
      </c>
      <c r="K16" s="44" t="n">
        <v>0</v>
      </c>
      <c r="L16" s="44" t="n">
        <v>0</v>
      </c>
      <c r="M16" s="44" t="n">
        <v>0</v>
      </c>
      <c r="N16" s="44" t="n">
        <v>0</v>
      </c>
      <c r="O16" s="44" t="n">
        <v>0</v>
      </c>
      <c r="P16" s="44" t="n">
        <v>0</v>
      </c>
      <c r="Q16" s="44" t="n">
        <v>0</v>
      </c>
      <c r="R16" s="44" t="n">
        <v>0</v>
      </c>
      <c r="S16" s="44" t="n">
        <v>0</v>
      </c>
      <c r="T16" s="44" t="n">
        <v>0</v>
      </c>
    </row>
    <row r="17">
      <c r="A17" s="671" t="n"/>
      <c r="B17" s="671" t="n"/>
      <c r="C17" s="671" t="n"/>
      <c r="D17" s="671" t="n"/>
      <c r="E17" s="671" t="n"/>
      <c r="F17" s="671" t="n"/>
      <c r="G17" s="671" t="n"/>
      <c r="H17" s="14" t="inlineStr">
        <is>
          <t>Actual</t>
        </is>
      </c>
      <c r="I17" s="45" t="n">
        <v>5</v>
      </c>
      <c r="J17" s="45" t="n">
        <v>7</v>
      </c>
      <c r="K17" s="45" t="inlineStr">
        <is>
          <t>-</t>
        </is>
      </c>
      <c r="L17" s="45" t="inlineStr">
        <is>
          <t>-</t>
        </is>
      </c>
      <c r="M17" s="45" t="inlineStr">
        <is>
          <t>-</t>
        </is>
      </c>
      <c r="N17" s="45" t="inlineStr">
        <is>
          <t>-</t>
        </is>
      </c>
      <c r="O17" s="45" t="n">
        <v>0</v>
      </c>
      <c r="P17" s="45" t="n">
        <v>0</v>
      </c>
      <c r="Q17" s="45" t="n">
        <v>0</v>
      </c>
      <c r="R17" s="45" t="n"/>
      <c r="S17" s="45" t="n"/>
      <c r="T17" s="45" t="n"/>
    </row>
    <row r="18" ht="15" customHeight="1">
      <c r="A18" s="461" t="inlineStr">
        <is>
          <t>CTB (12 weeks)</t>
        </is>
      </c>
      <c r="B18" s="387" t="inlineStr">
        <is>
          <t>Clear to build material avaialbility</t>
        </is>
      </c>
      <c r="C18" s="230" t="inlineStr">
        <is>
          <t>&lt;=</t>
        </is>
      </c>
      <c r="D18" s="257" t="n">
        <v>0.8</v>
      </c>
      <c r="E18" s="230" t="inlineStr">
        <is>
          <t>%</t>
        </is>
      </c>
      <c r="F18" s="388" t="inlineStr">
        <is>
          <t>Higher the better</t>
        </is>
      </c>
      <c r="G18" s="230" t="inlineStr">
        <is>
          <t>Monthly</t>
        </is>
      </c>
      <c r="H18" s="14" t="inlineStr">
        <is>
          <t>Target</t>
        </is>
      </c>
      <c r="I18" s="4" t="n">
        <v>0.8</v>
      </c>
      <c r="J18" s="4" t="n">
        <v>0.8</v>
      </c>
      <c r="K18" s="4" t="n">
        <v>0.8</v>
      </c>
      <c r="L18" s="4" t="n">
        <v>0.8</v>
      </c>
      <c r="M18" s="4" t="n">
        <v>0.8</v>
      </c>
      <c r="N18" s="4" t="n">
        <v>0.8</v>
      </c>
      <c r="O18" s="4" t="n">
        <v>0.8</v>
      </c>
      <c r="P18" s="4" t="n">
        <v>0.8</v>
      </c>
      <c r="Q18" s="4" t="n">
        <v>0.8</v>
      </c>
      <c r="R18" s="4" t="n">
        <v>0.8</v>
      </c>
      <c r="S18" s="4" t="n">
        <v>0.8</v>
      </c>
      <c r="T18" s="4" t="n">
        <v>0.8</v>
      </c>
    </row>
    <row r="19">
      <c r="A19" s="671" t="n"/>
      <c r="B19" s="671" t="n"/>
      <c r="C19" s="671" t="n"/>
      <c r="D19" s="671" t="n"/>
      <c r="E19" s="671" t="n"/>
      <c r="F19" s="671" t="n"/>
      <c r="G19" s="671" t="n"/>
      <c r="H19" s="14" t="inlineStr">
        <is>
          <t>Actual</t>
        </is>
      </c>
      <c r="I19" s="5" t="n">
        <v>0.93</v>
      </c>
      <c r="J19" s="5" t="n">
        <v>0.89</v>
      </c>
      <c r="K19" s="5" t="n">
        <v>0.88</v>
      </c>
      <c r="L19" s="5" t="n">
        <v>0.84</v>
      </c>
      <c r="M19" s="5" t="n">
        <v>0.93</v>
      </c>
      <c r="N19" s="5" t="n">
        <v>0.93</v>
      </c>
      <c r="O19" s="5" t="n">
        <v>1</v>
      </c>
      <c r="P19" s="5" t="n">
        <v>1</v>
      </c>
      <c r="Q19" s="5" t="n">
        <v>0.92</v>
      </c>
      <c r="R19" s="5" t="n"/>
      <c r="S19" s="5" t="n"/>
      <c r="T19" s="5" t="n"/>
    </row>
    <row r="20" ht="14.85" customHeight="1">
      <c r="A20" s="461" t="n"/>
      <c r="B20" s="387" t="n"/>
      <c r="C20" s="230" t="n"/>
      <c r="D20" s="257" t="n"/>
      <c r="E20" s="230" t="n"/>
      <c r="F20" s="388" t="n"/>
      <c r="G20" s="230" t="n"/>
      <c r="H20" s="14" t="inlineStr">
        <is>
          <t>Target</t>
        </is>
      </c>
      <c r="I20" s="4" t="n">
        <v>0</v>
      </c>
      <c r="J20" s="4" t="n">
        <v>0</v>
      </c>
      <c r="K20" s="4" t="n">
        <v>0</v>
      </c>
      <c r="L20" s="4" t="n">
        <v>0</v>
      </c>
      <c r="M20" s="4" t="n">
        <v>0</v>
      </c>
      <c r="N20" s="4" t="n">
        <v>0</v>
      </c>
      <c r="O20" s="4" t="n">
        <v>0</v>
      </c>
      <c r="P20" s="4" t="n">
        <v>0</v>
      </c>
      <c r="Q20" s="4" t="n">
        <v>0</v>
      </c>
      <c r="R20" s="4" t="n">
        <v>0</v>
      </c>
      <c r="S20" s="4" t="n">
        <v>0</v>
      </c>
      <c r="T20" s="4" t="n">
        <v>0</v>
      </c>
    </row>
    <row r="21">
      <c r="A21" s="671" t="n"/>
      <c r="B21" s="671" t="n"/>
      <c r="C21" s="671" t="n"/>
      <c r="D21" s="671" t="n"/>
      <c r="E21" s="671" t="n"/>
      <c r="F21" s="671" t="n"/>
      <c r="G21" s="671" t="n"/>
      <c r="H21" s="14" t="inlineStr">
        <is>
          <t>Actual</t>
        </is>
      </c>
      <c r="I21" s="5" t="n"/>
      <c r="J21" s="5" t="n"/>
      <c r="K21" s="5" t="n"/>
      <c r="L21" s="5" t="n"/>
      <c r="M21" s="5" t="n"/>
      <c r="N21" s="5" t="n"/>
      <c r="O21" s="5" t="n"/>
      <c r="P21" s="5" t="n"/>
      <c r="Q21" s="5" t="n"/>
      <c r="R21" s="5" t="n"/>
      <c r="S21" s="5" t="n"/>
      <c r="T21" s="5" t="n"/>
    </row>
    <row r="22" ht="15" customHeight="1">
      <c r="E22" s="32" t="inlineStr">
        <is>
          <t xml:space="preserve">
</t>
        </is>
      </c>
      <c r="H22" s="33">
        <f>IF(OR($F15="Lower the better",$F15="Lower the Better"),
    IF(I15&gt;I14,$A14,""),
    IF(OR($F15="Higher the better",$F15="Higher the Better"),
       IF(I15&lt;I14,$A14,""),
       ""
    )
)</f>
        <v/>
      </c>
    </row>
    <row r="23" ht="21" customHeight="1">
      <c r="A23" s="10" t="inlineStr">
        <is>
          <t>Trends-</t>
        </is>
      </c>
    </row>
    <row r="24">
      <c r="A24" s="639" t="n"/>
    </row>
    <row r="25">
      <c r="A25" s="639" t="n"/>
    </row>
    <row r="26">
      <c r="A26" s="639" t="n"/>
    </row>
    <row r="27">
      <c r="A27" s="639" t="n"/>
    </row>
    <row r="28">
      <c r="A28" s="639" t="n"/>
    </row>
    <row r="29">
      <c r="A29" s="639" t="n"/>
    </row>
    <row r="30">
      <c r="A30" s="639" t="n"/>
    </row>
    <row r="31">
      <c r="A31" s="639" t="n"/>
    </row>
    <row r="32">
      <c r="A32" s="639" t="n"/>
    </row>
    <row r="33">
      <c r="A33" s="639" t="n"/>
    </row>
    <row r="34">
      <c r="A34" s="639" t="n"/>
    </row>
    <row r="35">
      <c r="A35" s="639" t="n"/>
    </row>
    <row r="36">
      <c r="A36" s="639" t="n"/>
    </row>
    <row r="37">
      <c r="A37" s="639" t="n"/>
    </row>
    <row r="38">
      <c r="A38" s="639" t="n"/>
    </row>
    <row r="39">
      <c r="A39" s="639" t="n"/>
    </row>
    <row r="40" ht="21" customHeight="1">
      <c r="A40" s="500" t="inlineStr">
        <is>
          <t>If the KPI is reported Red, fill all the details as mentioned below for analysis &amp; actions:</t>
        </is>
      </c>
    </row>
    <row r="41">
      <c r="A41" s="639" t="n"/>
    </row>
    <row r="42" ht="21" customHeight="1">
      <c r="A42" s="449" t="inlineStr">
        <is>
          <t>Root Cause Analysis-</t>
        </is>
      </c>
    </row>
    <row r="43" ht="20.1" customHeight="1">
      <c r="A43" s="466" t="inlineStr">
        <is>
          <t xml:space="preserve"> Red KPI</t>
        </is>
      </c>
      <c r="B43" s="361" t="inlineStr">
        <is>
          <t xml:space="preserve">Top Causes </t>
        </is>
      </c>
      <c r="C43" s="693" t="n"/>
      <c r="D43" s="693" t="n"/>
      <c r="E43" s="693" t="n"/>
      <c r="F43" s="692" t="n"/>
    </row>
    <row r="44" ht="15" customHeight="1">
      <c r="A44" s="694" t="n"/>
      <c r="B44" s="361" t="inlineStr">
        <is>
          <t xml:space="preserve">Cause 1 </t>
        </is>
      </c>
      <c r="C44" s="361" t="inlineStr">
        <is>
          <t>Cause 2</t>
        </is>
      </c>
      <c r="D44" s="361" t="inlineStr">
        <is>
          <t>Cause 3</t>
        </is>
      </c>
      <c r="E44" s="361" t="inlineStr">
        <is>
          <t>Cause 4</t>
        </is>
      </c>
      <c r="F44" s="361" t="inlineStr">
        <is>
          <t>Cause 5</t>
        </is>
      </c>
    </row>
    <row r="45" ht="19.35" customHeight="1">
      <c r="A45" s="40" t="inlineStr">
        <is>
          <t>Nego</t>
        </is>
      </c>
      <c r="B45" s="41" t="inlineStr">
        <is>
          <t>Gilardoni increased volume</t>
        </is>
      </c>
      <c r="C45" s="41" t="inlineStr">
        <is>
          <t>Installation defect</t>
        </is>
      </c>
      <c r="D45" s="41" t="inlineStr">
        <is>
          <t>Sony desaving</t>
        </is>
      </c>
      <c r="E45" s="41" t="inlineStr">
        <is>
          <t>Roots parts -foreex</t>
        </is>
      </c>
      <c r="F45" s="41" t="inlineStr">
        <is>
          <t>Spellman forecast reduced</t>
        </is>
      </c>
    </row>
    <row r="46" ht="19.35" customHeight="1">
      <c r="A46" s="27" t="inlineStr">
        <is>
          <t>% impact on KPI gap</t>
        </is>
      </c>
      <c r="B46" s="42" t="n">
        <v>0.8</v>
      </c>
      <c r="C46" s="42" t="n">
        <v>0.2</v>
      </c>
      <c r="D46" s="42" t="n">
        <v>0.05</v>
      </c>
      <c r="E46" s="42" t="n">
        <v>0.05</v>
      </c>
      <c r="F46" s="42" t="n">
        <v>0.1</v>
      </c>
    </row>
    <row r="47" ht="19.35" customHeight="1">
      <c r="A47" s="361" t="inlineStr">
        <is>
          <t>Red KPI</t>
        </is>
      </c>
      <c r="B47" s="361" t="inlineStr">
        <is>
          <t xml:space="preserve">Cause 1 </t>
        </is>
      </c>
      <c r="C47" s="361" t="inlineStr">
        <is>
          <t>Cause 2</t>
        </is>
      </c>
      <c r="D47" s="361" t="inlineStr">
        <is>
          <t>Cause 3</t>
        </is>
      </c>
      <c r="E47" s="361" t="inlineStr">
        <is>
          <t>Cause 4</t>
        </is>
      </c>
      <c r="F47" s="361" t="inlineStr">
        <is>
          <t>Cause 5</t>
        </is>
      </c>
    </row>
    <row r="48" ht="19.35" customHeight="1">
      <c r="A48" s="27" t="n"/>
      <c r="B48" s="41" t="n"/>
      <c r="C48" s="41" t="n"/>
      <c r="D48" s="41" t="n"/>
      <c r="E48" s="41" t="n"/>
      <c r="F48" s="41" t="n"/>
    </row>
    <row r="49" ht="19.35" customHeight="1">
      <c r="A49" s="27" t="inlineStr">
        <is>
          <t>% impact on KPI gap</t>
        </is>
      </c>
      <c r="B49" s="42" t="n"/>
      <c r="C49" s="42" t="n"/>
      <c r="D49" s="42" t="n"/>
      <c r="E49" s="42" t="n"/>
      <c r="F49" s="42" t="n"/>
    </row>
    <row r="50" ht="19.35" customHeight="1">
      <c r="A50" s="361" t="inlineStr">
        <is>
          <t>Red KPI</t>
        </is>
      </c>
      <c r="B50" s="361" t="inlineStr">
        <is>
          <t xml:space="preserve">Cause 1 </t>
        </is>
      </c>
      <c r="C50" s="361" t="inlineStr">
        <is>
          <t>Cause 2</t>
        </is>
      </c>
      <c r="D50" s="361" t="inlineStr">
        <is>
          <t>Cause 3</t>
        </is>
      </c>
      <c r="E50" s="361" t="inlineStr">
        <is>
          <t>Cause 4</t>
        </is>
      </c>
      <c r="F50" s="361" t="inlineStr">
        <is>
          <t>Cause 5</t>
        </is>
      </c>
    </row>
    <row r="51" ht="19.35" customHeight="1">
      <c r="A51" s="27" t="n"/>
      <c r="B51" s="41" t="n"/>
      <c r="C51" s="41" t="n"/>
      <c r="D51" s="41" t="n"/>
      <c r="E51" s="41" t="n"/>
      <c r="F51" s="41" t="n"/>
    </row>
    <row r="52" ht="19.35" customHeight="1">
      <c r="A52" s="27" t="inlineStr">
        <is>
          <t>% impact on KPI gap</t>
        </is>
      </c>
      <c r="B52" s="42" t="n"/>
      <c r="C52" s="42" t="n"/>
      <c r="D52" s="42" t="n"/>
      <c r="E52" s="42" t="n"/>
      <c r="F52" s="42" t="n"/>
    </row>
    <row r="53" ht="19.35" customHeight="1">
      <c r="A53" s="361" t="inlineStr">
        <is>
          <t>Red KPI</t>
        </is>
      </c>
      <c r="B53" s="361" t="inlineStr">
        <is>
          <t xml:space="preserve">Cause 1 </t>
        </is>
      </c>
      <c r="C53" s="361" t="inlineStr">
        <is>
          <t>Cause 2</t>
        </is>
      </c>
      <c r="D53" s="361" t="inlineStr">
        <is>
          <t>Cause 3</t>
        </is>
      </c>
      <c r="E53" s="361" t="inlineStr">
        <is>
          <t>Cause 4</t>
        </is>
      </c>
      <c r="F53" s="361" t="inlineStr">
        <is>
          <t>Cause 5</t>
        </is>
      </c>
    </row>
    <row r="54" ht="19.35" customHeight="1">
      <c r="A54" s="27" t="n"/>
      <c r="B54" s="41" t="n"/>
      <c r="C54" s="41" t="n"/>
      <c r="D54" s="41" t="n"/>
      <c r="E54" s="41" t="n"/>
      <c r="F54" s="41" t="n"/>
    </row>
    <row r="55" ht="19.35" customHeight="1">
      <c r="A55" s="27" t="inlineStr">
        <is>
          <t>% impact on KPI gap</t>
        </is>
      </c>
      <c r="B55" s="42" t="n"/>
      <c r="C55" s="42" t="n"/>
      <c r="D55" s="42" t="n"/>
      <c r="E55" s="42" t="n"/>
      <c r="F55" s="42" t="n"/>
    </row>
    <row r="56" ht="19.35" customHeight="1">
      <c r="A56" s="361" t="inlineStr">
        <is>
          <t>Red KPI</t>
        </is>
      </c>
      <c r="B56" s="361" t="inlineStr">
        <is>
          <t xml:space="preserve">Cause 1 </t>
        </is>
      </c>
      <c r="C56" s="361" t="inlineStr">
        <is>
          <t>Cause 2</t>
        </is>
      </c>
      <c r="D56" s="361" t="inlineStr">
        <is>
          <t>Cause 3</t>
        </is>
      </c>
      <c r="E56" s="361" t="inlineStr">
        <is>
          <t>Cause 4</t>
        </is>
      </c>
      <c r="F56" s="361" t="inlineStr">
        <is>
          <t>Cause 5</t>
        </is>
      </c>
    </row>
    <row r="57" ht="19.35" customHeight="1">
      <c r="A57" s="27" t="n"/>
      <c r="B57" s="41" t="n"/>
      <c r="C57" s="41" t="n"/>
      <c r="D57" s="41" t="n"/>
      <c r="E57" s="41" t="n"/>
      <c r="F57" s="41" t="n"/>
    </row>
    <row r="58" ht="19.35" customHeight="1">
      <c r="A58" s="27" t="inlineStr">
        <is>
          <t>% impact on KPI gap</t>
        </is>
      </c>
      <c r="B58" s="42" t="n"/>
      <c r="C58" s="42" t="n"/>
      <c r="D58" s="42" t="n"/>
      <c r="E58" s="42" t="n"/>
      <c r="F58" s="42" t="n"/>
    </row>
    <row r="59" ht="19.35" customHeight="1">
      <c r="A59" s="361" t="inlineStr">
        <is>
          <t>Red KPI</t>
        </is>
      </c>
      <c r="B59" s="361" t="inlineStr">
        <is>
          <t xml:space="preserve">Cause 1 </t>
        </is>
      </c>
      <c r="C59" s="361" t="inlineStr">
        <is>
          <t>Cause 2</t>
        </is>
      </c>
      <c r="D59" s="361" t="inlineStr">
        <is>
          <t>Cause 3</t>
        </is>
      </c>
      <c r="E59" s="361" t="inlineStr">
        <is>
          <t>Cause 4</t>
        </is>
      </c>
      <c r="F59" s="361" t="inlineStr">
        <is>
          <t>Cause 5</t>
        </is>
      </c>
    </row>
    <row r="60" ht="19.35" customHeight="1">
      <c r="A60" s="27" t="n"/>
      <c r="B60" s="41" t="n"/>
      <c r="C60" s="41" t="n"/>
      <c r="D60" s="41" t="n"/>
      <c r="E60" s="41" t="n"/>
      <c r="F60" s="41" t="n"/>
    </row>
    <row r="61" ht="19.35" customHeight="1">
      <c r="A61" s="27" t="inlineStr">
        <is>
          <t>% impact on KPI gap</t>
        </is>
      </c>
      <c r="B61" s="42" t="n"/>
      <c r="C61" s="42" t="n"/>
      <c r="D61" s="42" t="n"/>
      <c r="E61" s="42" t="n"/>
      <c r="F61" s="42" t="n"/>
    </row>
    <row r="62" ht="21" customHeight="1">
      <c r="A62" s="10" t="inlineStr">
        <is>
          <t>Paretos for RCA</t>
        </is>
      </c>
    </row>
    <row r="63">
      <c r="A63" s="639" t="n"/>
    </row>
    <row r="64">
      <c r="A64" s="639" t="n"/>
    </row>
    <row r="65">
      <c r="A65" s="639" t="n"/>
    </row>
    <row r="66">
      <c r="A66" s="639" t="n"/>
    </row>
    <row r="67">
      <c r="A67" s="639" t="n"/>
    </row>
    <row r="68">
      <c r="A68" s="639" t="n"/>
    </row>
    <row r="69">
      <c r="A69" s="639" t="n"/>
    </row>
    <row r="70">
      <c r="A70" s="639" t="n"/>
    </row>
    <row r="71">
      <c r="A71" s="639" t="n"/>
    </row>
    <row r="72">
      <c r="A72" s="639" t="n"/>
    </row>
    <row r="73">
      <c r="A73" s="639" t="n"/>
    </row>
    <row r="74">
      <c r="A74" s="639" t="n"/>
    </row>
    <row r="75">
      <c r="A75" s="639" t="n"/>
    </row>
    <row r="76">
      <c r="A76" s="639" t="n"/>
    </row>
    <row r="77" ht="15" customHeight="1" thickBot="1">
      <c r="A77" s="639" t="n"/>
    </row>
    <row r="78" ht="18.95" customHeight="1" thickBot="1">
      <c r="A78" s="695" t="inlineStr">
        <is>
          <t>Action tracker</t>
        </is>
      </c>
      <c r="B78" s="696" t="n"/>
      <c r="C78" s="696" t="n"/>
      <c r="D78" s="696" t="n"/>
      <c r="E78" s="696" t="n"/>
      <c r="F78" s="697" t="n"/>
      <c r="H78" s="698" t="inlineStr">
        <is>
          <t>Handshake Escalations/Support required</t>
        </is>
      </c>
      <c r="I78" s="696" t="n"/>
      <c r="J78" s="696" t="n"/>
      <c r="K78" s="696" t="n"/>
      <c r="L78" s="696" t="n"/>
      <c r="M78" s="696" t="n"/>
      <c r="N78" s="696" t="n"/>
      <c r="O78" s="697" t="n"/>
    </row>
    <row r="79" ht="41.85" customFormat="1" customHeight="1" s="15">
      <c r="A79" s="16" t="inlineStr">
        <is>
          <t>Red KPI</t>
        </is>
      </c>
      <c r="B79" s="17" t="inlineStr">
        <is>
          <t>Root cause description</t>
        </is>
      </c>
      <c r="C79" s="18" t="inlineStr">
        <is>
          <t>Corrective action</t>
        </is>
      </c>
      <c r="D79" s="19" t="inlineStr">
        <is>
          <t>Owner</t>
        </is>
      </c>
      <c r="E79" s="17" t="inlineStr">
        <is>
          <t>Due Date</t>
        </is>
      </c>
      <c r="F79" s="20" t="inlineStr">
        <is>
          <t>Status</t>
        </is>
      </c>
      <c r="H79" s="21" t="inlineStr">
        <is>
          <t>KPI Name</t>
        </is>
      </c>
      <c r="I79" s="22" t="inlineStr">
        <is>
          <t>Key Dependency</t>
        </is>
      </c>
      <c r="J79" s="22" t="inlineStr">
        <is>
          <t>Function Name</t>
        </is>
      </c>
      <c r="K79" s="23" t="inlineStr">
        <is>
          <t>What action/s from
 Function is expected</t>
        </is>
      </c>
      <c r="L79" s="23" t="inlineStr">
        <is>
          <t>Success measure for
Action Closure</t>
        </is>
      </c>
      <c r="M79" s="24" t="inlineStr">
        <is>
          <t>Handshaked
(Yes or No)</t>
        </is>
      </c>
      <c r="N79" s="23" t="inlineStr">
        <is>
          <t>Open issue description</t>
        </is>
      </c>
      <c r="O79" s="36" t="inlineStr">
        <is>
          <t>Solutions to 
Open issues</t>
        </is>
      </c>
    </row>
    <row r="80" ht="16.5" customHeight="1">
      <c r="A80" s="699" t="n"/>
      <c r="B80" s="388" t="n"/>
      <c r="C80" s="388" t="n"/>
      <c r="D80" s="388" t="n"/>
      <c r="E80" s="379" t="n"/>
      <c r="F80" s="700" t="n">
        <v>1</v>
      </c>
      <c r="H80" s="736" t="inlineStr">
        <is>
          <t>Critical supplier Derisking</t>
        </is>
      </c>
      <c r="I80" s="702" t="inlineStr">
        <is>
          <t xml:space="preserve"> agrement on No of suppliers</t>
        </is>
      </c>
      <c r="J80" s="701" t="inlineStr">
        <is>
          <t>R&amp;D</t>
        </is>
      </c>
      <c r="K80" s="702" t="inlineStr">
        <is>
          <t>Agreement / budget / resource allocation</t>
        </is>
      </c>
      <c r="L80" s="701" t="n"/>
      <c r="M80" s="703" t="inlineStr">
        <is>
          <t>Yes</t>
        </is>
      </c>
      <c r="N80" s="701" t="n"/>
      <c r="O80" s="704" t="n"/>
    </row>
    <row r="81" ht="18" customHeight="1">
      <c r="A81" s="705" t="n"/>
      <c r="B81" s="671" t="n"/>
      <c r="C81" s="671" t="n"/>
      <c r="D81" s="671" t="n"/>
      <c r="E81" s="671" t="n"/>
      <c r="F81" s="672" t="n"/>
      <c r="H81" s="671" t="n"/>
      <c r="I81" s="671" t="n"/>
      <c r="J81" s="671" t="n"/>
      <c r="K81" s="671" t="n"/>
      <c r="L81" s="671" t="n"/>
      <c r="M81" s="671" t="n"/>
      <c r="N81" s="671" t="n"/>
      <c r="O81" s="672" t="n"/>
    </row>
    <row r="82" ht="17.1" customHeight="1">
      <c r="A82" s="699" t="n"/>
      <c r="B82" s="388" t="n"/>
      <c r="C82" s="388" t="n"/>
      <c r="D82" s="388" t="n"/>
      <c r="E82" s="379" t="n"/>
      <c r="F82" s="700" t="n">
        <v>1</v>
      </c>
      <c r="H82" s="699" t="n"/>
      <c r="I82" s="701" t="n"/>
      <c r="J82" s="701" t="n"/>
      <c r="K82" s="701" t="n"/>
      <c r="L82" s="701" t="n"/>
      <c r="M82" s="701" t="n"/>
      <c r="N82" s="701" t="n"/>
      <c r="O82" s="704" t="n"/>
    </row>
    <row r="83" ht="17.1" customHeight="1">
      <c r="A83" s="705" t="n"/>
      <c r="B83" s="671" t="n"/>
      <c r="C83" s="671" t="n"/>
      <c r="D83" s="671" t="n"/>
      <c r="E83" s="671" t="n"/>
      <c r="F83" s="672" t="n"/>
      <c r="H83" s="705" t="n"/>
      <c r="I83" s="671" t="n"/>
      <c r="J83" s="671" t="n"/>
      <c r="K83" s="671" t="n"/>
      <c r="L83" s="671" t="n"/>
      <c r="M83" s="671" t="n"/>
      <c r="N83" s="671" t="n"/>
      <c r="O83" s="672" t="n"/>
    </row>
    <row r="84" ht="17.1" customHeight="1">
      <c r="A84" s="699" t="n"/>
      <c r="B84" s="388" t="n"/>
      <c r="C84" s="388" t="n"/>
      <c r="D84" s="388" t="n"/>
      <c r="E84" s="379" t="n"/>
      <c r="F84" s="700" t="n">
        <v>1</v>
      </c>
      <c r="H84" s="699" t="n"/>
      <c r="I84" s="701" t="n"/>
      <c r="J84" s="701" t="n"/>
      <c r="K84" s="701" t="n"/>
      <c r="L84" s="701" t="n"/>
      <c r="M84" s="703" t="n"/>
      <c r="N84" s="701" t="n"/>
      <c r="O84" s="704" t="n"/>
    </row>
    <row r="85" ht="16.5" customHeight="1">
      <c r="A85" s="705" t="n"/>
      <c r="B85" s="671" t="n"/>
      <c r="C85" s="671" t="n"/>
      <c r="D85" s="671" t="n"/>
      <c r="E85" s="671" t="n"/>
      <c r="F85" s="672" t="n"/>
      <c r="H85" s="705" t="n"/>
      <c r="I85" s="671" t="n"/>
      <c r="J85" s="671" t="n"/>
      <c r="K85" s="671" t="n"/>
      <c r="L85" s="671" t="n"/>
      <c r="M85" s="671" t="n"/>
      <c r="N85" s="671" t="n"/>
      <c r="O85" s="672" t="n"/>
    </row>
    <row r="86" ht="16.5" customHeight="1">
      <c r="A86" s="699" t="n"/>
      <c r="B86" s="388" t="n"/>
      <c r="C86" s="388" t="n"/>
      <c r="D86" s="388" t="n"/>
      <c r="E86" s="379" t="n"/>
      <c r="F86" s="700" t="n">
        <v>1</v>
      </c>
      <c r="H86" s="699" t="n"/>
      <c r="I86" s="701" t="n"/>
      <c r="J86" s="701" t="n"/>
      <c r="K86" s="701" t="n"/>
      <c r="L86" s="701" t="n"/>
      <c r="M86" s="703" t="n"/>
      <c r="N86" s="701" t="n"/>
      <c r="O86" s="704" t="n"/>
    </row>
    <row r="87" ht="16.5" customHeight="1">
      <c r="A87" s="705" t="n"/>
      <c r="B87" s="671" t="n"/>
      <c r="C87" s="671" t="n"/>
      <c r="D87" s="671" t="n"/>
      <c r="E87" s="671" t="n"/>
      <c r="F87" s="672" t="n"/>
      <c r="H87" s="705" t="n"/>
      <c r="I87" s="671" t="n"/>
      <c r="J87" s="671" t="n"/>
      <c r="K87" s="671" t="n"/>
      <c r="L87" s="671" t="n"/>
      <c r="M87" s="671" t="n"/>
      <c r="N87" s="671" t="n"/>
      <c r="O87" s="672" t="n"/>
    </row>
    <row r="88" ht="16.5" customHeight="1">
      <c r="A88" s="699" t="n"/>
      <c r="B88" s="388" t="n"/>
      <c r="C88" s="388" t="n"/>
      <c r="D88" s="388" t="n"/>
      <c r="E88" s="379" t="n"/>
      <c r="F88" s="700" t="n">
        <v>1</v>
      </c>
      <c r="H88" s="699" t="n"/>
      <c r="I88" s="701" t="n"/>
      <c r="J88" s="701" t="n"/>
      <c r="K88" s="701" t="n"/>
      <c r="L88" s="701" t="n"/>
      <c r="M88" s="703" t="n"/>
      <c r="N88" s="701" t="n"/>
      <c r="O88" s="704" t="n"/>
    </row>
    <row r="89" ht="16.5" customHeight="1">
      <c r="A89" s="705" t="n"/>
      <c r="B89" s="671" t="n"/>
      <c r="C89" s="671" t="n"/>
      <c r="D89" s="671" t="n"/>
      <c r="E89" s="671" t="n"/>
      <c r="F89" s="672" t="n"/>
      <c r="H89" s="705" t="n"/>
      <c r="I89" s="671" t="n"/>
      <c r="J89" s="671" t="n"/>
      <c r="K89" s="671" t="n"/>
      <c r="L89" s="671" t="n"/>
      <c r="M89" s="671" t="n"/>
      <c r="N89" s="671" t="n"/>
      <c r="O89" s="672" t="n"/>
    </row>
    <row r="90" ht="16.5" customHeight="1">
      <c r="A90" s="699" t="n"/>
      <c r="B90" s="707" t="n"/>
      <c r="C90" s="707" t="n"/>
      <c r="D90" s="707" t="n"/>
      <c r="E90" s="708" t="n"/>
      <c r="F90" s="700" t="n">
        <v>1</v>
      </c>
      <c r="H90" s="709" t="n"/>
      <c r="I90" s="710" t="n"/>
      <c r="J90" s="710" t="n"/>
      <c r="K90" s="710" t="n"/>
      <c r="L90" s="710" t="n"/>
      <c r="M90" s="711" t="n"/>
      <c r="N90" s="710" t="n"/>
      <c r="O90" s="712" t="n"/>
    </row>
    <row r="91" ht="17.1" customHeight="1" thickBot="1">
      <c r="A91" s="705" t="n"/>
      <c r="B91" s="713" t="n"/>
      <c r="C91" s="713" t="n"/>
      <c r="D91" s="713" t="n"/>
      <c r="E91" s="713" t="n"/>
      <c r="F91" s="672" t="n"/>
      <c r="H91" s="714" t="n"/>
      <c r="I91" s="713" t="n"/>
      <c r="J91" s="713" t="n"/>
      <c r="K91" s="713" t="n"/>
      <c r="L91" s="713" t="n"/>
      <c r="M91" s="713" t="n"/>
      <c r="N91" s="713" t="n"/>
      <c r="O91" s="715" t="n"/>
    </row>
    <row r="92">
      <c r="A92" s="34" t="inlineStr">
        <is>
          <t>Action not assigned</t>
        </is>
      </c>
      <c r="B92" s="34" t="inlineStr">
        <is>
          <t>Action assigned</t>
        </is>
      </c>
      <c r="C92" s="35" t="inlineStr">
        <is>
          <t>Action started</t>
        </is>
      </c>
      <c r="D92" s="35" t="inlineStr">
        <is>
          <t>Action in progress</t>
        </is>
      </c>
      <c r="E92" s="165" t="inlineStr">
        <is>
          <t>Action completed</t>
        </is>
      </c>
      <c r="F92" s="716" t="n"/>
      <c r="G92" s="639" t="n"/>
    </row>
    <row r="93">
      <c r="A93" s="639" t="n"/>
      <c r="C93" s="639" t="n"/>
      <c r="D93" s="639" t="n"/>
      <c r="E93" s="639" t="n"/>
      <c r="F93" s="639" t="n"/>
      <c r="G93" s="639" t="n"/>
    </row>
    <row r="94">
      <c r="C94" s="639" t="n"/>
      <c r="D94" s="639" t="n"/>
      <c r="E94" s="639" t="n"/>
      <c r="F94" s="639" t="n"/>
      <c r="G94" s="639" t="n"/>
      <c r="H94" s="639" t="n"/>
    </row>
  </sheetData>
  <mergeCells count="141">
    <mergeCell ref="F84:F85"/>
    <mergeCell ref="H82:H83"/>
    <mergeCell ref="J82:J83"/>
    <mergeCell ref="K88:K89"/>
    <mergeCell ref="E8:E9"/>
    <mergeCell ref="M88:M89"/>
    <mergeCell ref="G8:G9"/>
    <mergeCell ref="H78:O78"/>
    <mergeCell ref="E88:E89"/>
    <mergeCell ref="B86:B87"/>
    <mergeCell ref="D86:D87"/>
    <mergeCell ref="F86:F87"/>
    <mergeCell ref="A16:A17"/>
    <mergeCell ref="C10:C11"/>
    <mergeCell ref="C16:C17"/>
    <mergeCell ref="E10:E11"/>
    <mergeCell ref="G10:G11"/>
    <mergeCell ref="M90:M91"/>
    <mergeCell ref="F18:F19"/>
    <mergeCell ref="B14:B15"/>
    <mergeCell ref="H88:H89"/>
    <mergeCell ref="K90:K91"/>
    <mergeCell ref="D16:D17"/>
    <mergeCell ref="B6:B7"/>
    <mergeCell ref="K82:K83"/>
    <mergeCell ref="G18:G19"/>
    <mergeCell ref="H90:H91"/>
    <mergeCell ref="B80:B81"/>
    <mergeCell ref="D18:D19"/>
    <mergeCell ref="A42:B42"/>
    <mergeCell ref="I82:I83"/>
    <mergeCell ref="D8:D9"/>
    <mergeCell ref="A20:A21"/>
    <mergeCell ref="N90:N91"/>
    <mergeCell ref="C86:C87"/>
    <mergeCell ref="I84:I85"/>
    <mergeCell ref="D10:D11"/>
    <mergeCell ref="O82:O83"/>
    <mergeCell ref="L80:L81"/>
    <mergeCell ref="N80:N81"/>
    <mergeCell ref="J88:J89"/>
    <mergeCell ref="I86:I87"/>
    <mergeCell ref="L82:L83"/>
    <mergeCell ref="C6:C7"/>
    <mergeCell ref="F16:F17"/>
    <mergeCell ref="C14:C15"/>
    <mergeCell ref="K80:K81"/>
    <mergeCell ref="E14:E15"/>
    <mergeCell ref="A88:A89"/>
    <mergeCell ref="B90:B91"/>
    <mergeCell ref="F20:F21"/>
    <mergeCell ref="A90:A91"/>
    <mergeCell ref="B43:F43"/>
    <mergeCell ref="B84:B85"/>
    <mergeCell ref="L84:L85"/>
    <mergeCell ref="H80:H81"/>
    <mergeCell ref="A8:A9"/>
    <mergeCell ref="N84:N85"/>
    <mergeCell ref="C8:C9"/>
    <mergeCell ref="C82:C83"/>
    <mergeCell ref="L86:L87"/>
    <mergeCell ref="A10:A11"/>
    <mergeCell ref="N86:N87"/>
    <mergeCell ref="A43:A44"/>
    <mergeCell ref="D88:D89"/>
    <mergeCell ref="F88:F89"/>
    <mergeCell ref="B16:B17"/>
    <mergeCell ref="O86:O87"/>
    <mergeCell ref="C18:C19"/>
    <mergeCell ref="F10:F11"/>
    <mergeCell ref="A40:E40"/>
    <mergeCell ref="D90:D91"/>
    <mergeCell ref="A84:A85"/>
    <mergeCell ref="B18:B19"/>
    <mergeCell ref="C20:C21"/>
    <mergeCell ref="E82:E83"/>
    <mergeCell ref="E20:E21"/>
    <mergeCell ref="B8:B9"/>
    <mergeCell ref="D80:D81"/>
    <mergeCell ref="A6:A7"/>
    <mergeCell ref="E92:F92"/>
    <mergeCell ref="B82:B83"/>
    <mergeCell ref="C84:C85"/>
    <mergeCell ref="E84:E85"/>
    <mergeCell ref="A80:A81"/>
    <mergeCell ref="C80:C81"/>
    <mergeCell ref="M80:M81"/>
    <mergeCell ref="F8:F9"/>
    <mergeCell ref="N88:N89"/>
    <mergeCell ref="G6:G7"/>
    <mergeCell ref="E86:E87"/>
    <mergeCell ref="A3:B3"/>
    <mergeCell ref="A14:A15"/>
    <mergeCell ref="H84:H85"/>
    <mergeCell ref="N82:N83"/>
    <mergeCell ref="I88:I89"/>
    <mergeCell ref="E80:E81"/>
    <mergeCell ref="J90:J91"/>
    <mergeCell ref="H86:H87"/>
    <mergeCell ref="L90:L91"/>
    <mergeCell ref="B20:B21"/>
    <mergeCell ref="E16:E17"/>
    <mergeCell ref="D20:D21"/>
    <mergeCell ref="G16:G17"/>
    <mergeCell ref="D14:D15"/>
    <mergeCell ref="F14:F15"/>
    <mergeCell ref="I90:I91"/>
    <mergeCell ref="E18:E19"/>
    <mergeCell ref="O90:O91"/>
    <mergeCell ref="I80:I81"/>
    <mergeCell ref="A78:F78"/>
    <mergeCell ref="M82:M83"/>
    <mergeCell ref="D6:D7"/>
    <mergeCell ref="F6:F7"/>
    <mergeCell ref="J84:J85"/>
    <mergeCell ref="F80:F81"/>
    <mergeCell ref="J86:J87"/>
    <mergeCell ref="C88:C89"/>
    <mergeCell ref="K84:K85"/>
    <mergeCell ref="O88:O89"/>
    <mergeCell ref="M84:M85"/>
    <mergeCell ref="O84:O85"/>
    <mergeCell ref="B88:B89"/>
    <mergeCell ref="C90:C91"/>
    <mergeCell ref="A86:A87"/>
    <mergeCell ref="L88:L89"/>
    <mergeCell ref="E90:E91"/>
    <mergeCell ref="J80:J81"/>
    <mergeCell ref="K86:K87"/>
    <mergeCell ref="E6:E7"/>
    <mergeCell ref="M86:M87"/>
    <mergeCell ref="B10:B11"/>
    <mergeCell ref="A18:A19"/>
    <mergeCell ref="G20:G21"/>
    <mergeCell ref="O80:O81"/>
    <mergeCell ref="G14:G15"/>
    <mergeCell ref="F90:F91"/>
    <mergeCell ref="F82:F83"/>
    <mergeCell ref="D82:D83"/>
    <mergeCell ref="A82:A83"/>
    <mergeCell ref="D84:D85"/>
  </mergeCells>
  <conditionalFormatting sqref="A80:A91">
    <cfRule type="containsBlanks" priority="21" dxfId="3">
      <formula>LEN(TRIM(A80))=0</formula>
    </cfRule>
  </conditionalFormatting>
  <conditionalFormatting sqref="A45:F45 A48:F48 A51:F51 A54:F54 A57:F57 A60:F60 B46:F46 B49:F49 B52:F52 B55:F55 B58:F58 B61:F61">
    <cfRule type="containsBlanks" priority="20" dxfId="3">
      <formula>LEN(TRIM(A45))=0</formula>
    </cfRule>
  </conditionalFormatting>
  <conditionalFormatting sqref="A6:G6">
    <cfRule type="containsBlanks" priority="16" dxfId="3">
      <formula>LEN(TRIM(A6))=0</formula>
    </cfRule>
  </conditionalFormatting>
  <conditionalFormatting sqref="A8:G8">
    <cfRule type="containsBlanks" priority="15" dxfId="3">
      <formula>LEN(TRIM(A8))=0</formula>
    </cfRule>
  </conditionalFormatting>
  <conditionalFormatting sqref="A10:G10">
    <cfRule type="containsBlanks" priority="14" dxfId="3">
      <formula>LEN(TRIM(A10))=0</formula>
    </cfRule>
  </conditionalFormatting>
  <conditionalFormatting sqref="A14:G14">
    <cfRule type="containsBlanks" priority="8" dxfId="3">
      <formula>LEN(TRIM(A14))=0</formula>
    </cfRule>
  </conditionalFormatting>
  <conditionalFormatting sqref="A16:G16">
    <cfRule type="containsBlanks" priority="7" dxfId="3">
      <formula>LEN(TRIM(A16))=0</formula>
    </cfRule>
  </conditionalFormatting>
  <conditionalFormatting sqref="A18:G18">
    <cfRule type="containsBlanks" priority="6" dxfId="3">
      <formula>LEN(TRIM(A18))=0</formula>
    </cfRule>
  </conditionalFormatting>
  <conditionalFormatting sqref="A20:G20">
    <cfRule type="containsBlanks" priority="10" dxfId="3">
      <formula>LEN(TRIM(A20))=0</formula>
    </cfRule>
  </conditionalFormatting>
  <conditionalFormatting sqref="B80:E80 B82:E82 B84:E84 B86:E86 B88:E88 B90:E90">
    <cfRule type="containsBlanks" priority="29" dxfId="3">
      <formula>LEN(TRIM(B80))=0</formula>
    </cfRule>
  </conditionalFormatting>
  <conditionalFormatting sqref="D1 F1">
    <cfRule type="containsBlanks" priority="36" dxfId="3">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priority="35" dxfId="19">
      <formula>AND(#REF!&lt;&gt;"",E80&lt;TODAY(),F80&lt;4)</formula>
    </cfRule>
  </conditionalFormatting>
  <conditionalFormatting sqref="H80">
    <cfRule type="containsBlanks" priority="9" dxfId="3">
      <formula>LEN(TRIM(H80))=0</formula>
    </cfRule>
  </conditionalFormatting>
  <conditionalFormatting sqref="H82:H91">
    <cfRule type="containsBlanks" priority="19" dxfId="3">
      <formula>LEN(TRIM(H82))=0</formula>
    </cfRule>
  </conditionalFormatting>
  <conditionalFormatting sqref="I7:T7 I9:T9 I11:T11 I15:J15 I17:T17 I21:T21">
    <cfRule type="expression" priority="24" dxfId="0">
      <formula>AND(OR($F6="Lower the better", $F6="Lower the Better"), I7&gt;I6)</formula>
    </cfRule>
    <cfRule type="expression" priority="25" dxfId="1">
      <formula>AND(OR($F6="Lower the better", $F6="Lower the Better"), I7&lt;=I6)</formula>
    </cfRule>
    <cfRule type="expression" priority="26" dxfId="0">
      <formula>AND(OR($F6="Higher the better", $F6="Higher the Better"), I7&lt;I6)</formula>
    </cfRule>
  </conditionalFormatting>
  <conditionalFormatting sqref="I19:N19">
    <cfRule type="expression" priority="5" dxfId="1" stopIfTrue="1">
      <formula>AND(OR($F18="Higher the better", $F18="Higher the Better"), I19&gt;=I18)</formula>
    </cfRule>
  </conditionalFormatting>
  <conditionalFormatting sqref="I80:O80 I82:O82 I84:O84 I86:O86 I88:O88 I90:O90">
    <cfRule type="containsBlanks" priority="28" dxfId="3">
      <formula>LEN(TRIM(I80))=0</formula>
    </cfRule>
  </conditionalFormatting>
  <conditionalFormatting sqref="I7:T7 I9:T9 I11:T11 I15:J15 I17:T17 I21:T21 O19:T19">
    <cfRule type="expression" priority="27" dxfId="1">
      <formula>AND(OR($F6="Higher the better", $F6="Higher the Better"), I7&gt;=I6)</formula>
    </cfRule>
  </conditionalFormatting>
  <conditionalFormatting sqref="I7:T7 I9:T9 I11:T11">
    <cfRule type="containsBlanks" priority="22" dxfId="3">
      <formula>LEN(TRIM(I7))=0</formula>
    </cfRule>
  </conditionalFormatting>
  <conditionalFormatting sqref="I15:T15 I17:T17 I21:T21">
    <cfRule type="containsBlanks" priority="23" dxfId="3">
      <formula>LEN(TRIM(I15))=0</formula>
    </cfRule>
  </conditionalFormatting>
  <conditionalFormatting sqref="I15:T15">
    <cfRule type="expression" priority="30" dxfId="0">
      <formula>AND(OR($F14="Lower the better", $F14="Lower the Better"), I15&gt;I14)</formula>
    </cfRule>
    <cfRule type="expression" priority="31" dxfId="1">
      <formula>AND(OR($F14="Lower the better", $F14="Lower the Better"), I15&lt;=I14)</formula>
    </cfRule>
    <cfRule type="expression" priority="32" dxfId="0">
      <formula>AND(OR($F14="Higher the better", $F14="Higher the Better"), I15&lt;I14)</formula>
    </cfRule>
    <cfRule type="expression" priority="33" dxfId="1" stopIfTrue="1">
      <formula>AND(OR($F14="Higher the better", $F14="Higher the Better"), I15&gt;=I14)</formula>
    </cfRule>
  </conditionalFormatting>
  <conditionalFormatting sqref="I19:T19">
    <cfRule type="expression" priority="2" dxfId="0">
      <formula>AND(OR($F18="Lower the better", $F18="Lower the Better"), I19&gt;I18)</formula>
    </cfRule>
    <cfRule type="expression" priority="3" dxfId="1">
      <formula>AND(OR($F18="Lower the better", $F18="Lower the Better"), I19&lt;=I18)</formula>
    </cfRule>
    <cfRule type="expression" priority="4" dxfId="0">
      <formula>AND(OR($F18="Higher the better", $F18="Higher the Better"), I19&lt;I18)</formula>
    </cfRule>
    <cfRule type="containsBlanks" priority="1" dxfId="3">
      <formula>LEN(TRIM(I19))=0</formula>
    </cfRule>
  </conditionalFormatting>
  <conditionalFormatting sqref="M80:M81 M84:M91">
    <cfRule type="containsText" priority="17" operator="containsText" dxfId="6" text="No">
      <formula>NOT(ISERROR(SEARCH("No",M80)))</formula>
    </cfRule>
    <cfRule type="containsText" priority="18" operator="containsText" dxfId="5" text="Yes">
      <formula>NOT(ISERROR(SEARCH("Yes",M80)))</formula>
    </cfRule>
  </conditionalFormatting>
  <dataValidations count="7">
    <dataValidation sqref="E6:E11 E14 E16 E18:E21" showDropDown="0" showInputMessage="1" showErrorMessage="1" allowBlank="1" type="list">
      <formula1>"%, Mn, No., "</formula1>
    </dataValidation>
    <dataValidation sqref="B1:B2" showDropDown="0" showInputMessage="1" showErrorMessage="1" allowBlank="1" type="list">
      <formula1>"Jan-2026, Feb-2026, Mar-2026, Apr-2026, May-2026, Jun-2026, Jul-2026, Aug-2026, Sep-2026, Oct-2026, Nov-2026, Dec-2026"</formula1>
    </dataValidation>
    <dataValidation sqref="M80 M84 M86 M88 M90" showDropDown="0" showInputMessage="1" showErrorMessage="1" allowBlank="1" type="list">
      <formula1>"Yes, No"</formula1>
    </dataValidation>
    <dataValidation sqref="C6:C11 C14 C16 C18:C21" showDropDown="0" showInputMessage="1" showErrorMessage="1" allowBlank="1" type="list">
      <formula1>"&gt;, &lt;, &gt;=, &lt;=, ="</formula1>
    </dataValidation>
    <dataValidation sqref="G6:G11 G14 G16 G18:G21" showDropDown="0" showInputMessage="1" showErrorMessage="1" allowBlank="1" type="list">
      <formula1>"Monthly, Quarterly, Half yearly"</formula1>
    </dataValidation>
    <dataValidation sqref="F6:F11 F14 F16 F18:F21" showDropDown="0" showInputMessage="1" showErrorMessage="1" allowBlank="1" type="list">
      <formula1>"Higher the better, Lower the better"</formula1>
    </dataValidation>
    <dataValidation sqref="F80:G80 F82:G82 F84:G84 F86:G86 F88:G88 F90:G90" showDropDown="0" showInputMessage="1" showErrorMessage="1" allowBlank="1" type="list">
      <formula1>"1,2,3,4,5"</formula1>
    </dataValidation>
  </dataValidation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codeName="Sheet7">
    <outlinePr summaryBelow="1" summaryRight="1"/>
    <pageSetUpPr/>
  </sheetPr>
  <dimension ref="A1:AI144"/>
  <sheetViews>
    <sheetView zoomScale="72" zoomScaleNormal="72" workbookViewId="0">
      <pane xSplit="2" ySplit="5" topLeftCell="L6" activePane="bottomRight" state="frozen"/>
      <selection pane="bottomRight" activeCell="Q19" sqref="Q19"/>
      <selection pane="bottomLeft" activeCell="A6" sqref="A6"/>
      <selection pane="topRight" activeCell="C1" sqref="C1"/>
    </sheetView>
  </sheetViews>
  <sheetFormatPr baseColWidth="8" defaultRowHeight="14.45"/>
  <cols>
    <col width="25.5703125" customWidth="1" min="1" max="1"/>
    <col width="44.5703125" customWidth="1" style="639" min="2" max="2"/>
    <col width="25.42578125" customWidth="1" min="3" max="3"/>
    <col width="17.42578125" customWidth="1" min="4" max="4"/>
    <col width="21.5703125" customWidth="1" min="5" max="5"/>
    <col width="20.5703125" customWidth="1" min="6" max="6"/>
    <col width="12" customWidth="1" min="7" max="7"/>
    <col width="14.5703125" customWidth="1" min="8" max="8"/>
    <col width="15.42578125" customWidth="1" min="9" max="9"/>
    <col width="16.42578125" customWidth="1" min="10" max="10"/>
    <col width="17" customWidth="1" min="11" max="11"/>
    <col width="16.5703125" customWidth="1" min="12" max="12"/>
    <col width="15.5703125" customWidth="1" min="13" max="13"/>
    <col width="16" customWidth="1" min="14" max="14"/>
    <col width="17" customWidth="1" min="15" max="15"/>
    <col width="17.5703125" customWidth="1" min="16" max="16"/>
    <col width="14.5703125" customWidth="1" min="17" max="17"/>
    <col width="14.42578125" customWidth="1" min="18" max="18"/>
    <col width="14.5703125" customWidth="1" min="19" max="19"/>
    <col width="14.42578125" customWidth="1" min="20" max="20"/>
    <col width="13.5703125" customWidth="1" min="21" max="21"/>
    <col width="17.42578125" customWidth="1" min="22" max="22"/>
    <col hidden="1" width="8.5703125" customWidth="1" min="23" max="24"/>
    <col hidden="1" width="14.42578125" customWidth="1" min="25" max="25"/>
    <col hidden="1" width="8.5703125" customWidth="1" min="26" max="35"/>
    <col width="8.5703125" customWidth="1" min="36" max="49"/>
  </cols>
  <sheetData>
    <row r="1" ht="19.35" customHeight="1">
      <c r="A1" s="12" t="inlineStr">
        <is>
          <t>Month</t>
        </is>
      </c>
      <c r="B1" s="666" t="n">
        <v>46023</v>
      </c>
      <c r="C1" s="12" t="inlineStr">
        <is>
          <t xml:space="preserve">MT Owner: </t>
        </is>
      </c>
      <c r="D1" s="12" t="inlineStr">
        <is>
          <t>Shivaraj Gopalan</t>
        </is>
      </c>
      <c r="E1" s="12" t="inlineStr">
        <is>
          <t>MT Delegate:</t>
        </is>
      </c>
      <c r="F1" s="39" t="n"/>
      <c r="W1" t="inlineStr">
        <is>
          <t>Actual green</t>
        </is>
      </c>
      <c r="X1">
        <f>IF(I15&lt;&gt;"",IF($F14="Higher the better",IF(I15&gt;=I14,I15,NA()),IF(I15&lt;=I14,I15,NA())),NA())</f>
        <v/>
      </c>
      <c r="Y1">
        <f>IF(J15&lt;&gt;"",IF($F14="Higher the better",IF(J15&gt;=J14,J15,NA()),IF(J15&lt;=J14,J15,NA())),NA())</f>
        <v/>
      </c>
      <c r="Z1">
        <f>IF(K15&lt;&gt;"",IF($F14="Higher the better",IF(K15&gt;=K14,K15,NA()),IF(K15&lt;=K14,K15,NA())),NA())</f>
        <v/>
      </c>
      <c r="AA1">
        <f>IF(L15&lt;&gt;"",IF($F14="Higher the better",IF(L15&gt;=L14,L15,NA()),IF(L15&lt;=L14,L15,NA())),NA())</f>
        <v/>
      </c>
      <c r="AB1">
        <f>IF(M15&lt;&gt;"",IF($F14="Higher the better",IF(M15&gt;=M14,M15,NA()),IF(M15&lt;=M14,M15,NA())),NA())</f>
        <v/>
      </c>
      <c r="AC1">
        <f>IF(N15&lt;&gt;"",IF($F14="Higher the better",IF(N15&gt;=N14,N15,NA()),IF(N15&lt;=N14,N15,NA())),NA())</f>
        <v/>
      </c>
      <c r="AD1">
        <f>IF(O15&lt;&gt;"",IF($F14="Higher the better",IF(O15&gt;=O14,O15,NA()),IF(O15&lt;=O14,O15,NA())),NA())</f>
        <v/>
      </c>
      <c r="AE1">
        <f>IF(P15&lt;&gt;"",IF($F14="Higher the better",IF(P15&gt;=P14,P15,NA()),IF(P15&lt;=P14,P15,NA())),NA())</f>
        <v/>
      </c>
      <c r="AF1">
        <f>IF(Q15&lt;&gt;"",IF($F14="Higher the better",IF(Q15&gt;=Q14,Q15,NA()),IF(Q15&lt;=Q14,Q15,NA())),NA())</f>
        <v/>
      </c>
      <c r="AG1">
        <f>IF(R15&lt;&gt;"",IF($F14="Higher the better",IF(R15&gt;=R14,R15,NA()),IF(R15&lt;=R14,R15,NA())),NA())</f>
        <v/>
      </c>
      <c r="AH1">
        <f>IF(S15&lt;&gt;"",IF($F14="Higher the better",IF(S15&gt;=S14,S15,NA()),IF(S15&lt;=S14,S15,NA())),NA())</f>
        <v/>
      </c>
      <c r="AI1">
        <f>IF(T15&lt;&gt;"",IF($F14="Higher the better",IF(T15&gt;=T14,T15,NA()),IF(T15&lt;=T14,T15,NA())),NA())</f>
        <v/>
      </c>
    </row>
    <row r="2" ht="19.35" customHeight="1">
      <c r="A2" s="13" t="n"/>
      <c r="B2" s="683" t="n"/>
      <c r="D2" s="13" t="n"/>
      <c r="E2" s="13" t="n"/>
      <c r="W2" t="inlineStr">
        <is>
          <t>Actual red</t>
        </is>
      </c>
      <c r="X2">
        <f>IF(I15&lt;&gt;"",IF($F14="Higher the better",IF(I15&lt;I14,I15,NA()),IF(I15&gt;I14,I15,NA())),NA())</f>
        <v/>
      </c>
      <c r="Y2">
        <f>IF(J15&lt;&gt;"",IF($F14="Higher the better",IF(J15&lt;J14,J15,NA()),IF(J15&gt;J14,J15,NA())),NA())</f>
        <v/>
      </c>
      <c r="Z2">
        <f>IF(K15&lt;&gt;"",IF($F14="Higher the better",IF(K15&lt;K14,K15,NA()),IF(K15&gt;K14,K15,NA())),NA())</f>
        <v/>
      </c>
      <c r="AA2">
        <f>IF(L15&lt;&gt;"",IF($F14="Higher the better",IF(L15&lt;L14,L15,NA()),IF(L15&gt;L14,L15,NA())),NA())</f>
        <v/>
      </c>
      <c r="AB2">
        <f>IF(M15&lt;&gt;"",IF($F14="Higher the better",IF(M15&lt;M14,M15,NA()),IF(M15&gt;M14,M15,NA())),NA())</f>
        <v/>
      </c>
      <c r="AC2">
        <f>IF(N15&lt;&gt;"",IF($F14="Higher the better",IF(N15&lt;N14,N15,NA()),IF(N15&gt;N14,N15,NA())),NA())</f>
        <v/>
      </c>
      <c r="AD2">
        <f>IF(O15&lt;&gt;"",IF($F14="Higher the better",IF(O15&lt;O14,O15,NA()),IF(O15&gt;O14,O15,NA())),NA())</f>
        <v/>
      </c>
      <c r="AE2">
        <f>IF(P15&lt;&gt;"",IF($F14="Higher the better",IF(P15&lt;P14,P15,NA()),IF(P15&gt;P14,P15,NA())),NA())</f>
        <v/>
      </c>
      <c r="AF2">
        <f>IF(Q15&lt;&gt;"",IF($F14="Higher the better",IF(Q15&lt;Q14,Q15,NA()),IF(Q15&gt;Q14,Q15,NA())),NA())</f>
        <v/>
      </c>
      <c r="AG2">
        <f>IF(R15&lt;&gt;"",IF($F14="Higher the better",IF(R15&lt;R14,R15,NA()),IF(R15&gt;R14,R15,NA())),NA())</f>
        <v/>
      </c>
      <c r="AH2">
        <f>IF(S15&lt;&gt;"",IF($F14="Higher the better",IF(S15&lt;S14,S15,NA()),IF(S15&gt;S14,S15,NA())),NA())</f>
        <v/>
      </c>
      <c r="AI2">
        <f>IF(T15&lt;&gt;"",IF($F14="Higher the better",IF(T15&lt;T14,T15,NA()),IF(T15&gt;T14,T15,NA())),NA())</f>
        <v/>
      </c>
    </row>
    <row r="3" ht="20.1" customHeight="1">
      <c r="A3" s="449" t="inlineStr">
        <is>
          <t>R&amp;D DMB</t>
        </is>
      </c>
      <c r="W3" t="inlineStr">
        <is>
          <t>Actual green</t>
        </is>
      </c>
      <c r="X3">
        <f>IF(I17&lt;&gt;"",IF($F16="Higher the better",IF(I17&gt;=I16,I17,NA()),IF(I17&lt;=I16,I17,NA())),NA())</f>
        <v/>
      </c>
      <c r="Y3">
        <f>IF(J17&lt;&gt;"",IF($F16="Higher the better",IF(J17&gt;=J16,J17,NA()),IF(J17&lt;=J16,J17,NA())),NA())</f>
        <v/>
      </c>
      <c r="Z3">
        <f>IF(K17&lt;&gt;"",IF($F16="Higher the better",IF(K17&gt;=K16,K17,NA()),IF(K17&lt;=K16,K17,NA())),NA())</f>
        <v/>
      </c>
      <c r="AA3">
        <f>IF(L17&lt;&gt;"",IF($F16="Higher the better",IF(L17&gt;=L16,L17,NA()),IF(L17&lt;=L16,L17,NA())),NA())</f>
        <v/>
      </c>
      <c r="AB3">
        <f>IF(M17&lt;&gt;"",IF($F16="Higher the better",IF(M17&gt;=M16,M17,NA()),IF(M17&lt;=M16,M17,NA())),NA())</f>
        <v/>
      </c>
      <c r="AC3">
        <f>IF(N17&lt;&gt;"",IF($F16="Higher the better",IF(N17&gt;=N16,N17,NA()),IF(N17&lt;=N16,N17,NA())),NA())</f>
        <v/>
      </c>
      <c r="AD3">
        <f>IF(O17&lt;&gt;"",IF($F16="Higher the better",IF(O17&gt;=O16,O17,NA()),IF(O17&lt;=O16,O17,NA())),NA())</f>
        <v/>
      </c>
      <c r="AE3">
        <f>IF(P17&lt;&gt;"",IF($F16="Higher the better",IF(P17&gt;=P16,P17,NA()),IF(P17&lt;=P16,P17,NA())),NA())</f>
        <v/>
      </c>
      <c r="AF3">
        <f>IF(Q17&lt;&gt;"",IF($F16="Higher the better",IF(Q17&gt;=Q16,Q17,NA()),IF(Q17&lt;=Q16,Q17,NA())),NA())</f>
        <v/>
      </c>
      <c r="AG3">
        <f>IF(R17&lt;&gt;"",IF($F16="Higher the better",IF(R17&gt;=R16,R17,NA()),IF(R17&lt;=R16,R17,NA())),NA())</f>
        <v/>
      </c>
      <c r="AH3">
        <f>IF(S17&lt;&gt;"",IF($F16="Higher the better",IF(S17&gt;=S16,S17,NA()),IF(S17&lt;=S16,S17,NA())),NA())</f>
        <v/>
      </c>
      <c r="AI3">
        <f>IF(T17&lt;&gt;"",IF($F16="Higher the better",IF(T17&gt;=T16,T17,NA()),IF(T17&lt;=T16,T17,NA())),NA())</f>
        <v/>
      </c>
    </row>
    <row r="4" ht="18.6" customHeight="1">
      <c r="A4" s="11" t="inlineStr">
        <is>
          <t>Mandatory Outcome KPI's (1-3)</t>
        </is>
      </c>
      <c r="B4" s="11" t="n"/>
      <c r="W4" t="inlineStr">
        <is>
          <t>Actual red</t>
        </is>
      </c>
      <c r="X4">
        <f>IF(I17&lt;&gt;"",IF($F16="Higher the better",IF(I17&lt;I16,I17,NA()),IF(I17&gt;I16,I17,NA())),NA())</f>
        <v/>
      </c>
      <c r="Y4">
        <f>IF(J17&lt;&gt;"",IF($F16="Higher the better",IF(J17&lt;J16,J17,NA()),IF(J17&gt;J16,J17,NA())),NA())</f>
        <v/>
      </c>
      <c r="Z4">
        <f>IF(K17&lt;&gt;"",IF($F16="Higher the better",IF(K17&lt;K16,K17,NA()),IF(K17&gt;K16,K17,NA())),NA())</f>
        <v/>
      </c>
      <c r="AA4">
        <f>IF(L17&lt;&gt;"",IF($F16="Higher the better",IF(L17&lt;L16,L17,NA()),IF(L17&gt;L16,L17,NA())),NA())</f>
        <v/>
      </c>
      <c r="AB4">
        <f>IF(M17&lt;&gt;"",IF($F16="Higher the better",IF(M17&lt;M16,M17,NA()),IF(M17&gt;M16,M17,NA())),NA())</f>
        <v/>
      </c>
      <c r="AC4">
        <f>IF(N17&lt;&gt;"",IF($F16="Higher the better",IF(N17&lt;N16,N17,NA()),IF(N17&gt;N16,N17,NA())),NA())</f>
        <v/>
      </c>
      <c r="AD4">
        <f>IF(O17&lt;&gt;"",IF($F16="Higher the better",IF(O17&lt;O16,O17,NA()),IF(O17&gt;O16,O17,NA())),NA())</f>
        <v/>
      </c>
      <c r="AE4">
        <f>IF(P17&lt;&gt;"",IF($F16="Higher the better",IF(P17&lt;P16,P17,NA()),IF(P17&gt;P16,P17,NA())),NA())</f>
        <v/>
      </c>
      <c r="AF4">
        <f>IF(Q17&lt;&gt;"",IF($F16="Higher the better",IF(Q17&lt;Q16,Q17,NA()),IF(Q17&gt;Q16,Q17,NA())),NA())</f>
        <v/>
      </c>
      <c r="AG4">
        <f>IF(R17&lt;&gt;"",IF($F16="Higher the better",IF(R17&lt;R16,R17,NA()),IF(R17&gt;R16,R17,NA())),NA())</f>
        <v/>
      </c>
      <c r="AH4">
        <f>IF(S17&lt;&gt;"",IF($F16="Higher the better",IF(S17&lt;S16,S17,NA()),IF(S17&gt;S16,S17,NA())),NA())</f>
        <v/>
      </c>
      <c r="AI4">
        <f>IF(T17&lt;&gt;"",IF($F16="Higher the better",IF(T17&lt;T16,T17,NA()),IF(T17&gt;T16,T17,NA())),NA())</f>
        <v/>
      </c>
    </row>
    <row r="5" ht="29.1"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t="inlineStr">
        <is>
          <t>Actual green</t>
        </is>
      </c>
      <c r="X5">
        <f>IF(I19&lt;&gt;"",IF($F18="Higher the better",IF(I19&gt;=I18,I19,NA()),IF(I19&lt;=I18,I19,NA())),NA())</f>
        <v/>
      </c>
      <c r="Y5">
        <f>IF(J19&lt;&gt;"",IF($F18="Higher the better",IF(J19&gt;=J18,J19,NA()),IF(J19&lt;=J18,J19,NA())),NA())</f>
        <v/>
      </c>
      <c r="Z5">
        <f>IF(K19&lt;&gt;"",IF($F18="Higher the better",IF(K19&gt;=K18,K19,NA()),IF(K19&lt;=K18,K19,NA())),NA())</f>
        <v/>
      </c>
      <c r="AA5">
        <f>IF(L19&lt;&gt;"",IF($F18="Higher the better",IF(L19&gt;=L18,L19,NA()),IF(L19&lt;=L18,L19,NA())),NA())</f>
        <v/>
      </c>
      <c r="AB5">
        <f>IF(M19&lt;&gt;"",IF($F18="Higher the better",IF(M19&gt;=M18,M19,NA()),IF(M19&lt;=M18,M19,NA())),NA())</f>
        <v/>
      </c>
      <c r="AC5">
        <f>IF(N19&lt;&gt;"",IF($F18="Higher the better",IF(N19&gt;=N18,N19,NA()),IF(N19&lt;=N18,N19,NA())),NA())</f>
        <v/>
      </c>
      <c r="AD5">
        <f>IF(O19&lt;&gt;"",IF($F18="Higher the better",IF(O19&gt;=O18,O19,NA()),IF(O19&lt;=O18,O19,NA())),NA())</f>
        <v/>
      </c>
      <c r="AE5">
        <f>IF(P19&lt;&gt;"",IF($F18="Higher the better",IF(P19&gt;=P18,P19,NA()),IF(P19&lt;=P18,P19,NA())),NA())</f>
        <v/>
      </c>
      <c r="AF5">
        <f>IF(Q19&lt;&gt;"",IF($F18="Higher the better",IF(Q19&gt;=Q18,Q19,NA()),IF(Q19&lt;=Q18,Q19,NA())),NA())</f>
        <v/>
      </c>
      <c r="AG5">
        <f>IF(R19&lt;&gt;"",IF($F18="Higher the better",IF(R19&gt;=R18,R19,NA()),IF(R19&lt;=R18,R19,NA())),NA())</f>
        <v/>
      </c>
      <c r="AH5">
        <f>IF(S19&lt;&gt;"",IF($F18="Higher the better",IF(S19&gt;=S18,S19,NA()),IF(S19&lt;=S18,S19,NA())),NA())</f>
        <v/>
      </c>
      <c r="AI5">
        <f>IF(T19&lt;&gt;"",IF($F18="Higher the better",IF(T19&gt;=T18,T19,NA()),IF(T19&lt;=T18,T19,NA())),NA())</f>
        <v/>
      </c>
    </row>
    <row r="6" ht="14.85" customHeight="1">
      <c r="A6" s="737" t="inlineStr">
        <is>
          <t>NPI On-Time (%)</t>
        </is>
      </c>
      <c r="B6" s="738" t="inlineStr">
        <is>
          <t xml:space="preserve">% Dhruv NPI Milestone Readiness Index (%)
</t>
        </is>
      </c>
      <c r="C6" s="725" t="inlineStr">
        <is>
          <t>&gt;=</t>
        </is>
      </c>
      <c r="D6" s="739" t="n">
        <v>90</v>
      </c>
      <c r="E6" s="230" t="inlineStr">
        <is>
          <t>%</t>
        </is>
      </c>
      <c r="F6" s="388" t="inlineStr">
        <is>
          <t>Higher the better</t>
        </is>
      </c>
      <c r="G6" s="230" t="inlineStr">
        <is>
          <t>Monthly</t>
        </is>
      </c>
      <c r="H6" s="14" t="inlineStr">
        <is>
          <t>Target</t>
        </is>
      </c>
      <c r="I6" s="44" t="n">
        <v>90</v>
      </c>
      <c r="J6" s="44" t="n">
        <v>90</v>
      </c>
      <c r="K6" s="44" t="n">
        <v>90</v>
      </c>
      <c r="L6" s="44" t="n">
        <v>90</v>
      </c>
      <c r="M6" s="44" t="n">
        <v>90</v>
      </c>
      <c r="N6" s="44" t="n">
        <v>90</v>
      </c>
      <c r="O6" s="44" t="n">
        <v>90</v>
      </c>
      <c r="P6" s="44" t="n">
        <v>90</v>
      </c>
      <c r="Q6" s="44" t="n">
        <v>90</v>
      </c>
      <c r="R6" s="44" t="n">
        <v>90</v>
      </c>
      <c r="S6" s="44" t="n">
        <v>90</v>
      </c>
      <c r="T6" s="44" t="n">
        <v>90</v>
      </c>
      <c r="W6" t="inlineStr">
        <is>
          <t>Actual red</t>
        </is>
      </c>
      <c r="X6">
        <f>IF(I19&lt;&gt;"",IF($F18="Higher the better",IF(I19&lt;I18,I19,NA()),IF(I19&gt;I18,I19,NA())),NA())</f>
        <v/>
      </c>
      <c r="Y6">
        <f>IF(J19&lt;&gt;"",IF($F18="Higher the better",IF(J19&lt;J18,J19,NA()),IF(J19&gt;J18,J19,NA())),NA())</f>
        <v/>
      </c>
      <c r="Z6">
        <f>IF(K19&lt;&gt;"",IF($F18="Higher the better",IF(K19&lt;K18,K19,NA()),IF(K19&gt;K18,K19,NA())),NA())</f>
        <v/>
      </c>
      <c r="AA6">
        <f>IF(L19&lt;&gt;"",IF($F18="Higher the better",IF(L19&lt;L18,L19,NA()),IF(L19&gt;L18,L19,NA())),NA())</f>
        <v/>
      </c>
      <c r="AB6">
        <f>IF(M19&lt;&gt;"",IF($F18="Higher the better",IF(M19&lt;M18,M19,NA()),IF(M19&gt;M18,M19,NA())),NA())</f>
        <v/>
      </c>
      <c r="AC6">
        <f>IF(N19&lt;&gt;"",IF($F18="Higher the better",IF(N19&lt;N18,N19,NA()),IF(N19&gt;N18,N19,NA())),NA())</f>
        <v/>
      </c>
      <c r="AD6">
        <f>IF(O19&lt;&gt;"",IF($F18="Higher the better",IF(O19&lt;O18,O19,NA()),IF(O19&gt;O18,O19,NA())),NA())</f>
        <v/>
      </c>
      <c r="AE6">
        <f>IF(P19&lt;&gt;"",IF($F18="Higher the better",IF(P19&lt;P18,P19,NA()),IF(P19&gt;P18,P19,NA())),NA())</f>
        <v/>
      </c>
      <c r="AF6">
        <f>IF(Q19&lt;&gt;"",IF($F18="Higher the better",IF(Q19&lt;Q18,Q19,NA()),IF(Q19&gt;Q18,Q19,NA())),NA())</f>
        <v/>
      </c>
      <c r="AG6">
        <f>IF(R19&lt;&gt;"",IF($F18="Higher the better",IF(R19&lt;R18,R19,NA()),IF(R19&gt;R18,R19,NA())),NA())</f>
        <v/>
      </c>
      <c r="AH6">
        <f>IF(S19&lt;&gt;"",IF($F18="Higher the better",IF(S19&lt;S18,S19,NA()),IF(S19&gt;S18,S19,NA())),NA())</f>
        <v/>
      </c>
      <c r="AI6">
        <f>IF(T19&lt;&gt;"",IF($F18="Higher the better",IF(T19&lt;T18,T19,NA()),IF(T19&gt;T18,T19,NA())),NA())</f>
        <v/>
      </c>
    </row>
    <row r="7">
      <c r="A7" s="671" t="n"/>
      <c r="B7" s="671" t="n"/>
      <c r="C7" s="671" t="n"/>
      <c r="D7" s="671" t="n"/>
      <c r="E7" s="671" t="n"/>
      <c r="F7" s="671" t="n"/>
      <c r="G7" s="671" t="n"/>
      <c r="H7" s="14" t="inlineStr">
        <is>
          <t>Actual</t>
        </is>
      </c>
      <c r="I7" s="45" t="n">
        <v>60</v>
      </c>
      <c r="J7" s="45" t="n">
        <v>64</v>
      </c>
      <c r="K7" s="45" t="n">
        <v>67</v>
      </c>
      <c r="L7" s="45" t="n">
        <v>72</v>
      </c>
      <c r="M7" s="45" t="n">
        <v>77</v>
      </c>
      <c r="N7" s="45" t="n">
        <v>91</v>
      </c>
      <c r="O7" s="45" t="n">
        <v>93</v>
      </c>
      <c r="P7" s="45" t="n">
        <v>94</v>
      </c>
      <c r="Q7" s="45" t="n">
        <v>94</v>
      </c>
      <c r="R7" s="45" t="n"/>
      <c r="S7" s="45" t="n"/>
      <c r="T7" s="45" t="n"/>
      <c r="W7" t="inlineStr">
        <is>
          <t>Actual green</t>
        </is>
      </c>
      <c r="X7">
        <f>IF(I27&lt;&gt;"",IF($F26="Higher the better",IF(I27&gt;=I26,I27,NA()),IF(I27&lt;=I26,I27,NA())),NA())</f>
        <v/>
      </c>
      <c r="Y7">
        <f>IF(J27&lt;&gt;"",IF($F26="Higher the better",IF(J27&gt;=J26,J27,NA()),IF(J27&lt;=J26,J27,NA())),NA())</f>
        <v/>
      </c>
      <c r="Z7">
        <f>IF(K27&lt;&gt;"",IF($F26="Higher the better",IF(K27&gt;=K26,K27,NA()),IF(K27&lt;=K26,K27,NA())),NA())</f>
        <v/>
      </c>
      <c r="AA7">
        <f>IF(L27&lt;&gt;"",IF($F26="Higher the better",IF(L27&gt;=L26,L27,NA()),IF(L27&lt;=L26,L27,NA())),NA())</f>
        <v/>
      </c>
      <c r="AB7">
        <f>IF(M27&lt;&gt;"",IF($F26="Higher the better",IF(M27&gt;=M26,M27,NA()),IF(M27&lt;=M26,M27,NA())),NA())</f>
        <v/>
      </c>
      <c r="AC7">
        <f>IF(N27&lt;&gt;"",IF($F26="Higher the better",IF(N27&gt;=N26,N27,NA()),IF(N27&lt;=N26,N27,NA())),NA())</f>
        <v/>
      </c>
      <c r="AD7">
        <f>IF(O27&lt;&gt;"",IF($F26="Higher the better",IF(O27&gt;=O26,O27,NA()),IF(O27&lt;=O26,O27,NA())),NA())</f>
        <v/>
      </c>
      <c r="AE7">
        <f>IF(P27&lt;&gt;"",IF($F26="Higher the better",IF(P27&gt;=P26,P27,NA()),IF(P27&lt;=P26,P27,NA())),NA())</f>
        <v/>
      </c>
      <c r="AF7">
        <f>IF(Q27&lt;&gt;"",IF($F26="Higher the better",IF(Q27&gt;=Q26,Q27,NA()),IF(Q27&lt;=Q26,Q27,NA())),NA())</f>
        <v/>
      </c>
      <c r="AG7">
        <f>IF(R27&lt;&gt;"",IF($F26="Higher the better",IF(R27&gt;=R26,R27,NA()),IF(R27&lt;=R26,R27,NA())),NA())</f>
        <v/>
      </c>
      <c r="AH7">
        <f>IF(S27&lt;&gt;"",IF($F26="Higher the better",IF(S27&gt;=S26,S27,NA()),IF(S27&lt;=S26,S27,NA())),NA())</f>
        <v/>
      </c>
      <c r="AI7">
        <f>IF(T27&lt;&gt;"",IF($F26="Higher the better",IF(T27&gt;=T26,T27,NA()),IF(T27&lt;=T26,T27,NA())),NA())</f>
        <v/>
      </c>
    </row>
    <row r="8">
      <c r="A8" s="737" t="inlineStr">
        <is>
          <t>LCM Ontime (%)</t>
        </is>
      </c>
      <c r="B8" s="446" t="inlineStr">
        <is>
          <t>% LCM Change Requests (CRs) implemented on or before the committed implementation date
 (within the reporting month.)</t>
        </is>
      </c>
      <c r="C8" s="725" t="inlineStr">
        <is>
          <t>&gt;=</t>
        </is>
      </c>
      <c r="D8" s="725" t="n">
        <v>85</v>
      </c>
      <c r="E8" s="230" t="inlineStr">
        <is>
          <t>%</t>
        </is>
      </c>
      <c r="F8" s="388" t="inlineStr">
        <is>
          <t>Higher the better</t>
        </is>
      </c>
      <c r="G8" s="230" t="inlineStr">
        <is>
          <t>Monthly</t>
        </is>
      </c>
      <c r="H8" s="14" t="inlineStr">
        <is>
          <t>Target</t>
        </is>
      </c>
      <c r="I8" s="44" t="n">
        <v>85</v>
      </c>
      <c r="J8" s="44" t="n">
        <v>85</v>
      </c>
      <c r="K8" s="44" t="n">
        <v>85</v>
      </c>
      <c r="L8" s="44" t="n">
        <v>85</v>
      </c>
      <c r="M8" s="44" t="n">
        <v>85</v>
      </c>
      <c r="N8" s="44" t="n">
        <v>85</v>
      </c>
      <c r="O8" s="44" t="n">
        <v>85</v>
      </c>
      <c r="P8" s="44" t="n">
        <v>85</v>
      </c>
      <c r="Q8" s="44" t="n">
        <v>85</v>
      </c>
      <c r="R8" s="44" t="n">
        <v>85</v>
      </c>
      <c r="S8" s="44" t="n">
        <v>85</v>
      </c>
      <c r="T8" s="44" t="n">
        <v>85</v>
      </c>
      <c r="W8" t="inlineStr">
        <is>
          <t>Actual red</t>
        </is>
      </c>
      <c r="X8">
        <f>IF(I27&lt;&gt;"",IF($F26="Higher the better",IF(I27&lt;I26,I27,NA()),IF(I27&gt;I26,I27,NA())),NA())</f>
        <v/>
      </c>
      <c r="Y8">
        <f>IF(J27&lt;&gt;"",IF($F26="Higher the better",IF(J27&lt;J26,J27,NA()),IF(J27&gt;J26,J27,NA())),NA())</f>
        <v/>
      </c>
      <c r="Z8">
        <f>IF(K27&lt;&gt;"",IF($F26="Higher the better",IF(K27&lt;K26,K27,NA()),IF(K27&gt;K26,K27,NA())),NA())</f>
        <v/>
      </c>
      <c r="AA8">
        <f>IF(L27&lt;&gt;"",IF($F26="Higher the better",IF(L27&lt;L26,L27,NA()),IF(L27&gt;L26,L27,NA())),NA())</f>
        <v/>
      </c>
      <c r="AB8">
        <f>IF(M27&lt;&gt;"",IF($F26="Higher the better",IF(M27&lt;M26,M27,NA()),IF(M27&gt;M26,M27,NA())),NA())</f>
        <v/>
      </c>
      <c r="AC8">
        <f>IF(N27&lt;&gt;"",IF($F26="Higher the better",IF(N27&lt;N26,N27,NA()),IF(N27&gt;N26,N27,NA())),NA())</f>
        <v/>
      </c>
      <c r="AD8">
        <f>IF(O27&lt;&gt;"",IF($F26="Higher the better",IF(O27&lt;O26,O27,NA()),IF(O27&gt;O26,O27,NA())),NA())</f>
        <v/>
      </c>
      <c r="AE8">
        <f>IF(P27&lt;&gt;"",IF($F26="Higher the better",IF(P27&lt;P26,P27,NA()),IF(P27&gt;P26,P27,NA())),NA())</f>
        <v/>
      </c>
      <c r="AF8">
        <f>IF(Q27&lt;&gt;"",IF($F26="Higher the better",IF(Q27&lt;Q26,Q27,NA()),IF(Q27&gt;Q26,Q27,NA())),NA())</f>
        <v/>
      </c>
      <c r="AG8">
        <f>IF(R27&lt;&gt;"",IF($F26="Higher the better",IF(R27&lt;R26,R27,NA()),IF(R27&gt;R26,R27,NA())),NA())</f>
        <v/>
      </c>
      <c r="AH8">
        <f>IF(S27&lt;&gt;"",IF($F26="Higher the better",IF(S27&lt;S26,S27,NA()),IF(S27&gt;S26,S27,NA())),NA())</f>
        <v/>
      </c>
      <c r="AI8">
        <f>IF(T27&lt;&gt;"",IF($F26="Higher the better",IF(T27&lt;T26,T27,NA()),IF(T27&gt;T26,T27,NA())),NA())</f>
        <v/>
      </c>
    </row>
    <row r="9" ht="24" customHeight="1">
      <c r="A9" s="671" t="n"/>
      <c r="B9" s="671" t="n"/>
      <c r="C9" s="671" t="n"/>
      <c r="D9" s="671" t="n"/>
      <c r="E9" s="671" t="n"/>
      <c r="F9" s="671" t="n"/>
      <c r="G9" s="671" t="n"/>
      <c r="H9" s="14" t="inlineStr">
        <is>
          <t>Actual</t>
        </is>
      </c>
      <c r="I9" s="45" t="n">
        <v>80</v>
      </c>
      <c r="J9" s="179" t="n">
        <v>67</v>
      </c>
      <c r="K9" s="45" t="n">
        <v>133</v>
      </c>
      <c r="L9" s="45" t="n">
        <v>50</v>
      </c>
      <c r="M9" s="45" t="n">
        <v>91</v>
      </c>
      <c r="N9" s="45" t="n">
        <v>80</v>
      </c>
      <c r="O9" s="45" t="n">
        <v>83.3</v>
      </c>
      <c r="P9" s="45" t="n">
        <v>88</v>
      </c>
      <c r="Q9" s="45" t="n">
        <v>86</v>
      </c>
      <c r="R9" s="45" t="n"/>
      <c r="S9" s="45" t="n"/>
      <c r="T9" s="45" t="n"/>
      <c r="W9" t="inlineStr">
        <is>
          <t>Actual green</t>
        </is>
      </c>
      <c r="X9">
        <f>IF(#REF!&lt;&gt;"",IF(#REF!="Higher the better",IF(#REF!&gt;=#REF!,#REF!,NA()),IF(#REF!&lt;=#REF!,#REF!,NA())),NA())</f>
        <v/>
      </c>
      <c r="Y9">
        <f>IF(#REF!&lt;&gt;"",IF(#REF!="Higher the better",IF(#REF!&gt;=#REF!,#REF!,NA()),IF(#REF!&lt;=#REF!,#REF!,NA())),NA())</f>
        <v/>
      </c>
      <c r="Z9">
        <f>IF(#REF!&lt;&gt;"",IF(#REF!="Higher the better",IF(#REF!&gt;=#REF!,#REF!,NA()),IF(#REF!&lt;=#REF!,#REF!,NA())),NA())</f>
        <v/>
      </c>
      <c r="AA9">
        <f>IF(#REF!&lt;&gt;"",IF(#REF!="Higher the better",IF(#REF!&gt;=#REF!,#REF!,NA()),IF(#REF!&lt;=#REF!,#REF!,NA())),NA())</f>
        <v/>
      </c>
      <c r="AB9">
        <f>IF(#REF!&lt;&gt;"",IF(#REF!="Higher the better",IF(#REF!&gt;=#REF!,#REF!,NA()),IF(#REF!&lt;=#REF!,#REF!,NA())),NA())</f>
        <v/>
      </c>
      <c r="AC9">
        <f>IF(#REF!&lt;&gt;"",IF(#REF!="Higher the better",IF(#REF!&gt;=#REF!,#REF!,NA()),IF(#REF!&lt;=#REF!,#REF!,NA())),NA())</f>
        <v/>
      </c>
      <c r="AD9">
        <f>IF(#REF!&lt;&gt;"",IF(#REF!="Higher the better",IF(#REF!&gt;=#REF!,#REF!,NA()),IF(#REF!&lt;=#REF!,#REF!,NA())),NA())</f>
        <v/>
      </c>
      <c r="AE9">
        <f>IF(#REF!&lt;&gt;"",IF(#REF!="Higher the better",IF(#REF!&gt;=#REF!,#REF!,NA()),IF(#REF!&lt;=#REF!,#REF!,NA())),NA())</f>
        <v/>
      </c>
      <c r="AF9">
        <f>IF(#REF!&lt;&gt;"",IF(#REF!="Higher the better",IF(#REF!&gt;=#REF!,#REF!,NA()),IF(#REF!&lt;=#REF!,#REF!,NA())),NA())</f>
        <v/>
      </c>
      <c r="AG9">
        <f>IF(#REF!&lt;&gt;"",IF(#REF!="Higher the better",IF(#REF!&gt;=#REF!,#REF!,NA()),IF(#REF!&lt;=#REF!,#REF!,NA())),NA())</f>
        <v/>
      </c>
      <c r="AH9">
        <f>IF(#REF!&lt;&gt;"",IF(#REF!="Higher the better",IF(#REF!&gt;=#REF!,#REF!,NA()),IF(#REF!&lt;=#REF!,#REF!,NA())),NA())</f>
        <v/>
      </c>
      <c r="AI9">
        <f>IF(#REF!&lt;&gt;"",IF(#REF!="Higher the better",IF(#REF!&gt;=#REF!,#REF!,NA()),IF(#REF!&lt;=#REF!,#REF!,NA())),NA())</f>
        <v/>
      </c>
    </row>
    <row r="10" ht="14.85" customHeight="1">
      <c r="A10" s="737" t="inlineStr">
        <is>
          <t>I2M Value Creation</t>
        </is>
      </c>
      <c r="B10" s="740" t="inlineStr">
        <is>
          <t>Increase innovation  value delivered</t>
        </is>
      </c>
      <c r="C10" s="725" t="inlineStr">
        <is>
          <t>&gt;=</t>
        </is>
      </c>
      <c r="D10" s="725" t="n">
        <v>67</v>
      </c>
      <c r="E10" s="230" t="inlineStr">
        <is>
          <t>No.</t>
        </is>
      </c>
      <c r="F10" s="388" t="inlineStr">
        <is>
          <t>Higher the better</t>
        </is>
      </c>
      <c r="G10" s="230" t="inlineStr">
        <is>
          <t>Monthly</t>
        </is>
      </c>
      <c r="H10" s="14" t="inlineStr">
        <is>
          <t>Target</t>
        </is>
      </c>
      <c r="I10" s="44" t="n">
        <v>5.5</v>
      </c>
      <c r="J10" s="44">
        <f>I10+5.5</f>
        <v/>
      </c>
      <c r="K10" s="44">
        <f>J10+5.5</f>
        <v/>
      </c>
      <c r="L10" s="44">
        <f>K10+5.5</f>
        <v/>
      </c>
      <c r="M10" s="44">
        <f>L10+5.5</f>
        <v/>
      </c>
      <c r="N10" s="44">
        <f>M10+5.5</f>
        <v/>
      </c>
      <c r="O10" s="44">
        <f>N10+5.5</f>
        <v/>
      </c>
      <c r="P10" s="44">
        <f>O10+5.5</f>
        <v/>
      </c>
      <c r="Q10" s="44">
        <f>P10+5.5</f>
        <v/>
      </c>
      <c r="R10" s="44">
        <f>Q10+5.5</f>
        <v/>
      </c>
      <c r="S10" s="44">
        <f>R10+5.5</f>
        <v/>
      </c>
      <c r="T10" s="44" t="n">
        <v>67</v>
      </c>
      <c r="W10" t="inlineStr">
        <is>
          <t>Actual red</t>
        </is>
      </c>
      <c r="X10">
        <f>IF(#REF!&lt;&gt;"",IF(#REF!="Higher the better",IF(#REF!&lt;#REF!,#REF!,NA()),IF(#REF!&gt;#REF!,#REF!,NA())),NA())</f>
        <v/>
      </c>
      <c r="Y10">
        <f>IF(#REF!&lt;&gt;"",IF(#REF!="Higher the better",IF(#REF!&lt;#REF!,#REF!,NA()),IF(#REF!&gt;#REF!,#REF!,NA())),NA())</f>
        <v/>
      </c>
      <c r="Z10">
        <f>IF(#REF!&lt;&gt;"",IF(#REF!="Higher the better",IF(#REF!&lt;#REF!,#REF!,NA()),IF(#REF!&gt;#REF!,#REF!,NA())),NA())</f>
        <v/>
      </c>
      <c r="AA10">
        <f>IF(#REF!&lt;&gt;"",IF(#REF!="Higher the better",IF(#REF!&lt;#REF!,#REF!,NA()),IF(#REF!&gt;#REF!,#REF!,NA())),NA())</f>
        <v/>
      </c>
      <c r="AB10">
        <f>IF(#REF!&lt;&gt;"",IF(#REF!="Higher the better",IF(#REF!&lt;#REF!,#REF!,NA()),IF(#REF!&gt;#REF!,#REF!,NA())),NA())</f>
        <v/>
      </c>
      <c r="AC10">
        <f>IF(#REF!&lt;&gt;"",IF(#REF!="Higher the better",IF(#REF!&lt;#REF!,#REF!,NA()),IF(#REF!&gt;#REF!,#REF!,NA())),NA())</f>
        <v/>
      </c>
      <c r="AD10">
        <f>IF(#REF!&lt;&gt;"",IF(#REF!="Higher the better",IF(#REF!&lt;#REF!,#REF!,NA()),IF(#REF!&gt;#REF!,#REF!,NA())),NA())</f>
        <v/>
      </c>
      <c r="AE10">
        <f>IF(#REF!&lt;&gt;"",IF(#REF!="Higher the better",IF(#REF!&lt;#REF!,#REF!,NA()),IF(#REF!&gt;#REF!,#REF!,NA())),NA())</f>
        <v/>
      </c>
      <c r="AF10">
        <f>IF(#REF!&lt;&gt;"",IF(#REF!="Higher the better",IF(#REF!&lt;#REF!,#REF!,NA()),IF(#REF!&gt;#REF!,#REF!,NA())),NA())</f>
        <v/>
      </c>
      <c r="AG10">
        <f>IF(#REF!&lt;&gt;"",IF(#REF!="Higher the better",IF(#REF!&lt;#REF!,#REF!,NA()),IF(#REF!&gt;#REF!,#REF!,NA())),NA())</f>
        <v/>
      </c>
      <c r="AH10">
        <f>IF(#REF!&lt;&gt;"",IF(#REF!="Higher the better",IF(#REF!&lt;#REF!,#REF!,NA()),IF(#REF!&gt;#REF!,#REF!,NA())),NA())</f>
        <v/>
      </c>
      <c r="AI10">
        <f>IF(#REF!&lt;&gt;"",IF(#REF!="Higher the better",IF(#REF!&lt;#REF!,#REF!,NA()),IF(#REF!&gt;#REF!,#REF!,NA())),NA())</f>
        <v/>
      </c>
    </row>
    <row r="11" ht="13.35" customHeight="1">
      <c r="A11" s="671" t="n"/>
      <c r="B11" s="671" t="n"/>
      <c r="C11" s="671" t="n"/>
      <c r="D11" s="671" t="n"/>
      <c r="E11" s="671" t="n"/>
      <c r="F11" s="671" t="n"/>
      <c r="G11" s="671" t="n"/>
      <c r="H11" s="14" t="inlineStr">
        <is>
          <t>Actual</t>
        </is>
      </c>
      <c r="I11" s="45" t="n">
        <v>9</v>
      </c>
      <c r="J11" s="45">
        <f>9+8.3</f>
        <v/>
      </c>
      <c r="K11" s="45" t="n">
        <v>24.6</v>
      </c>
      <c r="L11" s="45" t="n">
        <v>26.3</v>
      </c>
      <c r="M11" s="45" t="n">
        <v>31</v>
      </c>
      <c r="N11" s="45" t="n">
        <v>37.3</v>
      </c>
      <c r="O11" s="45" t="n">
        <v>49.7</v>
      </c>
      <c r="P11" s="45" t="n">
        <v>51.9</v>
      </c>
      <c r="Q11" s="45" t="n">
        <v>55.8</v>
      </c>
      <c r="R11" s="45" t="n"/>
      <c r="S11" s="45" t="n"/>
      <c r="T11" s="45" t="n"/>
      <c r="W11" t="inlineStr">
        <is>
          <t>Actual green</t>
        </is>
      </c>
      <c r="X11">
        <f>IF(#REF!&lt;&gt;"",IF(#REF!="Higher the better",IF(#REF!&gt;=#REF!,#REF!,NA()),IF(#REF!&lt;=#REF!,#REF!,NA())),NA())</f>
        <v/>
      </c>
      <c r="Y11">
        <f>IF(#REF!&lt;&gt;"",IF(#REF!="Higher the better",IF(#REF!&gt;=#REF!,#REF!,NA()),IF(#REF!&lt;=#REF!,#REF!,NA())),NA())</f>
        <v/>
      </c>
      <c r="Z11">
        <f>IF(#REF!&lt;&gt;"",IF(#REF!="Higher the better",IF(#REF!&gt;=#REF!,#REF!,NA()),IF(#REF!&lt;=#REF!,#REF!,NA())),NA())</f>
        <v/>
      </c>
      <c r="AA11">
        <f>IF(#REF!&lt;&gt;"",IF(#REF!="Higher the better",IF(#REF!&gt;=#REF!,#REF!,NA()),IF(#REF!&lt;=#REF!,#REF!,NA())),NA())</f>
        <v/>
      </c>
      <c r="AB11">
        <f>IF(#REF!&lt;&gt;"",IF(#REF!="Higher the better",IF(#REF!&gt;=#REF!,#REF!,NA()),IF(#REF!&lt;=#REF!,#REF!,NA())),NA())</f>
        <v/>
      </c>
      <c r="AC11">
        <f>IF(#REF!&lt;&gt;"",IF(#REF!="Higher the better",IF(#REF!&gt;=#REF!,#REF!,NA()),IF(#REF!&lt;=#REF!,#REF!,NA())),NA())</f>
        <v/>
      </c>
      <c r="AD11">
        <f>IF(#REF!&lt;&gt;"",IF(#REF!="Higher the better",IF(#REF!&gt;=#REF!,#REF!,NA()),IF(#REF!&lt;=#REF!,#REF!,NA())),NA())</f>
        <v/>
      </c>
      <c r="AE11">
        <f>IF(#REF!&lt;&gt;"",IF(#REF!="Higher the better",IF(#REF!&gt;=#REF!,#REF!,NA()),IF(#REF!&lt;=#REF!,#REF!,NA())),NA())</f>
        <v/>
      </c>
      <c r="AF11">
        <f>IF(#REF!&lt;&gt;"",IF(#REF!="Higher the better",IF(#REF!&gt;=#REF!,#REF!,NA()),IF(#REF!&lt;=#REF!,#REF!,NA())),NA())</f>
        <v/>
      </c>
      <c r="AG11">
        <f>IF(#REF!&lt;&gt;"",IF(#REF!="Higher the better",IF(#REF!&gt;=#REF!,#REF!,NA()),IF(#REF!&lt;=#REF!,#REF!,NA())),NA())</f>
        <v/>
      </c>
      <c r="AH11">
        <f>IF(#REF!&lt;&gt;"",IF(#REF!="Higher the better",IF(#REF!&gt;=#REF!,#REF!,NA()),IF(#REF!&lt;=#REF!,#REF!,NA())),NA())</f>
        <v/>
      </c>
      <c r="AI11">
        <f>IF(#REF!&lt;&gt;"",IF(#REF!="Higher the better",IF(#REF!&gt;=#REF!,#REF!,NA()),IF(#REF!&lt;=#REF!,#REF!,NA())),NA())</f>
        <v/>
      </c>
    </row>
    <row r="12" ht="18.6" customHeight="1">
      <c r="A12" s="31" t="inlineStr">
        <is>
          <t>Critical Enabling/Leading KPI's (3-5)</t>
        </is>
      </c>
      <c r="G12" s="38" t="n"/>
      <c r="I12" s="43" t="n"/>
      <c r="J12" s="43" t="n"/>
      <c r="K12" s="43" t="n"/>
      <c r="L12" s="43" t="n"/>
      <c r="M12" s="43" t="n"/>
      <c r="N12" s="43" t="n"/>
      <c r="O12" s="43" t="n"/>
      <c r="P12" s="43" t="n"/>
      <c r="Q12" s="43" t="n"/>
      <c r="R12" s="43" t="n"/>
      <c r="S12" s="43" t="n"/>
      <c r="T12" s="43" t="n"/>
      <c r="W12" t="inlineStr">
        <is>
          <t>Actual red</t>
        </is>
      </c>
      <c r="X12">
        <f>IF(#REF!&lt;&gt;"",IF(#REF!="Higher the better",IF(#REF!&lt;#REF!,#REF!,NA()),IF(#REF!&gt;#REF!,#REF!,NA())),NA())</f>
        <v/>
      </c>
      <c r="Y12">
        <f>IF(#REF!&lt;&gt;"",IF(#REF!="Higher the better",IF(#REF!&lt;#REF!,#REF!,NA()),IF(#REF!&gt;#REF!,#REF!,NA())),NA())</f>
        <v/>
      </c>
      <c r="Z12">
        <f>IF(#REF!&lt;&gt;"",IF(#REF!="Higher the better",IF(#REF!&lt;#REF!,#REF!,NA()),IF(#REF!&gt;#REF!,#REF!,NA())),NA())</f>
        <v/>
      </c>
      <c r="AA12">
        <f>IF(#REF!&lt;&gt;"",IF(#REF!="Higher the better",IF(#REF!&lt;#REF!,#REF!,NA()),IF(#REF!&gt;#REF!,#REF!,NA())),NA())</f>
        <v/>
      </c>
      <c r="AB12">
        <f>IF(#REF!&lt;&gt;"",IF(#REF!="Higher the better",IF(#REF!&lt;#REF!,#REF!,NA()),IF(#REF!&gt;#REF!,#REF!,NA())),NA())</f>
        <v/>
      </c>
      <c r="AC12">
        <f>IF(#REF!&lt;&gt;"",IF(#REF!="Higher the better",IF(#REF!&lt;#REF!,#REF!,NA()),IF(#REF!&gt;#REF!,#REF!,NA())),NA())</f>
        <v/>
      </c>
      <c r="AD12">
        <f>IF(#REF!&lt;&gt;"",IF(#REF!="Higher the better",IF(#REF!&lt;#REF!,#REF!,NA()),IF(#REF!&gt;#REF!,#REF!,NA())),NA())</f>
        <v/>
      </c>
      <c r="AE12">
        <f>IF(#REF!&lt;&gt;"",IF(#REF!="Higher the better",IF(#REF!&lt;#REF!,#REF!,NA()),IF(#REF!&gt;#REF!,#REF!,NA())),NA())</f>
        <v/>
      </c>
      <c r="AF12">
        <f>IF(#REF!&lt;&gt;"",IF(#REF!="Higher the better",IF(#REF!&lt;#REF!,#REF!,NA()),IF(#REF!&gt;#REF!,#REF!,NA())),NA())</f>
        <v/>
      </c>
      <c r="AG12">
        <f>IF(#REF!&lt;&gt;"",IF(#REF!="Higher the better",IF(#REF!&lt;#REF!,#REF!,NA()),IF(#REF!&gt;#REF!,#REF!,NA())),NA())</f>
        <v/>
      </c>
      <c r="AH12">
        <f>IF(#REF!&lt;&gt;"",IF(#REF!="Higher the better",IF(#REF!&lt;#REF!,#REF!,NA()),IF(#REF!&gt;#REF!,#REF!,NA())),NA())</f>
        <v/>
      </c>
      <c r="AI12">
        <f>IF(#REF!&lt;&gt;"",IF(#REF!="Higher the better",IF(#REF!&lt;#REF!,#REF!,NA()),IF(#REF!&gt;#REF!,#REF!,NA())),NA())</f>
        <v/>
      </c>
    </row>
    <row r="13" ht="27.6"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row>
    <row r="14" ht="27" customHeight="1">
      <c r="A14" s="741" t="inlineStr">
        <is>
          <t>NPI  -Design Maturity Index (%)</t>
        </is>
      </c>
      <c r="B14" s="741" t="inlineStr">
        <is>
          <t xml:space="preserve">% of design Completion with zero major Quality Issues
1) Design Maturity 
2) Integration Quality / Forecast - PLC till SVAL
3) Risk Technical  - PLC till SVAL </t>
        </is>
      </c>
      <c r="C14" s="725" t="inlineStr">
        <is>
          <t>&gt;=</t>
        </is>
      </c>
      <c r="D14" s="739" t="n">
        <v>100</v>
      </c>
      <c r="E14" s="230" t="inlineStr">
        <is>
          <t>%</t>
        </is>
      </c>
      <c r="F14" s="388" t="inlineStr">
        <is>
          <t>Higher the better</t>
        </is>
      </c>
      <c r="G14" s="230" t="inlineStr">
        <is>
          <t>Monthly</t>
        </is>
      </c>
      <c r="H14" s="14" t="inlineStr">
        <is>
          <t>Target</t>
        </is>
      </c>
      <c r="I14" s="44" t="n">
        <v>60</v>
      </c>
      <c r="J14" s="44" t="n">
        <v>65</v>
      </c>
      <c r="K14" s="44" t="n">
        <v>68</v>
      </c>
      <c r="L14" s="44" t="n">
        <v>70</v>
      </c>
      <c r="M14" s="44" t="n">
        <v>72</v>
      </c>
      <c r="N14" s="44" t="n">
        <v>75</v>
      </c>
      <c r="O14" s="44" t="n">
        <v>75</v>
      </c>
      <c r="P14" s="44" t="n">
        <v>75</v>
      </c>
      <c r="Q14" s="44" t="n">
        <v>80</v>
      </c>
      <c r="R14" s="44" t="n">
        <v>85</v>
      </c>
      <c r="S14" s="44" t="n">
        <v>90</v>
      </c>
      <c r="T14" s="44" t="n">
        <v>100</v>
      </c>
    </row>
    <row r="15" ht="23.85" customHeight="1">
      <c r="A15" s="671" t="n"/>
      <c r="B15" s="671" t="n"/>
      <c r="C15" s="671" t="n"/>
      <c r="D15" s="671" t="n"/>
      <c r="E15" s="671" t="n"/>
      <c r="F15" s="671" t="n"/>
      <c r="G15" s="671" t="n"/>
      <c r="H15" s="14" t="inlineStr">
        <is>
          <t>Actual</t>
        </is>
      </c>
      <c r="I15" s="45" t="n">
        <v>54</v>
      </c>
      <c r="J15" s="45" t="n">
        <v>58</v>
      </c>
      <c r="K15" s="45" t="n">
        <v>64</v>
      </c>
      <c r="L15" s="45" t="n">
        <v>68</v>
      </c>
      <c r="M15" s="45" t="n">
        <v>68</v>
      </c>
      <c r="N15" s="45" t="n">
        <v>73</v>
      </c>
      <c r="O15" s="45" t="n">
        <v>75</v>
      </c>
      <c r="P15" s="45" t="n">
        <v>75</v>
      </c>
      <c r="Q15" s="45" t="n">
        <v>75</v>
      </c>
      <c r="R15" s="45" t="n"/>
      <c r="S15" s="45" t="n"/>
      <c r="T15" s="45" t="n"/>
    </row>
    <row r="16" ht="21" customHeight="1">
      <c r="A16" s="742" t="inlineStr">
        <is>
          <t>NPI Dhruv - Say-Do Ratio (%)</t>
        </is>
      </c>
      <c r="B16" s="743" t="inlineStr">
        <is>
          <t xml:space="preserve">% Monthly Planned Deliverables vs Actual
(LOD Checkist  - burndown)
PLC-161 ; SVER-  ; SVAL- ; RFD </t>
        </is>
      </c>
      <c r="C16" s="725" t="inlineStr">
        <is>
          <t>&gt;=</t>
        </is>
      </c>
      <c r="D16" s="739" t="n">
        <v>90</v>
      </c>
      <c r="E16" s="230" t="inlineStr">
        <is>
          <t>%</t>
        </is>
      </c>
      <c r="F16" s="388" t="inlineStr">
        <is>
          <t>Higher the better</t>
        </is>
      </c>
      <c r="G16" s="230" t="inlineStr">
        <is>
          <t>Monthly</t>
        </is>
      </c>
      <c r="H16" s="14" t="inlineStr">
        <is>
          <t>Target</t>
        </is>
      </c>
      <c r="I16" s="44" t="n">
        <v>95</v>
      </c>
      <c r="J16" s="44" t="n">
        <v>95</v>
      </c>
      <c r="K16" s="44" t="n">
        <v>95</v>
      </c>
      <c r="L16" s="44" t="n">
        <v>95</v>
      </c>
      <c r="M16" s="44" t="n">
        <v>95</v>
      </c>
      <c r="N16" s="44" t="n">
        <v>95</v>
      </c>
      <c r="O16" s="44" t="n">
        <v>95</v>
      </c>
      <c r="P16" s="44" t="n">
        <v>95</v>
      </c>
      <c r="Q16" s="44" t="n">
        <v>95</v>
      </c>
      <c r="R16" s="44" t="n">
        <v>95</v>
      </c>
      <c r="S16" s="44" t="n">
        <v>95</v>
      </c>
      <c r="T16" s="44" t="n">
        <v>95</v>
      </c>
    </row>
    <row r="17" ht="22.35" customHeight="1">
      <c r="A17" s="671" t="n"/>
      <c r="B17" s="671" t="n"/>
      <c r="C17" s="671" t="n"/>
      <c r="D17" s="671" t="n"/>
      <c r="E17" s="671" t="n"/>
      <c r="F17" s="671" t="n"/>
      <c r="G17" s="671" t="n"/>
      <c r="H17" s="14" t="inlineStr">
        <is>
          <t>Actual</t>
        </is>
      </c>
      <c r="I17" s="45" t="n">
        <v>100</v>
      </c>
      <c r="J17" s="45" t="n">
        <v>90</v>
      </c>
      <c r="K17" s="45" t="n">
        <v>95</v>
      </c>
      <c r="L17" s="45" t="n">
        <v>93</v>
      </c>
      <c r="M17" s="45" t="n">
        <v>94</v>
      </c>
      <c r="N17" s="45" t="n">
        <v>90</v>
      </c>
      <c r="O17" s="45" t="n">
        <v>95</v>
      </c>
      <c r="P17" s="45" t="n">
        <v>95</v>
      </c>
      <c r="Q17" s="45" t="n">
        <v>90</v>
      </c>
      <c r="R17" s="45" t="n"/>
      <c r="S17" s="45" t="n"/>
      <c r="T17" s="45" t="n"/>
    </row>
    <row r="18" ht="14.85" customHeight="1">
      <c r="A18" s="741" t="inlineStr">
        <is>
          <t>NPI -Supplier Readiness Completion (%)</t>
        </is>
      </c>
      <c r="B18" s="741" t="inlineStr">
        <is>
          <t>% supplier deliverables completed and approved as per NPI plan up to PLC, SVAL milestones . 
( 130 Part/Assy ) 
(Sec 5 - DFM - SRPQP)- PSW Signoff) till PLC
( Sec 6 - PSW part Mfg)  - PSW Signoff Till Ser
(Sec 7 - IQ-PSW signoff)  - SVAL</t>
        </is>
      </c>
      <c r="C18" s="725" t="inlineStr">
        <is>
          <t>&gt;=</t>
        </is>
      </c>
      <c r="D18" s="739" t="n">
        <v>95</v>
      </c>
      <c r="E18" s="744" t="inlineStr">
        <is>
          <t>%</t>
        </is>
      </c>
      <c r="F18" s="388" t="inlineStr">
        <is>
          <t>Higher the better</t>
        </is>
      </c>
      <c r="G18" s="230" t="inlineStr">
        <is>
          <t>Monthly</t>
        </is>
      </c>
      <c r="H18" s="14" t="inlineStr">
        <is>
          <t>Target</t>
        </is>
      </c>
      <c r="I18" s="44" t="n">
        <v>10</v>
      </c>
      <c r="J18" s="44" t="n">
        <v>20</v>
      </c>
      <c r="K18" s="44" t="n">
        <v>40</v>
      </c>
      <c r="L18" s="44" t="n">
        <v>50</v>
      </c>
      <c r="M18" s="44" t="n">
        <v>68</v>
      </c>
      <c r="N18" s="44" t="n">
        <v>82</v>
      </c>
      <c r="O18" s="44" t="n">
        <v>82</v>
      </c>
      <c r="P18" s="44" t="n">
        <v>85</v>
      </c>
      <c r="Q18" s="44" t="n">
        <v>85</v>
      </c>
      <c r="R18" s="44" t="n"/>
      <c r="S18" s="44" t="n"/>
      <c r="T18" s="44" t="n"/>
    </row>
    <row r="19" ht="65.84999999999999" customHeight="1">
      <c r="A19" s="671" t="n"/>
      <c r="B19" s="671" t="n"/>
      <c r="C19" s="671" t="n"/>
      <c r="D19" s="671" t="n"/>
      <c r="E19" s="671" t="n"/>
      <c r="F19" s="671" t="n"/>
      <c r="G19" s="671" t="n"/>
      <c r="H19" s="14" t="inlineStr">
        <is>
          <t>Actual</t>
        </is>
      </c>
      <c r="I19" s="45" t="n">
        <v>5</v>
      </c>
      <c r="J19" s="45" t="n">
        <v>6</v>
      </c>
      <c r="K19" s="45" t="n">
        <v>7</v>
      </c>
      <c r="L19" s="45" t="n">
        <v>18</v>
      </c>
      <c r="M19" s="45" t="n">
        <v>33</v>
      </c>
      <c r="N19" s="45" t="n">
        <v>64</v>
      </c>
      <c r="O19" s="45" t="n">
        <v>64</v>
      </c>
      <c r="P19" s="45" t="n">
        <v>68</v>
      </c>
      <c r="Q19" s="45" t="n"/>
      <c r="R19" s="45" t="n"/>
      <c r="S19" s="45" t="n"/>
      <c r="T19" s="45" t="n"/>
    </row>
    <row r="20">
      <c r="A20" s="548" t="inlineStr">
        <is>
          <t>LCM ::SICR Inflow vs Outflow</t>
        </is>
      </c>
      <c r="B20" s="545" t="inlineStr">
        <is>
          <t>SICR burndown [ outflow / inflow &gt; 1 ]</t>
        </is>
      </c>
      <c r="C20" s="350" t="inlineStr">
        <is>
          <t>&gt;=</t>
        </is>
      </c>
      <c r="D20" s="550" t="inlineStr">
        <is>
          <t>&gt;=1</t>
        </is>
      </c>
      <c r="E20" s="350" t="inlineStr">
        <is>
          <t>%</t>
        </is>
      </c>
      <c r="F20" s="352" t="inlineStr">
        <is>
          <t>Higher the better</t>
        </is>
      </c>
      <c r="G20" s="350" t="inlineStr">
        <is>
          <t>Monthly</t>
        </is>
      </c>
      <c r="H20" s="14" t="inlineStr">
        <is>
          <t>Target</t>
        </is>
      </c>
      <c r="I20" s="4" t="n">
        <v>1</v>
      </c>
      <c r="J20" s="4" t="n">
        <v>1</v>
      </c>
      <c r="K20" s="4" t="n">
        <v>1</v>
      </c>
      <c r="L20" s="4" t="n">
        <v>1</v>
      </c>
      <c r="M20" s="4" t="n">
        <v>1</v>
      </c>
      <c r="N20" s="4" t="n">
        <v>1</v>
      </c>
      <c r="O20" s="4" t="n">
        <v>1</v>
      </c>
      <c r="P20" s="4" t="n">
        <v>1</v>
      </c>
      <c r="Q20" s="4" t="n">
        <v>1</v>
      </c>
      <c r="R20" s="44" t="n"/>
      <c r="S20" s="44" t="n"/>
      <c r="T20" s="44" t="n"/>
    </row>
    <row r="21">
      <c r="A21" s="685" t="n"/>
      <c r="B21" s="685" t="n"/>
      <c r="C21" s="685" t="n"/>
      <c r="D21" s="685" t="n"/>
      <c r="E21" s="685" t="n"/>
      <c r="F21" s="685" t="n"/>
      <c r="G21" s="685" t="n"/>
      <c r="H21" s="14" t="inlineStr">
        <is>
          <t>Actual</t>
        </is>
      </c>
      <c r="I21" s="5" t="n">
        <v>1</v>
      </c>
      <c r="J21" s="5" t="n">
        <v>0.5417</v>
      </c>
      <c r="K21" s="5" t="n">
        <v>0.5</v>
      </c>
      <c r="L21" s="5">
        <f>16/13</f>
        <v/>
      </c>
      <c r="M21" s="5">
        <f>M23/M22</f>
        <v/>
      </c>
      <c r="N21" s="5">
        <f>N23/N22</f>
        <v/>
      </c>
      <c r="O21" s="5">
        <f>O23/O22</f>
        <v/>
      </c>
      <c r="P21" s="5">
        <f>P23/P22</f>
        <v/>
      </c>
      <c r="Q21" s="5">
        <f>Q23/Q22</f>
        <v/>
      </c>
      <c r="R21" s="5" t="n"/>
      <c r="S21" s="5" t="n"/>
      <c r="T21" s="5" t="n"/>
    </row>
    <row r="22">
      <c r="A22" s="685" t="n"/>
      <c r="B22" s="685" t="n"/>
      <c r="C22" s="685" t="n"/>
      <c r="D22" s="685" t="n"/>
      <c r="E22" s="685" t="n"/>
      <c r="F22" s="685" t="n"/>
      <c r="G22" s="685" t="n"/>
      <c r="H22" s="14" t="inlineStr">
        <is>
          <t>Inflow</t>
        </is>
      </c>
      <c r="I22" s="345" t="n">
        <v>4</v>
      </c>
      <c r="J22" s="345" t="n">
        <v>24</v>
      </c>
      <c r="K22" s="345" t="n">
        <v>26</v>
      </c>
      <c r="L22" s="345" t="n">
        <v>13</v>
      </c>
      <c r="M22" s="345" t="n">
        <v>11</v>
      </c>
      <c r="N22" s="345" t="n">
        <v>15</v>
      </c>
      <c r="O22" s="345" t="n">
        <v>10</v>
      </c>
      <c r="P22" s="345" t="n">
        <v>15</v>
      </c>
      <c r="Q22" s="346" t="n">
        <v>18</v>
      </c>
      <c r="R22" s="346" t="n"/>
      <c r="S22" s="346" t="n"/>
      <c r="T22" s="346" t="n"/>
    </row>
    <row r="23">
      <c r="A23" s="685" t="n"/>
      <c r="B23" s="671" t="n"/>
      <c r="C23" s="685" t="n"/>
      <c r="D23" s="671" t="n"/>
      <c r="E23" s="685" t="n"/>
      <c r="F23" s="685" t="n"/>
      <c r="G23" s="685" t="n"/>
      <c r="H23" s="14" t="inlineStr">
        <is>
          <t>Outflow</t>
        </is>
      </c>
      <c r="I23" s="346" t="n">
        <v>7</v>
      </c>
      <c r="J23" s="346" t="n">
        <v>13</v>
      </c>
      <c r="K23" s="346" t="n">
        <v>13</v>
      </c>
      <c r="L23" s="346" t="n">
        <v>16</v>
      </c>
      <c r="M23" s="346" t="n">
        <v>15</v>
      </c>
      <c r="N23" s="346" t="n">
        <v>18</v>
      </c>
      <c r="O23" s="346" t="n">
        <v>25</v>
      </c>
      <c r="P23" s="346" t="n">
        <v>17</v>
      </c>
      <c r="Q23" s="346" t="n">
        <v>11</v>
      </c>
      <c r="R23" s="346" t="n"/>
      <c r="S23" s="346" t="n"/>
      <c r="T23" s="346" t="n"/>
    </row>
    <row r="24">
      <c r="A24" s="545" t="inlineStr">
        <is>
          <t>LCM :: Production Delay due to delay in CR's</t>
        </is>
      </c>
      <c r="B24" s="389" t="inlineStr">
        <is>
          <t>Production stops due to delay in CR/SICR</t>
        </is>
      </c>
      <c r="C24" s="230" t="inlineStr">
        <is>
          <t>&gt;=</t>
        </is>
      </c>
      <c r="D24" s="745" t="n">
        <v>0</v>
      </c>
      <c r="E24" s="230" t="inlineStr">
        <is>
          <t>No.</t>
        </is>
      </c>
      <c r="F24" s="388" t="inlineStr">
        <is>
          <t>Lower the better</t>
        </is>
      </c>
      <c r="G24" s="230" t="inlineStr">
        <is>
          <t>Monthly</t>
        </is>
      </c>
      <c r="H24" s="14" t="inlineStr">
        <is>
          <t>Target</t>
        </is>
      </c>
      <c r="I24" s="44" t="n">
        <v>0</v>
      </c>
      <c r="J24" s="44" t="n">
        <v>0</v>
      </c>
      <c r="K24" s="44" t="n">
        <v>0</v>
      </c>
      <c r="L24" s="44" t="n">
        <v>0</v>
      </c>
      <c r="M24" s="44" t="n">
        <v>0</v>
      </c>
      <c r="N24" s="44" t="n">
        <v>0</v>
      </c>
      <c r="O24" s="44" t="n">
        <v>0</v>
      </c>
      <c r="P24" s="44" t="n">
        <v>0</v>
      </c>
      <c r="Q24" s="44" t="n">
        <v>0</v>
      </c>
      <c r="R24" s="44" t="n"/>
      <c r="S24" s="44" t="n"/>
      <c r="T24" s="44" t="n"/>
    </row>
    <row r="25">
      <c r="A25" s="671" t="n"/>
      <c r="B25" s="671" t="n"/>
      <c r="C25" s="671" t="n"/>
      <c r="D25" s="671" t="n"/>
      <c r="E25" s="671" t="n"/>
      <c r="F25" s="671" t="n"/>
      <c r="G25" s="671" t="n"/>
      <c r="H25" s="14" t="inlineStr">
        <is>
          <t>Actual</t>
        </is>
      </c>
      <c r="I25" s="45" t="n">
        <v>1</v>
      </c>
      <c r="J25" s="45" t="n">
        <v>0</v>
      </c>
      <c r="K25" s="45" t="n">
        <v>0</v>
      </c>
      <c r="L25" s="45" t="n">
        <v>0</v>
      </c>
      <c r="M25" s="45" t="n">
        <v>0</v>
      </c>
      <c r="N25" s="45" t="n">
        <v>0</v>
      </c>
      <c r="O25" s="45" t="n">
        <v>0</v>
      </c>
      <c r="P25" s="45" t="n">
        <v>0</v>
      </c>
      <c r="Q25" s="45" t="n">
        <v>0</v>
      </c>
      <c r="R25" s="308" t="n"/>
      <c r="S25" s="308" t="n"/>
      <c r="T25" s="308" t="n"/>
    </row>
    <row r="26" ht="14.85" customHeight="1">
      <c r="A26" s="741" t="inlineStr">
        <is>
          <t>Critical &amp; MLD Milestone Delivery On-Time (%)</t>
        </is>
      </c>
      <c r="B26" s="746" t="inlineStr">
        <is>
          <t>% of intermediate milestones achieved as per plan</t>
        </is>
      </c>
      <c r="C26" s="725" t="inlineStr">
        <is>
          <t>&gt;=</t>
        </is>
      </c>
      <c r="D26" s="739" t="n">
        <v>80</v>
      </c>
      <c r="E26" s="230" t="inlineStr">
        <is>
          <t>%</t>
        </is>
      </c>
      <c r="F26" s="388" t="inlineStr">
        <is>
          <t>Higher the better</t>
        </is>
      </c>
      <c r="G26" s="230" t="inlineStr">
        <is>
          <t>Monthly</t>
        </is>
      </c>
      <c r="H26" s="14" t="inlineStr">
        <is>
          <t>Target</t>
        </is>
      </c>
      <c r="I26" s="44" t="n">
        <v>80</v>
      </c>
      <c r="J26" s="44" t="n">
        <v>80</v>
      </c>
      <c r="K26" s="44" t="n">
        <v>80</v>
      </c>
      <c r="L26" s="44" t="n">
        <v>80</v>
      </c>
      <c r="M26" s="44" t="n">
        <v>80</v>
      </c>
      <c r="N26" s="44" t="n">
        <v>80</v>
      </c>
      <c r="O26" s="44" t="n">
        <v>80</v>
      </c>
      <c r="P26" s="44" t="n">
        <v>80</v>
      </c>
      <c r="Q26" s="44" t="n">
        <v>80</v>
      </c>
      <c r="R26" s="44" t="n">
        <v>80</v>
      </c>
      <c r="S26" s="44" t="n">
        <v>80</v>
      </c>
      <c r="T26" s="44" t="n">
        <v>80</v>
      </c>
    </row>
    <row r="27" ht="22.35" customHeight="1">
      <c r="A27" s="671" t="n"/>
      <c r="B27" s="671" t="n"/>
      <c r="C27" s="671" t="n"/>
      <c r="D27" s="671" t="n"/>
      <c r="E27" s="671" t="n"/>
      <c r="F27" s="671" t="n"/>
      <c r="G27" s="671" t="n"/>
      <c r="H27" s="14" t="inlineStr">
        <is>
          <t>Actual</t>
        </is>
      </c>
      <c r="I27" s="45" t="n">
        <v>86</v>
      </c>
      <c r="J27" s="45" t="n">
        <v>88</v>
      </c>
      <c r="K27" s="45" t="n">
        <v>100</v>
      </c>
      <c r="L27" s="45" t="n">
        <v>100</v>
      </c>
      <c r="M27" s="45" t="n">
        <v>87.5</v>
      </c>
      <c r="N27" s="45" t="n">
        <v>100</v>
      </c>
      <c r="O27" s="45" t="n">
        <v>100</v>
      </c>
      <c r="P27" s="45" t="n">
        <v>100</v>
      </c>
      <c r="Q27" s="45" t="n">
        <v>100</v>
      </c>
      <c r="R27" s="45" t="n"/>
      <c r="S27" s="45" t="n"/>
      <c r="T27" s="45" t="n"/>
    </row>
    <row r="28" ht="15" customHeight="1">
      <c r="E28" s="32" t="inlineStr">
        <is>
          <t xml:space="preserve">
</t>
        </is>
      </c>
      <c r="H28" s="33">
        <f>IF(OR($F15="Lower the better",$F15="Lower the Better"),
    IF(I15&gt;I14,$A14,""),
    IF(OR($F15="Higher the better",$F15="Higher the Better"),
       IF(I15&lt;I14,$A14,""),
       ""
    )
)</f>
        <v/>
      </c>
    </row>
    <row r="29" ht="20.1" customHeight="1">
      <c r="A29" s="10" t="inlineStr">
        <is>
          <t>Trends-</t>
        </is>
      </c>
    </row>
    <row r="30">
      <c r="A30" s="639" t="n"/>
    </row>
    <row r="31">
      <c r="A31" s="639" t="n"/>
    </row>
    <row r="32">
      <c r="A32" s="639" t="n"/>
    </row>
    <row r="33">
      <c r="A33" s="639" t="n"/>
    </row>
    <row r="34">
      <c r="A34" s="639" t="n"/>
    </row>
    <row r="35">
      <c r="A35" s="639" t="n"/>
    </row>
    <row r="36">
      <c r="A36" s="639" t="n"/>
    </row>
    <row r="37">
      <c r="A37" s="639" t="n"/>
    </row>
    <row r="38">
      <c r="A38" s="639" t="n"/>
    </row>
    <row r="39">
      <c r="A39" s="639" t="n"/>
    </row>
    <row r="40">
      <c r="A40" s="639" t="n"/>
    </row>
    <row r="41">
      <c r="A41" s="639" t="n"/>
    </row>
    <row r="42">
      <c r="A42" s="639" t="n"/>
    </row>
    <row r="43">
      <c r="A43" s="639" t="n"/>
    </row>
    <row r="44">
      <c r="A44" s="639" t="n"/>
    </row>
    <row r="45">
      <c r="A45" s="639" t="n"/>
    </row>
    <row r="46" ht="21" customHeight="1">
      <c r="A46" s="500" t="inlineStr">
        <is>
          <t>If the KPI is reported Red, fill all the details as mentioned below for analysis &amp; actions:</t>
        </is>
      </c>
    </row>
    <row r="47">
      <c r="A47" s="639" t="n"/>
    </row>
    <row r="48" ht="21" customHeight="1">
      <c r="A48" s="449" t="inlineStr">
        <is>
          <t>Root Cause Analysis-</t>
        </is>
      </c>
    </row>
    <row r="49" ht="20.1" customHeight="1">
      <c r="A49" s="466" t="inlineStr">
        <is>
          <t xml:space="preserve"> Red KPI</t>
        </is>
      </c>
      <c r="B49" s="361" t="inlineStr">
        <is>
          <t xml:space="preserve">Top Causes </t>
        </is>
      </c>
      <c r="C49" s="693" t="n"/>
      <c r="D49" s="693" t="n"/>
      <c r="E49" s="693" t="n"/>
      <c r="F49" s="692" t="n"/>
    </row>
    <row r="50" ht="15" customHeight="1">
      <c r="A50" s="694" t="n"/>
      <c r="B50" s="361" t="inlineStr">
        <is>
          <t xml:space="preserve">Cause 1 </t>
        </is>
      </c>
      <c r="C50" s="361" t="inlineStr">
        <is>
          <t>Cause 2</t>
        </is>
      </c>
      <c r="D50" s="361" t="inlineStr">
        <is>
          <t>Cause 3</t>
        </is>
      </c>
      <c r="E50" s="361" t="inlineStr">
        <is>
          <t>Cause 4</t>
        </is>
      </c>
      <c r="F50" s="361" t="inlineStr">
        <is>
          <t>Cause 5</t>
        </is>
      </c>
    </row>
    <row r="51" ht="41.85" customHeight="1">
      <c r="A51" s="105" t="inlineStr">
        <is>
          <t>Dhruv - PSW Sec5 is not on track</t>
        </is>
      </c>
      <c r="B51" s="388" t="inlineStr">
        <is>
          <t>SRPQP process agreement with supplier</t>
        </is>
      </c>
      <c r="C51" s="388" t="inlineStr">
        <is>
          <t xml:space="preserve">DMR correction based on DFM </t>
        </is>
      </c>
      <c r="D51" s="388" t="inlineStr">
        <is>
          <t>DMR correction based on Proto</t>
        </is>
      </c>
      <c r="E51" s="388" t="inlineStr">
        <is>
          <t>supplier DMR delayed</t>
        </is>
      </c>
      <c r="F51" s="388" t="inlineStr">
        <is>
          <t>Design updates</t>
        </is>
      </c>
    </row>
    <row r="52" ht="19.35" customHeight="1">
      <c r="A52" s="27" t="inlineStr">
        <is>
          <t>% impact on KPI gap</t>
        </is>
      </c>
      <c r="B52" s="106" t="n">
        <v>0.35</v>
      </c>
      <c r="C52" s="42" t="n">
        <v>0.2</v>
      </c>
      <c r="D52" s="42" t="n">
        <v>0.2</v>
      </c>
      <c r="E52" s="42" t="n">
        <v>0.15</v>
      </c>
      <c r="F52" s="42" t="n">
        <v>0.1</v>
      </c>
    </row>
    <row r="53" ht="19.35" customHeight="1">
      <c r="A53" s="361" t="inlineStr">
        <is>
          <t>Red KPI</t>
        </is>
      </c>
      <c r="B53" s="150" t="inlineStr">
        <is>
          <t xml:space="preserve">Cause 1 </t>
        </is>
      </c>
      <c r="C53" s="361" t="inlineStr">
        <is>
          <t>Cause 2</t>
        </is>
      </c>
      <c r="D53" s="361" t="inlineStr">
        <is>
          <t>Cause 3</t>
        </is>
      </c>
      <c r="E53" s="361" t="inlineStr">
        <is>
          <t>Cause 4</t>
        </is>
      </c>
      <c r="F53" s="361" t="inlineStr">
        <is>
          <t>Cause 5</t>
        </is>
      </c>
    </row>
    <row r="54" ht="35.85" customHeight="1">
      <c r="A54" s="105" t="inlineStr">
        <is>
          <t>Dhruv - LOD completion for PLC not on track</t>
        </is>
      </c>
      <c r="B54" s="388" t="inlineStr">
        <is>
          <t xml:space="preserve">PI : Mfg was not finalized ( C-arc assy) </t>
        </is>
      </c>
      <c r="C54" s="388" t="inlineStr">
        <is>
          <t xml:space="preserve">SQE delevarables </t>
        </is>
      </c>
      <c r="D54" s="388" t="inlineStr">
        <is>
          <t xml:space="preserve">R&amp;D : Technical risk impacted documents </t>
        </is>
      </c>
      <c r="E54" s="388" t="inlineStr">
        <is>
          <t>Prioritization of doc review with reviewers</t>
        </is>
      </c>
      <c r="F54" s="127" t="n"/>
    </row>
    <row r="55" ht="19.35" customHeight="1">
      <c r="A55" s="27" t="inlineStr">
        <is>
          <t>% impact on KPI gap</t>
        </is>
      </c>
      <c r="B55" s="42" t="n">
        <v>0.3</v>
      </c>
      <c r="C55" s="42" t="n">
        <v>0.25</v>
      </c>
      <c r="D55" s="42" t="n">
        <v>0.3</v>
      </c>
      <c r="E55" s="42" t="n">
        <v>0.15</v>
      </c>
      <c r="F55" s="42" t="n"/>
    </row>
    <row r="56" ht="19.35" customHeight="1">
      <c r="A56" s="361" t="inlineStr">
        <is>
          <t>Red KPI</t>
        </is>
      </c>
      <c r="B56" s="361" t="inlineStr">
        <is>
          <t xml:space="preserve">Cause 1 </t>
        </is>
      </c>
      <c r="C56" s="361" t="inlineStr">
        <is>
          <t>Cause 2</t>
        </is>
      </c>
      <c r="D56" s="361" t="inlineStr">
        <is>
          <t>Cause 3</t>
        </is>
      </c>
      <c r="E56" s="361" t="inlineStr">
        <is>
          <t>Cause 4</t>
        </is>
      </c>
      <c r="F56" s="361" t="inlineStr">
        <is>
          <t>Cause 5</t>
        </is>
      </c>
    </row>
    <row r="57" ht="26.45" customHeight="1">
      <c r="A57" s="40" t="inlineStr">
        <is>
          <t>sicr Inflow vs outflow
High SICR's Inflow  in April month</t>
        </is>
      </c>
      <c r="B57" s="41" t="inlineStr">
        <is>
          <t xml:space="preserve">Obsolescence </t>
        </is>
      </c>
      <c r="C57" s="41" t="inlineStr">
        <is>
          <t>Mfg Location Change</t>
        </is>
      </c>
      <c r="D57" s="41" t="inlineStr">
        <is>
          <t>Quality Issues</t>
        </is>
      </c>
      <c r="E57" s="41" t="n"/>
      <c r="F57" s="41" t="n"/>
    </row>
    <row r="58" ht="32.1" customHeight="1">
      <c r="A58" s="27" t="inlineStr">
        <is>
          <t>% impact on KPI gap</t>
        </is>
      </c>
      <c r="B58" s="42" t="n">
        <v>0.5</v>
      </c>
      <c r="C58" s="42" t="n">
        <v>0.2</v>
      </c>
      <c r="D58" s="42" t="n">
        <v>0.3</v>
      </c>
      <c r="E58" s="42" t="n"/>
      <c r="F58" s="42" t="n"/>
    </row>
    <row r="59" ht="19.35" customHeight="1">
      <c r="A59" s="361" t="inlineStr">
        <is>
          <t>Red KPI</t>
        </is>
      </c>
      <c r="B59" s="361" t="inlineStr">
        <is>
          <t xml:space="preserve">Cause 1 </t>
        </is>
      </c>
      <c r="C59" s="361" t="inlineStr">
        <is>
          <t>Cause 2</t>
        </is>
      </c>
      <c r="D59" s="361" t="inlineStr">
        <is>
          <t>Cause 3</t>
        </is>
      </c>
      <c r="E59" s="361" t="inlineStr">
        <is>
          <t>Cause 4</t>
        </is>
      </c>
      <c r="F59" s="361" t="inlineStr">
        <is>
          <t>Cause 5</t>
        </is>
      </c>
    </row>
    <row r="60" ht="19.35" customHeight="1">
      <c r="A60" s="27" t="inlineStr">
        <is>
          <t xml:space="preserve">Adhoc request Flow is high </t>
        </is>
      </c>
      <c r="B60" s="41" t="inlineStr">
        <is>
          <t xml:space="preserve">Production Deviation </t>
        </is>
      </c>
      <c r="C60" s="41" t="inlineStr">
        <is>
          <t>Factory Production challenges-CBOM,Mfg Doc</t>
        </is>
      </c>
      <c r="D60" s="41" t="inlineStr">
        <is>
          <t>New Countary specific Orders</t>
        </is>
      </c>
      <c r="E60" s="41" t="inlineStr">
        <is>
          <t>Critical SICR's</t>
        </is>
      </c>
      <c r="F60" s="41" t="n"/>
    </row>
    <row r="61" ht="19.35" customHeight="1">
      <c r="A61" s="27" t="inlineStr">
        <is>
          <t>% impact on KPI gap</t>
        </is>
      </c>
      <c r="B61" s="42" t="n">
        <v>0.2</v>
      </c>
      <c r="C61" s="42" t="n">
        <v>0.3</v>
      </c>
      <c r="D61" s="42" t="n">
        <v>0.2</v>
      </c>
      <c r="E61" s="42" t="n">
        <v>0.3</v>
      </c>
      <c r="F61" s="42" t="n"/>
    </row>
    <row r="62" ht="19.35" customHeight="1">
      <c r="A62" s="361" t="inlineStr">
        <is>
          <t>Red KPI</t>
        </is>
      </c>
      <c r="B62" s="361" t="inlineStr">
        <is>
          <t xml:space="preserve">Cause 1 </t>
        </is>
      </c>
      <c r="C62" s="361" t="inlineStr">
        <is>
          <t>Cause 2</t>
        </is>
      </c>
      <c r="D62" s="361" t="inlineStr">
        <is>
          <t>Cause 3</t>
        </is>
      </c>
      <c r="E62" s="361" t="inlineStr">
        <is>
          <t>Cause 4</t>
        </is>
      </c>
      <c r="F62" s="361" t="inlineStr">
        <is>
          <t>Cause 5</t>
        </is>
      </c>
    </row>
    <row r="63" ht="19.35" customHeight="1">
      <c r="A63" s="27" t="n"/>
      <c r="B63" s="41" t="n"/>
      <c r="C63" s="41" t="n"/>
      <c r="D63" s="41" t="n"/>
      <c r="E63" s="41" t="n"/>
      <c r="F63" s="41" t="n"/>
    </row>
    <row r="64" ht="19.35" customHeight="1">
      <c r="A64" s="27" t="inlineStr">
        <is>
          <t>% impact on KPI gap</t>
        </is>
      </c>
      <c r="B64" s="42" t="n"/>
      <c r="C64" s="42" t="n"/>
      <c r="D64" s="42" t="n"/>
      <c r="E64" s="42" t="n"/>
      <c r="F64" s="42" t="n"/>
    </row>
    <row r="65" ht="19.35" customHeight="1">
      <c r="A65" s="361" t="inlineStr">
        <is>
          <t>Red KPI</t>
        </is>
      </c>
      <c r="B65" s="361" t="inlineStr">
        <is>
          <t xml:space="preserve">Cause 1 </t>
        </is>
      </c>
      <c r="C65" s="361" t="inlineStr">
        <is>
          <t>Cause 2</t>
        </is>
      </c>
      <c r="D65" s="361" t="inlineStr">
        <is>
          <t>Cause 3</t>
        </is>
      </c>
      <c r="E65" s="361" t="inlineStr">
        <is>
          <t>Cause 4</t>
        </is>
      </c>
      <c r="F65" s="361" t="inlineStr">
        <is>
          <t>Cause 5</t>
        </is>
      </c>
    </row>
    <row r="66" ht="19.35" customHeight="1">
      <c r="A66" s="27" t="n"/>
      <c r="B66" s="41" t="n"/>
      <c r="C66" s="41" t="n"/>
      <c r="D66" s="41" t="n"/>
      <c r="E66" s="41" t="n"/>
      <c r="F66" s="41" t="n"/>
    </row>
    <row r="67" ht="19.35" customHeight="1">
      <c r="A67" s="27" t="inlineStr">
        <is>
          <t>% impact on KPI gap</t>
        </is>
      </c>
      <c r="B67" s="42" t="n"/>
      <c r="C67" s="42" t="n"/>
      <c r="D67" s="42" t="n"/>
      <c r="E67" s="42" t="n"/>
      <c r="F67" s="42" t="n"/>
    </row>
    <row r="68" ht="21" customHeight="1">
      <c r="A68" s="10" t="inlineStr">
        <is>
          <t>Paretos for RCA</t>
        </is>
      </c>
    </row>
    <row r="69">
      <c r="A69" s="639" t="n"/>
    </row>
    <row r="70">
      <c r="A70" s="639" t="n"/>
    </row>
    <row r="71">
      <c r="A71" s="639" t="n"/>
    </row>
    <row r="72">
      <c r="A72" s="639" t="n"/>
    </row>
    <row r="73">
      <c r="A73" s="639" t="n"/>
    </row>
    <row r="74">
      <c r="A74" s="639" t="n"/>
    </row>
    <row r="75">
      <c r="A75" s="639" t="n"/>
    </row>
    <row r="76">
      <c r="A76" s="639" t="n"/>
    </row>
    <row r="77">
      <c r="A77" s="639" t="n"/>
    </row>
    <row r="78">
      <c r="A78" s="639" t="n"/>
    </row>
    <row r="79">
      <c r="A79" s="639" t="n"/>
    </row>
    <row r="80">
      <c r="A80" s="639" t="n"/>
    </row>
    <row r="81">
      <c r="A81" s="639" t="n"/>
    </row>
    <row r="82">
      <c r="A82" s="639" t="n"/>
    </row>
    <row r="83" ht="15" customHeight="1" thickBot="1">
      <c r="A83" s="639" t="n"/>
    </row>
    <row r="84" ht="18.95" customHeight="1" thickBot="1">
      <c r="A84" s="695" t="inlineStr">
        <is>
          <t>Action tracker</t>
        </is>
      </c>
      <c r="B84" s="696" t="n"/>
      <c r="C84" s="696" t="n"/>
      <c r="D84" s="696" t="n"/>
      <c r="E84" s="696" t="n"/>
      <c r="F84" s="697" t="n"/>
      <c r="H84" s="698" t="inlineStr">
        <is>
          <t>Handshake Escalations/Support required</t>
        </is>
      </c>
      <c r="I84" s="696" t="n"/>
      <c r="J84" s="696" t="n"/>
      <c r="K84" s="696" t="n"/>
      <c r="L84" s="696" t="n"/>
      <c r="M84" s="696" t="n"/>
      <c r="N84" s="696" t="n"/>
      <c r="O84" s="697" t="n"/>
    </row>
    <row r="85" ht="41.85" customFormat="1" customHeight="1" s="15">
      <c r="A85" s="16" t="inlineStr">
        <is>
          <t>Red KPI</t>
        </is>
      </c>
      <c r="B85" s="17" t="inlineStr">
        <is>
          <t>Root cause description</t>
        </is>
      </c>
      <c r="C85" s="18" t="inlineStr">
        <is>
          <t>Corrective action</t>
        </is>
      </c>
      <c r="D85" s="19" t="inlineStr">
        <is>
          <t>Owner</t>
        </is>
      </c>
      <c r="E85" s="17" t="inlineStr">
        <is>
          <t>Due Date</t>
        </is>
      </c>
      <c r="F85" s="20" t="inlineStr">
        <is>
          <t>Status</t>
        </is>
      </c>
      <c r="H85" s="21" t="inlineStr">
        <is>
          <t>KPI Name</t>
        </is>
      </c>
      <c r="I85" s="22" t="inlineStr">
        <is>
          <t>Key Dependency</t>
        </is>
      </c>
      <c r="J85" s="22" t="inlineStr">
        <is>
          <t>Function Name</t>
        </is>
      </c>
      <c r="K85" s="23" t="inlineStr">
        <is>
          <t>What action/s from
 Function is expected</t>
        </is>
      </c>
      <c r="L85" s="23" t="inlineStr">
        <is>
          <t>Success measure for
Action Closure</t>
        </is>
      </c>
      <c r="M85" s="24" t="inlineStr">
        <is>
          <t>Handshaked
(Yes or No)</t>
        </is>
      </c>
      <c r="N85" s="23" t="inlineStr">
        <is>
          <t>Open issue description</t>
        </is>
      </c>
      <c r="O85" s="36" t="inlineStr">
        <is>
          <t>Solutions to 
Open issues</t>
        </is>
      </c>
    </row>
    <row r="86" ht="16.5" customHeight="1">
      <c r="A86" s="699" t="inlineStr">
        <is>
          <t>NPI On-Time</t>
        </is>
      </c>
      <c r="B86" s="387" t="inlineStr">
        <is>
          <t>SQE - PSW planning not ready for Sec 5 for PLC. 
PSW plan needed to meet Apr timeline</t>
        </is>
      </c>
      <c r="C86" s="387" t="inlineStr">
        <is>
          <t>Daily alingment with SQE team to bring the details on track</t>
        </is>
      </c>
      <c r="D86" s="388" t="inlineStr">
        <is>
          <t>SQE</t>
        </is>
      </c>
      <c r="E86" s="747" t="inlineStr">
        <is>
          <t xml:space="preserve">
30-04-2026
20-05-2026
29-07-2026
24-08-2026
28-09-2026</t>
        </is>
      </c>
      <c r="F86" s="700" t="n">
        <v>3</v>
      </c>
      <c r="H86" s="736" t="n"/>
      <c r="I86" s="702" t="n"/>
      <c r="J86" s="701" t="n"/>
      <c r="K86" s="702" t="n"/>
      <c r="L86" s="701" t="n"/>
      <c r="M86" s="703" t="inlineStr">
        <is>
          <t>Yes</t>
        </is>
      </c>
      <c r="N86" s="701" t="n"/>
      <c r="O86" s="704" t="n"/>
    </row>
    <row r="87" ht="51" customHeight="1">
      <c r="A87" s="705" t="n"/>
      <c r="B87" s="671" t="n"/>
      <c r="C87" s="671" t="n"/>
      <c r="D87" s="671" t="n"/>
      <c r="E87" s="671" t="n"/>
      <c r="F87" s="672" t="n"/>
      <c r="H87" s="671" t="n"/>
      <c r="I87" s="671" t="n"/>
      <c r="J87" s="671" t="n"/>
      <c r="K87" s="671" t="n"/>
      <c r="L87" s="671" t="n"/>
      <c r="M87" s="671" t="n"/>
      <c r="N87" s="671" t="n"/>
      <c r="O87" s="672" t="n"/>
    </row>
    <row r="88" ht="17.1" customHeight="1">
      <c r="A88" s="699" t="inlineStr">
        <is>
          <t>NPI On-Time</t>
        </is>
      </c>
      <c r="B88" s="387" t="inlineStr">
        <is>
          <t>Procurement - 
Delay in Suspension, Collimator (KMWE), Critical Plastic parts and Ergotron Monitor final Prototype readiness
- C-Arc Supplier agreement signoff</t>
        </is>
      </c>
      <c r="C88" s="387" t="inlineStr">
        <is>
          <t>1.  Weekly supplier calls
2.  Daily management on Parts availability</t>
        </is>
      </c>
      <c r="D88" s="388" t="inlineStr">
        <is>
          <t>PSE</t>
        </is>
      </c>
      <c r="E88" s="748" t="inlineStr">
        <is>
          <t xml:space="preserve">
17-03-2026
20-04-2026
30-07-2026
14-08-2026</t>
        </is>
      </c>
      <c r="F88" s="700" t="n">
        <v>5</v>
      </c>
      <c r="H88" s="699" t="n"/>
      <c r="I88" s="701" t="n"/>
      <c r="J88" s="701" t="n"/>
      <c r="K88" s="701" t="n"/>
      <c r="L88" s="701" t="n"/>
      <c r="M88" s="703" t="n"/>
      <c r="N88" s="701" t="n"/>
      <c r="O88" s="704" t="n"/>
    </row>
    <row r="89" ht="48" customHeight="1">
      <c r="A89" s="705" t="n"/>
      <c r="B89" s="671" t="n"/>
      <c r="C89" s="671" t="n"/>
      <c r="D89" s="671" t="n"/>
      <c r="E89" s="671" t="n"/>
      <c r="F89" s="672" t="n"/>
      <c r="H89" s="705" t="n"/>
      <c r="I89" s="671" t="n"/>
      <c r="J89" s="671" t="n"/>
      <c r="K89" s="671" t="n"/>
      <c r="L89" s="671" t="n"/>
      <c r="M89" s="671" t="n"/>
      <c r="N89" s="671" t="n"/>
      <c r="O89" s="672" t="n"/>
    </row>
    <row r="90" ht="23.1" customHeight="1">
      <c r="A90" s="699" t="inlineStr">
        <is>
          <t>NPI On-Time</t>
        </is>
      </c>
      <c r="B90" s="387" t="inlineStr">
        <is>
          <t>R&amp;D / Intra company 
 Elevate Program :Grid  Delayed by 18 weeks,  New arrival date WK37 ( Old WK15), Parts still not dispatched from Best</t>
        </is>
      </c>
      <c r="C90" s="388" t="inlineStr">
        <is>
          <t xml:space="preserve">F2F meeting setup Wk23 with Inge and Raoul  </t>
        </is>
      </c>
      <c r="D90" s="388" t="inlineStr">
        <is>
          <t>R&amp;D / PSE</t>
        </is>
      </c>
      <c r="E90" s="379" t="n">
        <v>46270</v>
      </c>
      <c r="F90" s="371" t="n">
        <v>3</v>
      </c>
      <c r="H90" s="501" t="n"/>
      <c r="I90" s="175" t="n"/>
      <c r="J90" s="175" t="n"/>
      <c r="K90" s="175" t="n"/>
      <c r="L90" s="175" t="n"/>
      <c r="M90" s="175" t="n"/>
      <c r="N90" s="175" t="n"/>
      <c r="O90" s="176" t="n"/>
    </row>
    <row r="91" ht="23.1" customHeight="1">
      <c r="A91" s="705" t="n"/>
      <c r="B91" s="671" t="n"/>
      <c r="C91" s="671" t="n"/>
      <c r="D91" s="671" t="n"/>
      <c r="E91" s="671" t="n"/>
      <c r="F91" s="404" t="n"/>
      <c r="H91" s="501" t="n"/>
      <c r="I91" s="175" t="n"/>
      <c r="J91" s="175" t="n"/>
      <c r="K91" s="175" t="n"/>
      <c r="L91" s="175" t="n"/>
      <c r="M91" s="175" t="n"/>
      <c r="N91" s="175" t="n"/>
      <c r="O91" s="176" t="n"/>
    </row>
    <row r="92" ht="23.1" customHeight="1">
      <c r="A92" s="699" t="inlineStr">
        <is>
          <t>NPI On-Time</t>
        </is>
      </c>
      <c r="B92" s="387" t="inlineStr">
        <is>
          <t xml:space="preserve">R&amp;D  
 Elevate Program : Image cut issue in prototype 1 </t>
        </is>
      </c>
      <c r="C92" s="388" t="inlineStr">
        <is>
          <t xml:space="preserve">Root cause analysi sis in progress, initial cause identified as mechanical parts alignment </t>
        </is>
      </c>
      <c r="D92" s="388" t="inlineStr">
        <is>
          <t>R&amp;D</t>
        </is>
      </c>
      <c r="E92" s="379" t="inlineStr">
        <is>
          <t>15-07-2026
14-08-2026</t>
        </is>
      </c>
      <c r="F92" s="371" t="n">
        <v>3</v>
      </c>
      <c r="H92" s="501" t="n"/>
      <c r="I92" s="175" t="n"/>
      <c r="J92" s="175" t="n"/>
      <c r="K92" s="175" t="n"/>
      <c r="L92" s="175" t="n"/>
      <c r="M92" s="175" t="n"/>
      <c r="N92" s="175" t="n"/>
      <c r="O92" s="176" t="n"/>
    </row>
    <row r="93" ht="38.65" customHeight="1">
      <c r="A93" s="705" t="n"/>
      <c r="B93" s="671" t="n"/>
      <c r="C93" s="671" t="n"/>
      <c r="D93" s="671" t="n"/>
      <c r="E93" s="671" t="n"/>
      <c r="F93" s="404" t="n"/>
      <c r="H93" s="501" t="n"/>
      <c r="I93" s="175" t="n"/>
      <c r="J93" s="175" t="n"/>
      <c r="K93" s="175" t="n"/>
      <c r="L93" s="175" t="n"/>
      <c r="M93" s="175" t="n"/>
      <c r="N93" s="175" t="n"/>
      <c r="O93" s="176" t="n"/>
    </row>
    <row r="94" ht="16.5" customHeight="1">
      <c r="A94" s="749" t="inlineStr">
        <is>
          <t>LCM Ontime</t>
        </is>
      </c>
      <c r="B94" s="387" t="inlineStr">
        <is>
          <t xml:space="preserve">High SICR inflow </t>
        </is>
      </c>
      <c r="C94" s="388" t="inlineStr">
        <is>
          <t>Workshop with CFT &amp; STET team to iderntify the root causes, then implement the action</t>
        </is>
      </c>
      <c r="D94" s="388" t="inlineStr">
        <is>
          <t xml:space="preserve"> PMO/SQE/STET</t>
        </is>
      </c>
      <c r="E94" s="748" t="inlineStr">
        <is>
          <t>27-02-2026
30-06-2026</t>
        </is>
      </c>
      <c r="F94" s="371" t="n">
        <v>3</v>
      </c>
      <c r="H94" s="699" t="n"/>
      <c r="I94" s="701" t="n"/>
      <c r="J94" s="701" t="n"/>
      <c r="K94" s="701" t="n"/>
      <c r="L94" s="701" t="n"/>
      <c r="M94" s="703" t="n"/>
      <c r="N94" s="701" t="n"/>
      <c r="O94" s="704" t="n"/>
    </row>
    <row r="95" ht="33" customHeight="1">
      <c r="A95" s="671" t="n"/>
      <c r="B95" s="671" t="n"/>
      <c r="C95" s="671" t="n"/>
      <c r="D95" s="671" t="n"/>
      <c r="E95" s="671" t="n"/>
      <c r="F95" s="400" t="n"/>
      <c r="H95" s="705" t="n"/>
      <c r="I95" s="671" t="n"/>
      <c r="J95" s="671" t="n"/>
      <c r="K95" s="671" t="n"/>
      <c r="L95" s="671" t="n"/>
      <c r="M95" s="671" t="n"/>
      <c r="N95" s="671" t="n"/>
      <c r="O95" s="672" t="n"/>
    </row>
    <row r="96" ht="33" customHeight="1">
      <c r="A96" s="749" t="inlineStr">
        <is>
          <t>LCM Ontime</t>
        </is>
      </c>
      <c r="B96" s="387" t="inlineStr">
        <is>
          <t xml:space="preserve">Priority based PI planning </t>
        </is>
      </c>
      <c r="C96" s="387" t="inlineStr">
        <is>
          <t>PI3 planning complated , report will be shared with all stakeholders</t>
        </is>
      </c>
      <c r="D96" s="388" t="inlineStr">
        <is>
          <t xml:space="preserve"> PMO/Functional Mgrs</t>
        </is>
      </c>
      <c r="E96" s="379" t="n">
        <v>46219</v>
      </c>
      <c r="F96" s="371" t="n">
        <v>5</v>
      </c>
      <c r="H96" s="501" t="n"/>
      <c r="I96" s="528" t="n"/>
      <c r="J96" s="528" t="n"/>
      <c r="K96" s="528" t="n"/>
      <c r="L96" s="528" t="n"/>
      <c r="M96" s="535" t="n"/>
      <c r="N96" s="528" t="n"/>
      <c r="O96" s="539" t="n"/>
    </row>
    <row r="97" ht="33" customHeight="1">
      <c r="A97" s="671" t="n"/>
      <c r="B97" s="671" t="n"/>
      <c r="C97" s="671" t="n"/>
      <c r="D97" s="671" t="n"/>
      <c r="E97" s="671" t="n"/>
      <c r="F97" s="404" t="n"/>
      <c r="H97" s="501" t="n"/>
      <c r="I97" s="528" t="n"/>
      <c r="J97" s="528" t="n"/>
      <c r="K97" s="528" t="n"/>
      <c r="L97" s="528" t="n"/>
      <c r="M97" s="535" t="n"/>
      <c r="N97" s="528" t="n"/>
      <c r="O97" s="539" t="n"/>
    </row>
    <row r="98" ht="33" customHeight="1">
      <c r="A98" s="749" t="inlineStr">
        <is>
          <t>LCM Ontime</t>
        </is>
      </c>
      <c r="B98" s="387" t="inlineStr">
        <is>
          <t>SQE Resource Capacity Challenge</t>
        </is>
      </c>
      <c r="C98" s="387" t="inlineStr">
        <is>
          <t xml:space="preserve">resources will be onboarded in the month of August ( Mid) . Few projects are pending and to be completed </t>
        </is>
      </c>
      <c r="D98" s="388" t="inlineStr">
        <is>
          <t>SQE</t>
        </is>
      </c>
      <c r="E98" s="379" t="n">
        <v>46250</v>
      </c>
      <c r="F98" s="371" t="n">
        <v>3</v>
      </c>
      <c r="H98" s="501" t="n"/>
      <c r="I98" s="528" t="n"/>
      <c r="J98" s="528" t="n"/>
      <c r="K98" s="528" t="n"/>
      <c r="L98" s="528" t="n"/>
      <c r="M98" s="535" t="n"/>
      <c r="N98" s="528" t="n"/>
      <c r="O98" s="539" t="n"/>
    </row>
    <row r="99" ht="33" customHeight="1">
      <c r="A99" s="671" t="n"/>
      <c r="B99" s="671" t="n"/>
      <c r="C99" s="671" t="n"/>
      <c r="D99" s="671" t="n"/>
      <c r="E99" s="671" t="n"/>
      <c r="F99" s="404" t="n"/>
      <c r="H99" s="501" t="n"/>
      <c r="I99" s="528" t="n"/>
      <c r="J99" s="528" t="n"/>
      <c r="K99" s="528" t="n"/>
      <c r="L99" s="528" t="n"/>
      <c r="M99" s="535" t="n"/>
      <c r="N99" s="528" t="n"/>
      <c r="O99" s="539" t="n"/>
    </row>
    <row r="100" ht="33.6" customHeight="1">
      <c r="A100" s="699" t="inlineStr">
        <is>
          <t>NPI On-Time</t>
        </is>
      </c>
      <c r="B100" s="387" t="inlineStr">
        <is>
          <t xml:space="preserve">R&amp;D  - Make DMR closure  - Delayed by 2weeks </t>
        </is>
      </c>
      <c r="C100" s="388" t="inlineStr">
        <is>
          <t xml:space="preserve">Daily Class room working sessions  ongoing </t>
        </is>
      </c>
      <c r="D100" s="388" t="inlineStr">
        <is>
          <t>R&amp;D</t>
        </is>
      </c>
      <c r="E100" s="748" t="inlineStr">
        <is>
          <t>28-05-2026
12-06-2026</t>
        </is>
      </c>
      <c r="F100" s="700" t="n">
        <v>5</v>
      </c>
      <c r="H100" s="501" t="n"/>
      <c r="I100" s="528" t="n"/>
      <c r="J100" s="528" t="n"/>
      <c r="K100" s="528" t="n"/>
      <c r="L100" s="528" t="n"/>
      <c r="M100" s="535" t="n"/>
      <c r="N100" s="528" t="n"/>
      <c r="O100" s="539" t="n"/>
    </row>
    <row r="101" ht="23.1" customHeight="1">
      <c r="A101" s="705" t="n"/>
      <c r="B101" s="671" t="n"/>
      <c r="C101" s="671" t="n"/>
      <c r="D101" s="671" t="n"/>
      <c r="E101" s="671" t="n"/>
      <c r="F101" s="672" t="n"/>
      <c r="H101" s="501" t="n"/>
      <c r="I101" s="528" t="n"/>
      <c r="J101" s="528" t="n"/>
      <c r="K101" s="528" t="n"/>
      <c r="L101" s="528" t="n"/>
      <c r="M101" s="535" t="n"/>
      <c r="N101" s="528" t="n"/>
      <c r="O101" s="539" t="n"/>
    </row>
    <row r="102" ht="17.1" customHeight="1">
      <c r="A102" s="699" t="inlineStr">
        <is>
          <t>NPI On-Time</t>
        </is>
      </c>
      <c r="B102" s="387" t="inlineStr">
        <is>
          <t xml:space="preserve">PI  deliverables delayed for PLC readyness considering Best release which is compleitng in April'26 </t>
        </is>
      </c>
      <c r="C102" s="387" t="inlineStr">
        <is>
          <t xml:space="preserve">Worshop completed in Dec'25, without improvement </t>
        </is>
      </c>
      <c r="D102" s="388" t="inlineStr">
        <is>
          <t>PIPM</t>
        </is>
      </c>
      <c r="E102" s="379" t="inlineStr">
        <is>
          <t>2/27/2026
20-Apr-2026</t>
        </is>
      </c>
      <c r="F102" s="700" t="n">
        <v>5</v>
      </c>
      <c r="H102" s="699" t="n"/>
      <c r="I102" s="701" t="n"/>
      <c r="J102" s="701" t="n"/>
      <c r="K102" s="701" t="n"/>
      <c r="L102" s="701" t="n"/>
      <c r="M102" s="703" t="inlineStr">
        <is>
          <t>Yes</t>
        </is>
      </c>
      <c r="N102" s="701" t="n"/>
      <c r="O102" s="704" t="n"/>
    </row>
    <row r="103" ht="24.6" customHeight="1">
      <c r="A103" s="705" t="n"/>
      <c r="B103" s="671" t="n"/>
      <c r="C103" s="671" t="n"/>
      <c r="D103" s="671" t="n"/>
      <c r="E103" s="671" t="n"/>
      <c r="F103" s="672" t="n"/>
      <c r="H103" s="705" t="n"/>
      <c r="I103" s="671" t="n"/>
      <c r="J103" s="671" t="n"/>
      <c r="K103" s="671" t="n"/>
      <c r="L103" s="671" t="n"/>
      <c r="M103" s="671" t="n"/>
      <c r="N103" s="671" t="n"/>
      <c r="O103" s="672" t="n"/>
    </row>
    <row r="104" ht="16.5" customHeight="1">
      <c r="A104" s="699" t="inlineStr">
        <is>
          <t>NPI On-Time</t>
        </is>
      </c>
      <c r="B104" s="387" t="inlineStr">
        <is>
          <t>Product Mkt - Navigation Requirements still not closed, impacting PLC readyness</t>
        </is>
      </c>
      <c r="C104" s="388" t="inlineStr">
        <is>
          <t xml:space="preserve">Workshop planned with Styker to close all the open reqiurements </t>
        </is>
      </c>
      <c r="D104" s="388" t="inlineStr">
        <is>
          <t>Product Mkt</t>
        </is>
      </c>
      <c r="E104" s="379" t="n">
        <v>46051</v>
      </c>
      <c r="F104" s="700" t="n">
        <v>5</v>
      </c>
      <c r="H104" s="699" t="n"/>
      <c r="I104" s="701" t="n"/>
      <c r="J104" s="701" t="n"/>
      <c r="K104" s="701" t="n"/>
      <c r="L104" s="701" t="n"/>
      <c r="M104" s="703" t="n"/>
      <c r="N104" s="701" t="n"/>
      <c r="O104" s="704" t="n"/>
    </row>
    <row r="105" ht="30.6" customHeight="1">
      <c r="A105" s="705" t="n"/>
      <c r="B105" s="671" t="n"/>
      <c r="C105" s="671" t="n"/>
      <c r="D105" s="671" t="n"/>
      <c r="E105" s="671" t="n"/>
      <c r="F105" s="672" t="n"/>
      <c r="H105" s="705" t="n"/>
      <c r="I105" s="671" t="n"/>
      <c r="J105" s="671" t="n"/>
      <c r="K105" s="671" t="n"/>
      <c r="L105" s="671" t="n"/>
      <c r="M105" s="671" t="n"/>
      <c r="N105" s="671" t="n"/>
      <c r="O105" s="672" t="n"/>
    </row>
    <row r="106" ht="16.5" customHeight="1">
      <c r="A106" s="699" t="inlineStr">
        <is>
          <t>NPI On-Time</t>
        </is>
      </c>
      <c r="B106" s="387" t="inlineStr">
        <is>
          <t xml:space="preserve">R&amp;D
 SW 2nd Build delayed by 1.5 months ( Initial Jan'26 completion) for the Integration ( post PLC) </t>
        </is>
      </c>
      <c r="C106" s="388" t="inlineStr">
        <is>
          <t xml:space="preserve">Worshop planned with PM in PIC ( Wk5)  </t>
        </is>
      </c>
      <c r="D106" s="388" t="inlineStr">
        <is>
          <t>SW &amp; PMO</t>
        </is>
      </c>
      <c r="E106" s="379" t="n">
        <v>46052</v>
      </c>
      <c r="F106" s="371" t="n">
        <v>5</v>
      </c>
      <c r="H106" s="699" t="n"/>
      <c r="I106" s="699" t="n"/>
      <c r="J106" s="699" t="n"/>
      <c r="K106" s="699" t="n"/>
      <c r="L106" s="699" t="n"/>
      <c r="M106" s="699" t="n"/>
      <c r="N106" s="699" t="n"/>
      <c r="O106" s="699" t="n"/>
    </row>
    <row r="107" ht="29.85" customHeight="1">
      <c r="A107" s="705" t="n"/>
      <c r="B107" s="671" t="n"/>
      <c r="C107" s="671" t="n"/>
      <c r="D107" s="671" t="n"/>
      <c r="E107" s="671" t="n"/>
      <c r="F107" s="400" t="n"/>
      <c r="H107" s="705" t="n"/>
      <c r="I107" s="705" t="n"/>
      <c r="J107" s="705" t="n"/>
      <c r="K107" s="705" t="n"/>
      <c r="L107" s="705" t="n"/>
      <c r="M107" s="705" t="n"/>
      <c r="N107" s="705" t="n"/>
      <c r="O107" s="705" t="n"/>
    </row>
    <row r="108" ht="23.1" customHeight="1">
      <c r="A108" s="699" t="inlineStr">
        <is>
          <t>NPI On-Time</t>
        </is>
      </c>
      <c r="B108" s="387" t="inlineStr">
        <is>
          <t>PMO -  LOD completion delaying PLC  both for R&amp;D and CFT deliverables ( Dependency &amp; Review comments closure)</t>
        </is>
      </c>
      <c r="C108" s="388" t="inlineStr">
        <is>
          <t xml:space="preserve">1) Daily Management with R&amp;D and CFT  on LOD closure 
2) Daily tracking with burn down </t>
        </is>
      </c>
      <c r="D108" s="388" t="inlineStr">
        <is>
          <t xml:space="preserve"> PMO</t>
        </is>
      </c>
      <c r="E108" s="748" t="inlineStr">
        <is>
          <t>2/27/2026
30-Mar-2026
30-05-2026</t>
        </is>
      </c>
      <c r="F108" s="371" t="n">
        <v>5</v>
      </c>
      <c r="H108" s="501" t="n"/>
      <c r="I108" s="175" t="n"/>
      <c r="J108" s="175" t="n"/>
      <c r="K108" s="175" t="n"/>
      <c r="L108" s="175" t="n"/>
      <c r="M108" s="175" t="n"/>
      <c r="N108" s="175" t="n"/>
      <c r="O108" s="176" t="n"/>
    </row>
    <row r="109" ht="23.1" customHeight="1">
      <c r="A109" s="705" t="n"/>
      <c r="B109" s="671" t="n"/>
      <c r="C109" s="671" t="n"/>
      <c r="D109" s="671" t="n"/>
      <c r="E109" s="671" t="n"/>
      <c r="F109" s="400" t="n"/>
      <c r="H109" s="501" t="n"/>
      <c r="I109" s="175" t="n"/>
      <c r="J109" s="175" t="n"/>
      <c r="K109" s="175" t="n"/>
      <c r="L109" s="175" t="n"/>
      <c r="M109" s="175" t="n"/>
      <c r="N109" s="175" t="n"/>
      <c r="O109" s="176" t="n"/>
    </row>
    <row r="110" ht="28.35" customHeight="1">
      <c r="A110" s="699" t="inlineStr">
        <is>
          <t>NPI On-Time</t>
        </is>
      </c>
      <c r="B110" s="387" t="inlineStr">
        <is>
          <t>R&amp;D : Thermal Issue</t>
        </is>
      </c>
      <c r="C110" s="388" t="inlineStr">
        <is>
          <t xml:space="preserve">Redesign of the components to meet the thermal criteria </t>
        </is>
      </c>
      <c r="D110" s="388" t="inlineStr">
        <is>
          <t>R&amp;D</t>
        </is>
      </c>
      <c r="E110" s="379" t="inlineStr">
        <is>
          <t xml:space="preserve">
07-Apr-2026
27-Apr-2026
06-05-2026</t>
        </is>
      </c>
      <c r="F110" s="700" t="n">
        <v>5</v>
      </c>
      <c r="H110" s="736" t="n"/>
      <c r="I110" s="702" t="n"/>
      <c r="J110" s="701" t="n"/>
      <c r="K110" s="702" t="n"/>
      <c r="L110" s="701" t="n"/>
      <c r="M110" s="703" t="inlineStr">
        <is>
          <t>Yes</t>
        </is>
      </c>
      <c r="N110" s="701" t="n"/>
      <c r="O110" s="704" t="n"/>
    </row>
    <row r="111" ht="28.35" customHeight="1">
      <c r="A111" s="705" t="n"/>
      <c r="B111" s="671" t="n"/>
      <c r="C111" s="671" t="n"/>
      <c r="D111" s="671" t="n"/>
      <c r="E111" s="671" t="n"/>
      <c r="F111" s="672" t="n"/>
      <c r="H111" s="671" t="n"/>
      <c r="I111" s="671" t="n"/>
      <c r="J111" s="671" t="n"/>
      <c r="K111" s="671" t="n"/>
      <c r="L111" s="671" t="n"/>
      <c r="M111" s="671" t="n"/>
      <c r="N111" s="671" t="n"/>
      <c r="O111" s="672" t="n"/>
    </row>
    <row r="112" ht="33" customHeight="1">
      <c r="A112" s="749" t="inlineStr">
        <is>
          <t>LCM Ontime</t>
        </is>
      </c>
      <c r="B112" s="387" t="inlineStr">
        <is>
          <t xml:space="preserve">High Adhoc change request </t>
        </is>
      </c>
      <c r="C112" s="388" t="inlineStr">
        <is>
          <t>1) Workshop wirh Factory team - Identify the upcoming countary specific orders</t>
        </is>
      </c>
      <c r="D112" s="388" t="inlineStr">
        <is>
          <t>PMO/ISC</t>
        </is>
      </c>
      <c r="E112" s="379" t="n">
        <v>46172</v>
      </c>
      <c r="F112" s="371" t="n">
        <v>5</v>
      </c>
      <c r="H112" s="501" t="n"/>
      <c r="I112" s="528" t="n"/>
      <c r="J112" s="528" t="n"/>
      <c r="K112" s="528" t="n"/>
      <c r="L112" s="528" t="n"/>
      <c r="M112" s="535" t="n"/>
      <c r="N112" s="528" t="n"/>
      <c r="O112" s="539" t="n"/>
    </row>
    <row r="113" ht="33" customHeight="1">
      <c r="A113" s="671" t="n"/>
      <c r="B113" s="671" t="n"/>
      <c r="C113" s="671" t="n"/>
      <c r="D113" s="671" t="n"/>
      <c r="E113" s="671" t="n"/>
      <c r="F113" s="400" t="n"/>
      <c r="H113" s="501" t="n"/>
      <c r="I113" s="528" t="n"/>
      <c r="J113" s="528" t="n"/>
      <c r="K113" s="528" t="n"/>
      <c r="L113" s="528" t="n"/>
      <c r="M113" s="535" t="n"/>
      <c r="N113" s="528" t="n"/>
      <c r="O113" s="539" t="n"/>
    </row>
    <row r="114" ht="16.5" customHeight="1">
      <c r="A114" s="749" t="inlineStr">
        <is>
          <t>LCM Ontime</t>
        </is>
      </c>
      <c r="B114" s="387" t="inlineStr">
        <is>
          <t xml:space="preserve">Supplier Transfer ( Reychecm )  - Parts release to production. Adaptor plate assy in Critical path </t>
        </is>
      </c>
      <c r="C114" s="388" t="inlineStr">
        <is>
          <t xml:space="preserve">PSW &amp; OQ optimization &amp; execution </t>
        </is>
      </c>
      <c r="D114" s="388" t="inlineStr">
        <is>
          <t>SQE</t>
        </is>
      </c>
      <c r="E114" s="379" t="n">
        <v>46079</v>
      </c>
      <c r="F114" s="371" t="n">
        <v>5</v>
      </c>
      <c r="H114" s="709" t="n"/>
      <c r="I114" s="710" t="n"/>
      <c r="J114" s="710" t="n"/>
      <c r="K114" s="710" t="n"/>
      <c r="L114" s="710" t="n"/>
      <c r="M114" s="711" t="n"/>
      <c r="N114" s="710" t="n"/>
      <c r="O114" s="712" t="n"/>
    </row>
    <row r="115" ht="17.1" customHeight="1">
      <c r="A115" s="671" t="n"/>
      <c r="B115" s="671" t="n"/>
      <c r="C115" s="671" t="n"/>
      <c r="D115" s="671" t="n"/>
      <c r="E115" s="671" t="n"/>
      <c r="F115" s="400" t="n"/>
      <c r="H115" s="714" t="n"/>
      <c r="I115" s="713" t="n"/>
      <c r="J115" s="713" t="n"/>
      <c r="K115" s="713" t="n"/>
      <c r="L115" s="713" t="n"/>
      <c r="M115" s="713" t="n"/>
      <c r="N115" s="713" t="n"/>
      <c r="O115" s="715" t="n"/>
    </row>
    <row r="116">
      <c r="A116" s="34" t="inlineStr">
        <is>
          <t>Action not assigned</t>
        </is>
      </c>
      <c r="B116" s="34" t="inlineStr">
        <is>
          <t>Action assigned</t>
        </is>
      </c>
      <c r="C116" s="35" t="inlineStr">
        <is>
          <t>Action started</t>
        </is>
      </c>
      <c r="D116" s="35" t="inlineStr">
        <is>
          <t>Action in progress</t>
        </is>
      </c>
      <c r="E116" s="165" t="inlineStr">
        <is>
          <t>Action completed</t>
        </is>
      </c>
      <c r="F116" s="716" t="n"/>
      <c r="G116" s="639" t="n"/>
    </row>
    <row r="117">
      <c r="A117" s="639" t="n"/>
      <c r="C117" s="639" t="n"/>
      <c r="D117" s="639" t="n"/>
      <c r="E117" s="639" t="n"/>
      <c r="F117" s="639" t="n"/>
      <c r="G117" s="639" t="n"/>
    </row>
    <row r="118">
      <c r="C118" s="639" t="n"/>
      <c r="D118" s="639" t="n"/>
      <c r="E118" s="639" t="n"/>
      <c r="F118" s="639" t="n"/>
      <c r="G118" s="639" t="n"/>
      <c r="H118" s="639" t="n"/>
    </row>
    <row r="119" ht="15" customHeight="1" thickBot="1"/>
    <row r="120">
      <c r="A120" s="558" t="inlineStr">
        <is>
          <t>Dhruv NPI On Time</t>
        </is>
      </c>
      <c r="B120" s="750" t="n"/>
      <c r="C120" s="716" t="n"/>
      <c r="D120" s="165" t="n"/>
      <c r="E120" s="559" t="inlineStr">
        <is>
          <t>Monthly Targets</t>
        </is>
      </c>
      <c r="F120" s="750" t="n"/>
      <c r="G120" s="750" t="n"/>
      <c r="H120" s="750" t="n"/>
      <c r="I120" s="750" t="n"/>
      <c r="J120" s="750" t="n"/>
      <c r="K120" s="750" t="n"/>
      <c r="L120" s="750" t="n"/>
      <c r="M120" s="750" t="n"/>
      <c r="N120" s="750" t="n"/>
      <c r="O120" s="750" t="n"/>
      <c r="P120" s="716" t="n"/>
      <c r="Q120" s="166" t="inlineStr">
        <is>
          <t>Weighted Score</t>
        </is>
      </c>
    </row>
    <row r="121">
      <c r="A121" s="167" t="inlineStr">
        <is>
          <t>Area</t>
        </is>
      </c>
      <c r="B121" s="130" t="inlineStr">
        <is>
          <t>KPI</t>
        </is>
      </c>
      <c r="C121" s="130" t="inlineStr">
        <is>
          <t>Measurement</t>
        </is>
      </c>
      <c r="D121" s="178" t="inlineStr">
        <is>
          <t xml:space="preserve">Total </t>
        </is>
      </c>
      <c r="E121" s="131" t="inlineStr">
        <is>
          <t>Jan</t>
        </is>
      </c>
      <c r="F121" s="131" t="inlineStr">
        <is>
          <t>Feb</t>
        </is>
      </c>
      <c r="G121" s="131" t="inlineStr">
        <is>
          <t>Mar</t>
        </is>
      </c>
      <c r="H121" s="131" t="inlineStr">
        <is>
          <t>Apr</t>
        </is>
      </c>
      <c r="I121" s="131" t="inlineStr">
        <is>
          <t>May</t>
        </is>
      </c>
      <c r="J121" s="131" t="inlineStr">
        <is>
          <t>Jun</t>
        </is>
      </c>
      <c r="K121" s="131" t="inlineStr">
        <is>
          <t>Jul</t>
        </is>
      </c>
      <c r="L121" s="131" t="inlineStr">
        <is>
          <t>Aug</t>
        </is>
      </c>
      <c r="M121" s="131" t="inlineStr">
        <is>
          <t>Sep</t>
        </is>
      </c>
      <c r="N121" s="131" t="inlineStr">
        <is>
          <t>Oct</t>
        </is>
      </c>
      <c r="O121" s="131" t="inlineStr">
        <is>
          <t>Nov</t>
        </is>
      </c>
      <c r="P121" s="131" t="inlineStr">
        <is>
          <t>Dec</t>
        </is>
      </c>
      <c r="Q121" s="168" t="n"/>
    </row>
    <row r="122">
      <c r="A122" s="554" t="inlineStr">
        <is>
          <t>Design Output</t>
        </is>
      </c>
      <c r="B122" s="447" t="inlineStr">
        <is>
          <t>% HW Design Completion</t>
        </is>
      </c>
      <c r="C122" s="163" t="inlineStr">
        <is>
          <t>DMR released / Total DMR</t>
        </is>
      </c>
      <c r="D122" s="201" t="n">
        <v>130</v>
      </c>
      <c r="E122" s="282">
        <f>96/130</f>
        <v/>
      </c>
      <c r="F122" s="282">
        <f>115/130</f>
        <v/>
      </c>
      <c r="G122" s="203">
        <f>107/130</f>
        <v/>
      </c>
      <c r="H122" s="282">
        <f>110/130</f>
        <v/>
      </c>
      <c r="I122" s="205">
        <f>115/130</f>
        <v/>
      </c>
      <c r="J122" s="295">
        <f>125/130</f>
        <v/>
      </c>
      <c r="K122" s="204" t="n">
        <v>1</v>
      </c>
      <c r="L122" s="204" t="n">
        <v>1</v>
      </c>
      <c r="M122" s="204" t="n">
        <v>1</v>
      </c>
      <c r="N122" s="39" t="n"/>
      <c r="O122" s="39" t="n"/>
      <c r="P122" s="39" t="n"/>
      <c r="Q122" s="113" t="n"/>
    </row>
    <row r="123" ht="29.1" customHeight="1">
      <c r="A123" s="705" t="n"/>
      <c r="B123" s="447" t="inlineStr">
        <is>
          <t>% SW Design Completion</t>
        </is>
      </c>
      <c r="C123" s="163" t="inlineStr">
        <is>
          <t>SW Features Developed / Total SW Features</t>
        </is>
      </c>
      <c r="D123" s="201" t="n">
        <v>21</v>
      </c>
      <c r="E123" s="282">
        <f>11/27</f>
        <v/>
      </c>
      <c r="F123" s="282">
        <f>15/27</f>
        <v/>
      </c>
      <c r="G123" s="282">
        <f>21/27</f>
        <v/>
      </c>
      <c r="H123" s="282">
        <f>18/21</f>
        <v/>
      </c>
      <c r="I123" s="282">
        <f>20/21</f>
        <v/>
      </c>
      <c r="J123" s="204" t="n">
        <v>1</v>
      </c>
      <c r="K123" s="320" t="n">
        <v>1</v>
      </c>
      <c r="L123" s="320" t="n">
        <v>1</v>
      </c>
      <c r="M123" s="320" t="n">
        <v>1</v>
      </c>
      <c r="N123" s="39" t="n"/>
      <c r="O123" s="39" t="n"/>
      <c r="P123" s="39" t="n"/>
      <c r="Q123" s="113" t="n"/>
    </row>
    <row r="124" ht="43.5" customHeight="1">
      <c r="A124" s="116" t="inlineStr">
        <is>
          <t>Documents closure / Upcoming Milestone readiness</t>
        </is>
      </c>
      <c r="B124" s="447" t="inlineStr">
        <is>
          <t>LOD Completion Status</t>
        </is>
      </c>
      <c r="C124" s="389" t="inlineStr">
        <is>
          <t>Documents Released in Windchill / Total Documents</t>
        </is>
      </c>
      <c r="D124" s="201" t="n">
        <v>161</v>
      </c>
      <c r="E124" s="282">
        <f>99/163</f>
        <v/>
      </c>
      <c r="F124" s="282">
        <f>108/164</f>
        <v/>
      </c>
      <c r="G124" s="203">
        <f>127/162</f>
        <v/>
      </c>
      <c r="H124" s="282">
        <f>130/161</f>
        <v/>
      </c>
      <c r="I124" s="282">
        <f>130/161</f>
        <v/>
      </c>
      <c r="J124" s="325">
        <f>145/161</f>
        <v/>
      </c>
      <c r="K124" s="325">
        <f>153/161</f>
        <v/>
      </c>
      <c r="L124" s="325">
        <f>153/161</f>
        <v/>
      </c>
      <c r="M124" s="325">
        <f>153/161</f>
        <v/>
      </c>
      <c r="N124" s="39" t="n"/>
      <c r="O124" s="39" t="n"/>
      <c r="P124" s="39" t="n"/>
      <c r="Q124" s="113" t="n"/>
    </row>
    <row r="125" ht="29.1" customHeight="1">
      <c r="A125" s="554" t="inlineStr">
        <is>
          <t>Parts Readiness</t>
        </is>
      </c>
      <c r="B125" s="447" t="inlineStr">
        <is>
          <t xml:space="preserve">Prototype Availability </t>
        </is>
      </c>
      <c r="C125" s="163" t="inlineStr">
        <is>
          <t>Prorotype available / Total Prototypes</t>
        </is>
      </c>
      <c r="D125" s="201" t="n">
        <v>82</v>
      </c>
      <c r="E125" s="282">
        <f>67/$D$125</f>
        <v/>
      </c>
      <c r="F125" s="282">
        <f>67/$D$125</f>
        <v/>
      </c>
      <c r="G125" s="204" t="n">
        <v>1</v>
      </c>
      <c r="H125" s="204" t="n">
        <v>1</v>
      </c>
      <c r="I125" s="204" t="n">
        <v>1</v>
      </c>
      <c r="J125" s="204" t="n">
        <v>1</v>
      </c>
      <c r="K125" s="204" t="n">
        <v>1</v>
      </c>
      <c r="L125" s="204" t="n">
        <v>1</v>
      </c>
      <c r="M125" s="204" t="n">
        <v>1</v>
      </c>
      <c r="N125" s="39" t="n"/>
      <c r="O125" s="39" t="n"/>
      <c r="P125" s="39" t="n"/>
      <c r="Q125" s="113" t="n"/>
    </row>
    <row r="126" ht="29.1" customHeight="1">
      <c r="A126" s="732" t="n"/>
      <c r="B126" s="447" t="inlineStr">
        <is>
          <t>PSW Completion</t>
        </is>
      </c>
      <c r="C126" s="163" t="inlineStr">
        <is>
          <t>PSW Sec5 Completion / Total PSW</t>
        </is>
      </c>
      <c r="D126" s="201" t="n">
        <v>82</v>
      </c>
      <c r="E126" s="282">
        <f>5/82</f>
        <v/>
      </c>
      <c r="F126" s="282">
        <f>5/82</f>
        <v/>
      </c>
      <c r="G126" s="205">
        <f>7/82</f>
        <v/>
      </c>
      <c r="H126" s="283">
        <f>18/82</f>
        <v/>
      </c>
      <c r="I126" s="283">
        <f>33/82</f>
        <v/>
      </c>
      <c r="J126" s="296">
        <f>64/84</f>
        <v/>
      </c>
      <c r="K126" s="296">
        <f>64/84</f>
        <v/>
      </c>
      <c r="L126" s="296">
        <f>68/85</f>
        <v/>
      </c>
      <c r="M126" s="342">
        <f>70/85</f>
        <v/>
      </c>
      <c r="N126" s="39" t="n"/>
      <c r="O126" s="39" t="n"/>
      <c r="P126" s="39" t="n"/>
      <c r="Q126" s="113" t="n"/>
    </row>
    <row r="127" ht="15" customHeight="1" thickBot="1">
      <c r="A127" s="705" t="n"/>
      <c r="B127" s="117" t="inlineStr">
        <is>
          <t>Final Parts Availability</t>
        </is>
      </c>
      <c r="C127" s="169" t="inlineStr">
        <is>
          <t>Monthly Plan vs Actual</t>
        </is>
      </c>
      <c r="D127" s="201" t="n">
        <v>82</v>
      </c>
      <c r="E127" s="206">
        <f>11/82</f>
        <v/>
      </c>
      <c r="F127" s="206">
        <f>11/82</f>
        <v/>
      </c>
      <c r="G127" s="284">
        <f>20/82</f>
        <v/>
      </c>
      <c r="H127" s="253">
        <f>23/82</f>
        <v/>
      </c>
      <c r="I127" s="253">
        <f>24/82</f>
        <v/>
      </c>
      <c r="J127" s="296">
        <f>40/84</f>
        <v/>
      </c>
      <c r="K127" s="296">
        <f>70/84</f>
        <v/>
      </c>
      <c r="L127" s="204">
        <f>80/85</f>
        <v/>
      </c>
      <c r="M127" s="343">
        <f>85/85</f>
        <v/>
      </c>
      <c r="N127" s="114" t="n"/>
      <c r="O127" s="114" t="n"/>
      <c r="P127" s="114" t="n"/>
      <c r="Q127" s="115" t="n"/>
    </row>
    <row r="128" ht="29.1" customHeight="1">
      <c r="A128" s="155" t="inlineStr">
        <is>
          <t>Factory Readiness</t>
        </is>
      </c>
      <c r="B128" s="156" t="inlineStr">
        <is>
          <t>Product Industrializaiton Completion</t>
        </is>
      </c>
      <c r="C128" s="157" t="inlineStr">
        <is>
          <t>TMV Readiness 
Pilot Run Readiness</t>
        </is>
      </c>
      <c r="D128" s="158" t="n"/>
      <c r="E128" s="159" t="n"/>
      <c r="F128" s="158" t="n"/>
      <c r="G128" s="158" t="n"/>
      <c r="H128" s="158" t="n"/>
      <c r="I128" s="158" t="n"/>
      <c r="J128" s="158" t="n"/>
      <c r="K128" s="158" t="n"/>
      <c r="L128" s="160" t="n"/>
      <c r="M128" s="160" t="n"/>
      <c r="N128" s="160" t="n"/>
      <c r="O128" s="160" t="n"/>
      <c r="P128" s="161" t="n"/>
      <c r="Q128" s="162" t="n"/>
    </row>
    <row r="129" ht="43.5" customHeight="1">
      <c r="A129" s="555" t="inlineStr">
        <is>
          <t>Verification &amp; Validation</t>
        </is>
      </c>
      <c r="B129" s="136" t="inlineStr">
        <is>
          <t>Usability and Compliance Completion</t>
        </is>
      </c>
      <c r="C129" s="137" t="inlineStr">
        <is>
          <t>Formative Readiness
Summative Readiness
NC Dry Run and Final</t>
        </is>
      </c>
      <c r="D129" s="140" t="n"/>
      <c r="E129" s="141" t="n"/>
      <c r="F129" s="140" t="n"/>
      <c r="G129" s="140" t="n"/>
      <c r="H129" s="140" t="n"/>
      <c r="I129" s="140" t="n"/>
      <c r="J129" s="140" t="n"/>
      <c r="K129" s="140" t="n"/>
      <c r="L129" s="142" t="n"/>
      <c r="M129" s="142" t="n"/>
      <c r="N129" s="142" t="n"/>
      <c r="O129" s="142" t="n"/>
      <c r="P129" s="143" t="n"/>
      <c r="Q129" s="144" t="n"/>
    </row>
    <row r="130" ht="43.5" customHeight="1">
      <c r="A130" s="732" t="n"/>
      <c r="B130" s="136" t="inlineStr">
        <is>
          <t>Dry Run &amp; System Verification Completion</t>
        </is>
      </c>
      <c r="C130" s="137" t="inlineStr">
        <is>
          <t xml:space="preserve">Integration Plan and Completion
</t>
        </is>
      </c>
      <c r="D130" s="140" t="n"/>
      <c r="E130" s="145" t="n"/>
      <c r="F130" s="142" t="n"/>
      <c r="G130" s="142" t="n"/>
      <c r="H130" s="142" t="n"/>
      <c r="I130" s="142" t="n"/>
      <c r="J130" s="142" t="n"/>
      <c r="K130" s="142" t="n"/>
      <c r="L130" s="142" t="n"/>
      <c r="M130" s="142" t="n"/>
      <c r="N130" s="142" t="n"/>
      <c r="O130" s="142" t="n"/>
      <c r="P130" s="143" t="n"/>
      <c r="Q130" s="144" t="n"/>
    </row>
    <row r="131" ht="29.1" customHeight="1">
      <c r="A131" s="705" t="n"/>
      <c r="B131" s="136" t="inlineStr">
        <is>
          <t>Engineering Issues and Defect Resolution</t>
        </is>
      </c>
      <c r="C131" s="137" t="inlineStr">
        <is>
          <t>Defects Closed / Total Defects</t>
        </is>
      </c>
      <c r="D131" s="140" t="n"/>
      <c r="E131" s="145" t="n"/>
      <c r="F131" s="142" t="n"/>
      <c r="G131" s="142" t="n"/>
      <c r="H131" s="142" t="n"/>
      <c r="I131" s="142" t="n"/>
      <c r="J131" s="142" t="n"/>
      <c r="K131" s="142" t="n"/>
      <c r="L131" s="142" t="n"/>
      <c r="M131" s="142" t="n"/>
      <c r="N131" s="142" t="n"/>
      <c r="O131" s="142" t="n"/>
      <c r="P131" s="143" t="n"/>
      <c r="Q131" s="144" t="n"/>
    </row>
    <row r="132" ht="43.5" customHeight="1">
      <c r="A132" s="555" t="inlineStr">
        <is>
          <t>Market Availability</t>
        </is>
      </c>
      <c r="B132" s="136" t="inlineStr">
        <is>
          <t>Regulatory Submission Readiness</t>
        </is>
      </c>
      <c r="C132" s="137" t="inlineStr">
        <is>
          <t>Equivalence
Claims Substantiationx
Technical File Readiness</t>
        </is>
      </c>
      <c r="D132" s="140" t="n"/>
      <c r="E132" s="145" t="n"/>
      <c r="F132" s="142" t="n"/>
      <c r="G132" s="142" t="n"/>
      <c r="H132" s="142" t="n"/>
      <c r="I132" s="142" t="n"/>
      <c r="J132" s="142" t="n"/>
      <c r="K132" s="142" t="n"/>
      <c r="L132" s="142" t="n"/>
      <c r="M132" s="142" t="n"/>
      <c r="N132" s="142" t="n"/>
      <c r="O132" s="142" t="n"/>
      <c r="P132" s="143" t="n"/>
      <c r="Q132" s="144" t="n"/>
    </row>
    <row r="133" ht="15" customHeight="1" thickBot="1">
      <c r="A133" s="705" t="n"/>
      <c r="B133" s="138" t="inlineStr">
        <is>
          <t>Market Readiness</t>
        </is>
      </c>
      <c r="C133" s="139" t="n"/>
      <c r="D133" s="140" t="n"/>
      <c r="E133" s="146" t="n"/>
      <c r="F133" s="147" t="n"/>
      <c r="G133" s="147" t="n"/>
      <c r="H133" s="147" t="n"/>
      <c r="I133" s="147" t="n"/>
      <c r="J133" s="147" t="n"/>
      <c r="K133" s="147" t="n"/>
      <c r="L133" s="147" t="n"/>
      <c r="M133" s="147" t="n"/>
      <c r="N133" s="147" t="n"/>
      <c r="O133" s="147" t="n"/>
      <c r="P133" s="148" t="n"/>
      <c r="Q133" s="149" t="n"/>
    </row>
    <row r="134">
      <c r="C134" s="33" t="n"/>
    </row>
    <row r="135">
      <c r="B135" t="inlineStr">
        <is>
          <t>Overall Release Predictability / Readiness Index</t>
        </is>
      </c>
    </row>
    <row r="136">
      <c r="B136" t="inlineStr">
        <is>
          <t>Release Confidence Index</t>
        </is>
      </c>
    </row>
    <row r="139">
      <c r="B139" s="151" t="inlineStr">
        <is>
          <t>KPI (PLC)</t>
        </is>
      </c>
      <c r="C139" s="151" t="inlineStr">
        <is>
          <t>Weight</t>
        </is>
      </c>
      <c r="D139" s="389" t="inlineStr">
        <is>
          <t>Jan</t>
        </is>
      </c>
      <c r="E139" s="39" t="inlineStr">
        <is>
          <t>Feb</t>
        </is>
      </c>
      <c r="F139" s="389" t="inlineStr">
        <is>
          <t>Mar</t>
        </is>
      </c>
      <c r="G139" s="39" t="inlineStr">
        <is>
          <t>Apr</t>
        </is>
      </c>
      <c r="H139" s="389" t="inlineStr">
        <is>
          <t>May</t>
        </is>
      </c>
      <c r="I139" s="39" t="inlineStr">
        <is>
          <t>Jun</t>
        </is>
      </c>
      <c r="J139" s="389" t="inlineStr">
        <is>
          <t>Jul</t>
        </is>
      </c>
      <c r="K139" s="39" t="inlineStr">
        <is>
          <t>Aug</t>
        </is>
      </c>
      <c r="L139" s="39" t="inlineStr">
        <is>
          <t>Sep</t>
        </is>
      </c>
    </row>
    <row r="140">
      <c r="B140" s="389" t="inlineStr">
        <is>
          <t>HW Design</t>
        </is>
      </c>
      <c r="C140" s="153" t="n">
        <v>0.25</v>
      </c>
      <c r="D140" s="153">
        <f>C140*E122</f>
        <v/>
      </c>
      <c r="E140" s="164">
        <f>C140*F122</f>
        <v/>
      </c>
      <c r="F140" s="751">
        <f>C140*G122</f>
        <v/>
      </c>
      <c r="G140" s="164">
        <f>H122*C140</f>
        <v/>
      </c>
      <c r="H140" s="164">
        <f>C140*I122</f>
        <v/>
      </c>
      <c r="I140" s="164">
        <f>C140*J122</f>
        <v/>
      </c>
      <c r="J140" s="164">
        <f>C140*K122</f>
        <v/>
      </c>
      <c r="K140" s="164">
        <f>C140*L122</f>
        <v/>
      </c>
      <c r="L140" s="164">
        <f>C140*M122</f>
        <v/>
      </c>
    </row>
    <row r="141">
      <c r="B141" s="389" t="inlineStr">
        <is>
          <t>Prototype Availability</t>
        </is>
      </c>
      <c r="C141" s="153" t="n">
        <v>0.25</v>
      </c>
      <c r="D141" s="153">
        <f>C141*E125</f>
        <v/>
      </c>
      <c r="E141" s="164">
        <f>C141*F125</f>
        <v/>
      </c>
      <c r="F141" s="164">
        <f>C141*G125</f>
        <v/>
      </c>
      <c r="G141" s="164" t="n">
        <v>0.25</v>
      </c>
      <c r="H141" s="164" t="n">
        <v>0.25</v>
      </c>
      <c r="I141" s="164" t="n">
        <v>0.25</v>
      </c>
      <c r="J141" s="164" t="n">
        <v>0.25</v>
      </c>
      <c r="K141" s="164" t="n">
        <v>0.25</v>
      </c>
      <c r="L141" s="164" t="n">
        <v>0.25</v>
      </c>
    </row>
    <row r="142">
      <c r="B142" s="389" t="inlineStr">
        <is>
          <t>LOD Completion</t>
        </is>
      </c>
      <c r="C142" s="153" t="n">
        <v>0.25</v>
      </c>
      <c r="D142" s="153">
        <f>C142*E124</f>
        <v/>
      </c>
      <c r="E142" s="164">
        <f>C142*F124</f>
        <v/>
      </c>
      <c r="F142" s="164">
        <f>C142*G124</f>
        <v/>
      </c>
      <c r="G142" s="164">
        <f>H124*C142</f>
        <v/>
      </c>
      <c r="H142" s="164">
        <f>C142*I124</f>
        <v/>
      </c>
      <c r="I142" s="164">
        <f>C142*J124</f>
        <v/>
      </c>
      <c r="J142" s="164">
        <f>C142*K124</f>
        <v/>
      </c>
      <c r="K142" s="164">
        <f>C142*L124</f>
        <v/>
      </c>
      <c r="L142" s="164">
        <f>C142*M124</f>
        <v/>
      </c>
    </row>
    <row r="143">
      <c r="B143" s="389" t="inlineStr">
        <is>
          <t>PSW Completion</t>
        </is>
      </c>
      <c r="C143" s="153" t="n">
        <v>0.25</v>
      </c>
      <c r="D143" s="153">
        <f>C143*E126</f>
        <v/>
      </c>
      <c r="E143" s="164">
        <f>C143*F126</f>
        <v/>
      </c>
      <c r="F143" s="164">
        <f>C143*G126</f>
        <v/>
      </c>
      <c r="G143" s="164">
        <f>H126*C143</f>
        <v/>
      </c>
      <c r="H143" s="164">
        <f>I126*C143</f>
        <v/>
      </c>
      <c r="I143" s="164">
        <f>J126*C143</f>
        <v/>
      </c>
      <c r="J143" s="164">
        <f>K126*C143</f>
        <v/>
      </c>
      <c r="K143" s="164">
        <f>L126*C143</f>
        <v/>
      </c>
      <c r="L143" s="164">
        <f>M126*C143</f>
        <v/>
      </c>
    </row>
    <row r="144">
      <c r="B144" s="151" t="inlineStr">
        <is>
          <t>Total</t>
        </is>
      </c>
      <c r="C144" s="154" t="n">
        <v>1</v>
      </c>
      <c r="D144" s="153">
        <f>SUM(D140:D143)</f>
        <v/>
      </c>
      <c r="E144" s="132">
        <f>SUM(E140:E143)</f>
        <v/>
      </c>
      <c r="F144" s="132">
        <f>SUM(F140:F143)</f>
        <v/>
      </c>
      <c r="G144" s="132">
        <f>SUM(G140:G143)</f>
        <v/>
      </c>
      <c r="H144" s="132">
        <f>SUM(H140:H143)</f>
        <v/>
      </c>
      <c r="I144" s="132">
        <f>SUM(I140:I143)</f>
        <v/>
      </c>
      <c r="J144" s="132">
        <f>SUM(J140:J143)</f>
        <v/>
      </c>
      <c r="K144" s="132">
        <f>SUM(K140:K143)</f>
        <v/>
      </c>
      <c r="L144" s="132">
        <f>SUM(L140:L143)</f>
        <v/>
      </c>
    </row>
  </sheetData>
  <mergeCells count="222">
    <mergeCell ref="E92:E93"/>
    <mergeCell ref="K114:K115"/>
    <mergeCell ref="E8:E9"/>
    <mergeCell ref="A84:F84"/>
    <mergeCell ref="K88:K89"/>
    <mergeCell ref="M88:M89"/>
    <mergeCell ref="G8:G9"/>
    <mergeCell ref="M114:M115"/>
    <mergeCell ref="E88:E89"/>
    <mergeCell ref="B86:B87"/>
    <mergeCell ref="D108:D109"/>
    <mergeCell ref="I104:I105"/>
    <mergeCell ref="D86:D87"/>
    <mergeCell ref="K104:K105"/>
    <mergeCell ref="C94:C95"/>
    <mergeCell ref="H102:H103"/>
    <mergeCell ref="F86:F87"/>
    <mergeCell ref="A16:A17"/>
    <mergeCell ref="J102:J103"/>
    <mergeCell ref="C10:C11"/>
    <mergeCell ref="C16:C17"/>
    <mergeCell ref="E10:E11"/>
    <mergeCell ref="G10:G11"/>
    <mergeCell ref="B14:B15"/>
    <mergeCell ref="F18:F19"/>
    <mergeCell ref="I106:I107"/>
    <mergeCell ref="C114:C115"/>
    <mergeCell ref="K106:K107"/>
    <mergeCell ref="F26:F27"/>
    <mergeCell ref="H88:H89"/>
    <mergeCell ref="D16:D17"/>
    <mergeCell ref="H94:H95"/>
    <mergeCell ref="A46:E46"/>
    <mergeCell ref="B6:B7"/>
    <mergeCell ref="G18:G19"/>
    <mergeCell ref="E120:P120"/>
    <mergeCell ref="D18:D19"/>
    <mergeCell ref="J94:J95"/>
    <mergeCell ref="B112:B113"/>
    <mergeCell ref="L94:L95"/>
    <mergeCell ref="D112:D113"/>
    <mergeCell ref="D8:D9"/>
    <mergeCell ref="E116:F116"/>
    <mergeCell ref="O110:O111"/>
    <mergeCell ref="C86:C87"/>
    <mergeCell ref="B114:B115"/>
    <mergeCell ref="D114:D115"/>
    <mergeCell ref="D10:D11"/>
    <mergeCell ref="B104:B105"/>
    <mergeCell ref="D98:D99"/>
    <mergeCell ref="A102:A103"/>
    <mergeCell ref="J88:J89"/>
    <mergeCell ref="I86:I87"/>
    <mergeCell ref="C6:C7"/>
    <mergeCell ref="M102:M103"/>
    <mergeCell ref="B26:B27"/>
    <mergeCell ref="F16:F17"/>
    <mergeCell ref="O102:O103"/>
    <mergeCell ref="C14:C15"/>
    <mergeCell ref="C98:C99"/>
    <mergeCell ref="E14:E15"/>
    <mergeCell ref="B106:B107"/>
    <mergeCell ref="A110:A111"/>
    <mergeCell ref="A48:B48"/>
    <mergeCell ref="A88:A89"/>
    <mergeCell ref="B90:B91"/>
    <mergeCell ref="C20:C23"/>
    <mergeCell ref="A120:C120"/>
    <mergeCell ref="E20:E23"/>
    <mergeCell ref="K94:K95"/>
    <mergeCell ref="C112:C113"/>
    <mergeCell ref="M94:M95"/>
    <mergeCell ref="A90:A91"/>
    <mergeCell ref="C100:C101"/>
    <mergeCell ref="A26:A27"/>
    <mergeCell ref="F20:F23"/>
    <mergeCell ref="F110:F111"/>
    <mergeCell ref="H110:H111"/>
    <mergeCell ref="O114:O115"/>
    <mergeCell ref="F100:F101"/>
    <mergeCell ref="A8:A9"/>
    <mergeCell ref="I114:I115"/>
    <mergeCell ref="C8:C9"/>
    <mergeCell ref="M104:M105"/>
    <mergeCell ref="O104:O105"/>
    <mergeCell ref="E104:E105"/>
    <mergeCell ref="B108:B109"/>
    <mergeCell ref="D102:D103"/>
    <mergeCell ref="F102:F103"/>
    <mergeCell ref="L86:L87"/>
    <mergeCell ref="A10:A11"/>
    <mergeCell ref="E26:E27"/>
    <mergeCell ref="B92:B93"/>
    <mergeCell ref="N86:N87"/>
    <mergeCell ref="M106:M107"/>
    <mergeCell ref="G26:G27"/>
    <mergeCell ref="E106:E107"/>
    <mergeCell ref="C102:C103"/>
    <mergeCell ref="O106:O107"/>
    <mergeCell ref="J114:J115"/>
    <mergeCell ref="D88:D89"/>
    <mergeCell ref="D26:D27"/>
    <mergeCell ref="A92:A93"/>
    <mergeCell ref="F88:F89"/>
    <mergeCell ref="H104:H105"/>
    <mergeCell ref="B94:B95"/>
    <mergeCell ref="D94:D95"/>
    <mergeCell ref="B16:B17"/>
    <mergeCell ref="A49:A50"/>
    <mergeCell ref="O86:O87"/>
    <mergeCell ref="N94:N95"/>
    <mergeCell ref="F10:F11"/>
    <mergeCell ref="C18:C19"/>
    <mergeCell ref="D90:D91"/>
    <mergeCell ref="F24:F25"/>
    <mergeCell ref="H106:H107"/>
    <mergeCell ref="A94:A95"/>
    <mergeCell ref="A125:A127"/>
    <mergeCell ref="B18:B19"/>
    <mergeCell ref="B8:B9"/>
    <mergeCell ref="A6:A7"/>
    <mergeCell ref="K110:K111"/>
    <mergeCell ref="N106:N107"/>
    <mergeCell ref="M110:M111"/>
    <mergeCell ref="L114:L115"/>
    <mergeCell ref="F8:F9"/>
    <mergeCell ref="N88:N89"/>
    <mergeCell ref="B98:B99"/>
    <mergeCell ref="E94:E95"/>
    <mergeCell ref="G6:G7"/>
    <mergeCell ref="E108:E109"/>
    <mergeCell ref="J104:J105"/>
    <mergeCell ref="E86:E87"/>
    <mergeCell ref="L104:L105"/>
    <mergeCell ref="I102:I103"/>
    <mergeCell ref="G24:G25"/>
    <mergeCell ref="K102:K103"/>
    <mergeCell ref="A3:B3"/>
    <mergeCell ref="A14:A15"/>
    <mergeCell ref="E114:E115"/>
    <mergeCell ref="A104:A105"/>
    <mergeCell ref="A122:A123"/>
    <mergeCell ref="D92:D93"/>
    <mergeCell ref="I88:I89"/>
    <mergeCell ref="A20:A23"/>
    <mergeCell ref="H86:H87"/>
    <mergeCell ref="E16:E17"/>
    <mergeCell ref="I94:I95"/>
    <mergeCell ref="A112:A113"/>
    <mergeCell ref="G16:G17"/>
    <mergeCell ref="A106:A107"/>
    <mergeCell ref="D14:D15"/>
    <mergeCell ref="C106:C107"/>
    <mergeCell ref="F14:F15"/>
    <mergeCell ref="J110:J111"/>
    <mergeCell ref="E18:E19"/>
    <mergeCell ref="B20:B23"/>
    <mergeCell ref="E112:E113"/>
    <mergeCell ref="D20:D23"/>
    <mergeCell ref="B110:B111"/>
    <mergeCell ref="D110:D111"/>
    <mergeCell ref="A98:A99"/>
    <mergeCell ref="D6:D7"/>
    <mergeCell ref="N110:N111"/>
    <mergeCell ref="E96:E97"/>
    <mergeCell ref="F6:F7"/>
    <mergeCell ref="B100:B101"/>
    <mergeCell ref="A132:A133"/>
    <mergeCell ref="A24:A25"/>
    <mergeCell ref="B96:B97"/>
    <mergeCell ref="D96:D97"/>
    <mergeCell ref="C104:C105"/>
    <mergeCell ref="E98:E99"/>
    <mergeCell ref="B102:B103"/>
    <mergeCell ref="L102:L103"/>
    <mergeCell ref="C88:C89"/>
    <mergeCell ref="J86:J87"/>
    <mergeCell ref="C26:C27"/>
    <mergeCell ref="N102:N103"/>
    <mergeCell ref="C92:C93"/>
    <mergeCell ref="H114:H115"/>
    <mergeCell ref="O88:O89"/>
    <mergeCell ref="B88:B89"/>
    <mergeCell ref="D104:D105"/>
    <mergeCell ref="F104:F105"/>
    <mergeCell ref="A108:A109"/>
    <mergeCell ref="A86:A87"/>
    <mergeCell ref="L88:L89"/>
    <mergeCell ref="E90:E91"/>
    <mergeCell ref="C90:C91"/>
    <mergeCell ref="K86:K87"/>
    <mergeCell ref="E6:E7"/>
    <mergeCell ref="M86:M87"/>
    <mergeCell ref="B10:B11"/>
    <mergeCell ref="A18:A19"/>
    <mergeCell ref="B24:B25"/>
    <mergeCell ref="D106:D107"/>
    <mergeCell ref="G14:G15"/>
    <mergeCell ref="C110:C111"/>
    <mergeCell ref="D24:D25"/>
    <mergeCell ref="E110:E111"/>
    <mergeCell ref="A100:A101"/>
    <mergeCell ref="G20:G23"/>
    <mergeCell ref="A96:A97"/>
    <mergeCell ref="H84:O84"/>
    <mergeCell ref="C96:C97"/>
    <mergeCell ref="J106:J107"/>
    <mergeCell ref="O94:O95"/>
    <mergeCell ref="I110:I111"/>
    <mergeCell ref="B49:F49"/>
    <mergeCell ref="N114:N115"/>
    <mergeCell ref="E100:E101"/>
    <mergeCell ref="N104:N105"/>
    <mergeCell ref="D100:D101"/>
    <mergeCell ref="C108:C109"/>
    <mergeCell ref="E102:E103"/>
    <mergeCell ref="C24:C25"/>
    <mergeCell ref="A129:A131"/>
    <mergeCell ref="L110:L111"/>
    <mergeCell ref="E24:E25"/>
    <mergeCell ref="L106:L107"/>
    <mergeCell ref="A114:A115"/>
  </mergeCells>
  <conditionalFormatting sqref="A86:A94 A100:A111 A114:E114 H88:H115 I90:O94 I106:O109">
    <cfRule type="containsBlanks" priority="88" dxfId="3">
      <formula>LEN(TRIM(A86))=0</formula>
    </cfRule>
  </conditionalFormatting>
  <conditionalFormatting sqref="A96:E96">
    <cfRule type="containsBlanks" priority="15" dxfId="3">
      <formula>LEN(TRIM(A96))=0</formula>
    </cfRule>
  </conditionalFormatting>
  <conditionalFormatting sqref="A98:E98">
    <cfRule type="containsBlanks" priority="8" dxfId="3">
      <formula>LEN(TRIM(A98))=0</formula>
    </cfRule>
  </conditionalFormatting>
  <conditionalFormatting sqref="A112:E112">
    <cfRule type="containsBlanks" priority="67" dxfId="3">
      <formula>LEN(TRIM(A112))=0</formula>
    </cfRule>
  </conditionalFormatting>
  <conditionalFormatting sqref="A51:F51 A54:F54 A57:F57 A60:F60 A63:F63 A66:F66 B52:F52 B55:F55 B58:F58 B61:F61 B64:F64 B67:F67">
    <cfRule type="containsBlanks" priority="137" dxfId="3">
      <formula>LEN(TRIM(A51))=0</formula>
    </cfRule>
  </conditionalFormatting>
  <conditionalFormatting sqref="A6:G6 A8:G8 A10:G10">
    <cfRule type="containsBlanks" priority="106" dxfId="3">
      <formula>LEN(TRIM(A6))=0</formula>
    </cfRule>
  </conditionalFormatting>
  <conditionalFormatting sqref="A14:G14">
    <cfRule type="containsBlanks" priority="105" dxfId="3">
      <formula>LEN(TRIM(A14))=0</formula>
    </cfRule>
  </conditionalFormatting>
  <conditionalFormatting sqref="A18:G18">
    <cfRule type="containsBlanks" priority="104" dxfId="3">
      <formula>LEN(TRIM(A18))=0</formula>
    </cfRule>
  </conditionalFormatting>
  <conditionalFormatting sqref="A26:G26">
    <cfRule type="containsBlanks" priority="103" dxfId="3">
      <formula>LEN(TRIM(A26))=0</formula>
    </cfRule>
  </conditionalFormatting>
  <conditionalFormatting sqref="B92">
    <cfRule type="containsBlanks" priority="50" dxfId="3">
      <formula>LEN(TRIM(B92))=0</formula>
    </cfRule>
  </conditionalFormatting>
  <conditionalFormatting sqref="B86:E86">
    <cfRule type="containsBlanks" priority="77" dxfId="3">
      <formula>LEN(TRIM(B86))=0</formula>
    </cfRule>
  </conditionalFormatting>
  <conditionalFormatting sqref="B88:E88">
    <cfRule type="containsBlanks" priority="87" dxfId="3">
      <formula>LEN(TRIM(B88))=0</formula>
    </cfRule>
  </conditionalFormatting>
  <conditionalFormatting sqref="B90:E90">
    <cfRule type="containsBlanks" priority="52" dxfId="3">
      <formula>LEN(TRIM(B90))=0</formula>
    </cfRule>
  </conditionalFormatting>
  <conditionalFormatting sqref="B94:E94">
    <cfRule type="containsBlanks" priority="76" dxfId="3">
      <formula>LEN(TRIM(B94))=0</formula>
    </cfRule>
  </conditionalFormatting>
  <conditionalFormatting sqref="B100:E100">
    <cfRule type="containsBlanks" priority="51" dxfId="3">
      <formula>LEN(TRIM(B100))=0</formula>
    </cfRule>
  </conditionalFormatting>
  <conditionalFormatting sqref="B102:E102">
    <cfRule type="containsBlanks" priority="145" dxfId="3">
      <formula>LEN(TRIM(B102))=0</formula>
    </cfRule>
  </conditionalFormatting>
  <conditionalFormatting sqref="B104:E104">
    <cfRule type="containsBlanks" priority="86" dxfId="3">
      <formula>LEN(TRIM(B104))=0</formula>
    </cfRule>
  </conditionalFormatting>
  <conditionalFormatting sqref="B106:E106">
    <cfRule type="containsBlanks" priority="85" dxfId="3">
      <formula>LEN(TRIM(B106))=0</formula>
    </cfRule>
  </conditionalFormatting>
  <conditionalFormatting sqref="B108:E108">
    <cfRule type="containsBlanks" priority="78" dxfId="3">
      <formula>LEN(TRIM(B108))=0</formula>
    </cfRule>
  </conditionalFormatting>
  <conditionalFormatting sqref="B110:E110">
    <cfRule type="containsBlanks" priority="68" dxfId="3">
      <formula>LEN(TRIM(B110))=0</formula>
    </cfRule>
  </conditionalFormatting>
  <conditionalFormatting sqref="C20:C23 E20:G23">
    <cfRule type="containsBlanks" priority="35" dxfId="3">
      <formula>LEN(TRIM(C20))=0</formula>
    </cfRule>
  </conditionalFormatting>
  <conditionalFormatting sqref="C16:D16">
    <cfRule type="containsBlanks" priority="102" dxfId="3">
      <formula>LEN(TRIM(C16))=0</formula>
    </cfRule>
  </conditionalFormatting>
  <conditionalFormatting sqref="C24:G24">
    <cfRule type="containsBlanks" priority="24" dxfId="3">
      <formula>LEN(TRIM(C24))=0</formula>
    </cfRule>
  </conditionalFormatting>
  <conditionalFormatting sqref="D1">
    <cfRule type="containsBlanks" priority="126" dxfId="3">
      <formula>LEN(TRIM(D1))=0</formula>
    </cfRule>
  </conditionalFormatting>
  <conditionalFormatting sqref="D92:E92">
    <cfRule type="containsBlanks" priority="42" dxfId="3">
      <formula>LEN(TRIM(D92))=0</formula>
    </cfRule>
  </conditionalFormatting>
  <conditionalFormatting sqref="F1">
    <cfRule type="containsBlanks" priority="152" dxfId="3">
      <formula>LEN(TRIM(F1))=0</formula>
    </cfRule>
  </conditionalFormatting>
  <conditionalFormatting sqref="F86 F94 F102 F114">
    <cfRule type="expression" priority="229" dxfId="19">
      <formula>AND(#REF!&lt;&gt;"",E86&lt;TODAY(),F86&lt;4)</formula>
    </cfRule>
    <cfRule type="iconSet" priority="228">
      <iconSet iconSet="5Quarters" showValue="0">
        <cfvo type="percent" val="0"/>
        <cfvo type="num" val="2"/>
        <cfvo type="num" val="3"/>
        <cfvo type="num" val="4"/>
        <cfvo type="num" val="5"/>
      </iconSet>
    </cfRule>
  </conditionalFormatting>
  <conditionalFormatting sqref="F88 F104">
    <cfRule type="expression" priority="491" dxfId="19">
      <formula>AND(#REF!&lt;&gt;"",E88&lt;TODAY(),F88&lt;4)</formula>
    </cfRule>
    <cfRule type="iconSet" priority="490">
      <iconSet iconSet="5Quarters" showValue="0">
        <cfvo type="percent" val="0"/>
        <cfvo type="num" val="2"/>
        <cfvo type="num" val="3"/>
        <cfvo type="num" val="4"/>
        <cfvo type="num" val="5"/>
      </iconSet>
    </cfRule>
  </conditionalFormatting>
  <conditionalFormatting sqref="F90">
    <cfRule type="iconSet" priority="53">
      <iconSet iconSet="5Quarters" showValue="0">
        <cfvo type="percent" val="0"/>
        <cfvo type="num" val="2"/>
        <cfvo type="num" val="3"/>
        <cfvo type="num" val="4"/>
        <cfvo type="num" val="5"/>
      </iconSet>
    </cfRule>
    <cfRule type="expression" priority="54" dxfId="19">
      <formula>AND(#REF!&lt;&gt;"",E90&lt;TODAY(),F90&lt;4)</formula>
    </cfRule>
  </conditionalFormatting>
  <conditionalFormatting sqref="F92">
    <cfRule type="expression" priority="48" dxfId="19">
      <formula>AND(#REF!&lt;&gt;"",E92&lt;TODAY(),F92&lt;4)</formula>
    </cfRule>
    <cfRule type="iconSet" priority="47">
      <iconSet iconSet="5Quarters" showValue="0">
        <cfvo type="percent" val="0"/>
        <cfvo type="num" val="2"/>
        <cfvo type="num" val="3"/>
        <cfvo type="num" val="4"/>
        <cfvo type="num" val="5"/>
      </iconSet>
    </cfRule>
  </conditionalFormatting>
  <conditionalFormatting sqref="F96">
    <cfRule type="expression" priority="14" dxfId="19">
      <formula>AND(#REF!&lt;&gt;"",E96&lt;TODAY(),F96&lt;4)</formula>
    </cfRule>
    <cfRule type="iconSet" priority="13">
      <iconSet iconSet="5Quarters" showValue="0">
        <cfvo type="percent" val="0"/>
        <cfvo type="num" val="2"/>
        <cfvo type="num" val="3"/>
        <cfvo type="num" val="4"/>
        <cfvo type="num" val="5"/>
      </iconSet>
    </cfRule>
  </conditionalFormatting>
  <conditionalFormatting sqref="F98">
    <cfRule type="expression" priority="7" dxfId="19">
      <formula>AND(#REF!&lt;&gt;"",E98&lt;TODAY(),F98&lt;4)</formula>
    </cfRule>
    <cfRule type="iconSet" priority="6">
      <iconSet iconSet="5Quarters" showValue="0">
        <cfvo type="percent" val="0"/>
        <cfvo type="num" val="2"/>
        <cfvo type="num" val="3"/>
        <cfvo type="num" val="4"/>
        <cfvo type="num" val="5"/>
      </iconSet>
    </cfRule>
  </conditionalFormatting>
  <conditionalFormatting sqref="F100">
    <cfRule type="expression" priority="489" dxfId="19">
      <formula>AND(#REF!&lt;&gt;"",E100&lt;TODAY(),F100&lt;4)</formula>
    </cfRule>
    <cfRule type="iconSet" priority="488">
      <iconSet iconSet="5Quarters" showValue="0">
        <cfvo type="percent" val="0"/>
        <cfvo type="num" val="2"/>
        <cfvo type="num" val="3"/>
        <cfvo type="num" val="4"/>
        <cfvo type="num" val="5"/>
      </iconSet>
    </cfRule>
  </conditionalFormatting>
  <conditionalFormatting sqref="F106">
    <cfRule type="iconSet" priority="414">
      <iconSet iconSet="5Quarters" showValue="0">
        <cfvo type="percent" val="0"/>
        <cfvo type="num" val="2"/>
        <cfvo type="num" val="3"/>
        <cfvo type="num" val="4"/>
        <cfvo type="num" val="5"/>
      </iconSet>
    </cfRule>
    <cfRule type="expression" priority="415" dxfId="19">
      <formula>AND(#REF!&lt;&gt;"",E106&lt;TODAY(),F106&lt;4)</formula>
    </cfRule>
  </conditionalFormatting>
  <conditionalFormatting sqref="F108">
    <cfRule type="iconSet" priority="416">
      <iconSet iconSet="5Quarters" showValue="0">
        <cfvo type="percent" val="0"/>
        <cfvo type="num" val="2"/>
        <cfvo type="num" val="3"/>
        <cfvo type="num" val="4"/>
        <cfvo type="num" val="5"/>
      </iconSet>
    </cfRule>
    <cfRule type="expression" priority="417" dxfId="19">
      <formula>AND(#REF!&lt;&gt;"",E108&lt;TODAY(),F108&lt;4)</formula>
    </cfRule>
  </conditionalFormatting>
  <conditionalFormatting sqref="F110">
    <cfRule type="expression" priority="403" dxfId="19">
      <formula>AND(#REF!&lt;&gt;"",E110&lt;TODAY(),F110&lt;4)</formula>
    </cfRule>
    <cfRule type="iconSet" priority="402">
      <iconSet iconSet="5Quarters" showValue="0">
        <cfvo type="percent" val="0"/>
        <cfvo type="num" val="2"/>
        <cfvo type="num" val="3"/>
        <cfvo type="num" val="4"/>
        <cfvo type="num" val="5"/>
      </iconSet>
    </cfRule>
  </conditionalFormatting>
  <conditionalFormatting sqref="F112">
    <cfRule type="iconSet" priority="73">
      <iconSet iconSet="5Quarters" showValue="0">
        <cfvo type="percent" val="0"/>
        <cfvo type="num" val="2"/>
        <cfvo type="num" val="3"/>
        <cfvo type="num" val="4"/>
        <cfvo type="num" val="5"/>
      </iconSet>
    </cfRule>
    <cfRule type="expression" priority="74" dxfId="19">
      <formula>AND(#REF!&lt;&gt;"",E112&lt;TODAY(),F112&lt;4)</formula>
    </cfRule>
  </conditionalFormatting>
  <conditionalFormatting sqref="F16:G16">
    <cfRule type="containsBlanks" priority="107" dxfId="3">
      <formula>LEN(TRIM(F16))=0</formula>
    </cfRule>
  </conditionalFormatting>
  <conditionalFormatting sqref="H86">
    <cfRule type="containsBlanks" priority="133" dxfId="3">
      <formula>LEN(TRIM(H86))=0</formula>
    </cfRule>
  </conditionalFormatting>
  <conditionalFormatting sqref="I27">
    <cfRule type="cellIs" priority="84" operator="lessThan" dxfId="398">
      <formula>0.8</formula>
    </cfRule>
  </conditionalFormatting>
  <conditionalFormatting sqref="I86:O86 I88:O88 I102:O102 I104:O104 I110:O110 I114:O114">
    <cfRule type="containsBlanks" priority="144" dxfId="3">
      <formula>LEN(TRIM(I86))=0</formula>
    </cfRule>
  </conditionalFormatting>
  <conditionalFormatting sqref="I25:Q25">
    <cfRule type="expression" priority="19" dxfId="0">
      <formula>AND(OR($F24="Lower the better", $F24="Lower the Better"), I25&gt;I24)</formula>
    </cfRule>
    <cfRule type="expression" priority="22" dxfId="1" stopIfTrue="1">
      <formula>AND(OR($F24="Higher the better", $F24="Higher the Better"), I25&gt;=I24)</formula>
    </cfRule>
    <cfRule type="expression" priority="21" dxfId="0">
      <formula>AND(OR($F24="Higher the better", $F24="Higher the Better"), I25&lt;I24)</formula>
    </cfRule>
    <cfRule type="expression" priority="20" dxfId="1">
      <formula>AND(OR($F24="Lower the better", $F24="Lower the Better"), I25&lt;=I24)</formula>
    </cfRule>
  </conditionalFormatting>
  <conditionalFormatting sqref="I7:T7 I11:T11">
    <cfRule type="containsBlanks" priority="128" dxfId="3">
      <formula>LEN(TRIM(I7))=0</formula>
    </cfRule>
    <cfRule type="expression" priority="129" dxfId="0">
      <formula>AND(OR($F6="Lower the better", $F6="Lower the Better"), I7&gt;I6)</formula>
    </cfRule>
    <cfRule type="expression" priority="130" dxfId="1">
      <formula>AND(OR($F6="Lower the better", $F6="Lower the Better"), I7&lt;=I6)</formula>
    </cfRule>
    <cfRule type="expression" priority="131" dxfId="0">
      <formula>AND(OR($F6="Higher the better", $F6="Higher the Better"), I7&lt;I6)</formula>
    </cfRule>
    <cfRule type="expression" priority="132" dxfId="1" stopIfTrue="1">
      <formula>AND(OR($F6="Higher the better", $F6="Higher the Better"), I7&gt;=I6)</formula>
    </cfRule>
  </conditionalFormatting>
  <conditionalFormatting sqref="I9:T9">
    <cfRule type="expression" priority="121" dxfId="1" stopIfTrue="1">
      <formula>AND(OR($F8="Higher the better", $F8="Higher the Better"), I9&gt;=I8)</formula>
    </cfRule>
    <cfRule type="expression" priority="118" dxfId="0">
      <formula>AND(OR($F8="Lower the better", $F8="Lower the Better"), I9&gt;I8)</formula>
    </cfRule>
    <cfRule type="expression" priority="119" dxfId="1">
      <formula>AND(OR($F8="Lower the better", $F8="Lower the Better"), I9&lt;=I8)</formula>
    </cfRule>
    <cfRule type="containsBlanks" priority="117" dxfId="3">
      <formula>LEN(TRIM(I9))=0</formula>
    </cfRule>
    <cfRule type="expression" priority="120" dxfId="0">
      <formula>AND(OR($F8="Higher the better", $F8="Higher the Better"), I9&lt;I8)</formula>
    </cfRule>
  </conditionalFormatting>
  <conditionalFormatting sqref="I15:T15 I19:T19 I21:T21">
    <cfRule type="expression" priority="148" dxfId="0">
      <formula>AND(OR($F14="Higher the better", $F14="Higher the Better"), I15&lt;I14)</formula>
    </cfRule>
    <cfRule type="expression" priority="149" dxfId="1" stopIfTrue="1">
      <formula>AND(OR($F14="Higher the better", $F14="Higher the Better"), I15&gt;=I14)</formula>
    </cfRule>
    <cfRule type="expression" priority="147" dxfId="1">
      <formula>AND(OR($F14="Lower the better", $F14="Lower the Better"), I15&lt;=I14)</formula>
    </cfRule>
    <cfRule type="expression" priority="146" dxfId="0">
      <formula>AND(OR($F14="Lower the better", $F14="Lower the Better"), I15&gt;I14)</formula>
    </cfRule>
  </conditionalFormatting>
  <conditionalFormatting sqref="I17:T17 I27:T27">
    <cfRule type="expression" priority="143" dxfId="1" stopIfTrue="1">
      <formula>AND(OR($F16="Higher the better", $F16="Higher the Better"), I17&gt;=I16)</formula>
    </cfRule>
    <cfRule type="expression" priority="142" dxfId="0">
      <formula>AND(OR($F16="Higher the better", $F16="Higher the Better"), I17&lt;I16)</formula>
    </cfRule>
    <cfRule type="expression" priority="141" dxfId="1">
      <formula>AND(OR($F16="Lower the better", $F16="Lower the Better"), I17&lt;=I16)</formula>
    </cfRule>
    <cfRule type="expression" priority="140" dxfId="0">
      <formula>AND(OR($F16="Lower the better", $F16="Lower the Better"), I17&gt;I16)</formula>
    </cfRule>
  </conditionalFormatting>
  <conditionalFormatting sqref="I25:T25">
    <cfRule type="containsBlanks" priority="23" dxfId="3">
      <formula>LEN(TRIM(I25))=0</formula>
    </cfRule>
  </conditionalFormatting>
  <conditionalFormatting sqref="I15:T15 I17:T17 I19:T19 I21:T21 I27:T27">
    <cfRule type="containsBlanks" priority="139" dxfId="3">
      <formula>LEN(TRIM(I15))=0</formula>
    </cfRule>
  </conditionalFormatting>
  <conditionalFormatting sqref="M86:M89 M94:M115">
    <cfRule type="containsText" priority="135" operator="containsText" dxfId="5" text="Yes">
      <formula>NOT(ISERROR(SEARCH("Yes",M86)))</formula>
    </cfRule>
    <cfRule type="containsText" priority="134" operator="containsText" dxfId="6" text="No">
      <formula>NOT(ISERROR(SEARCH("No",M86)))</formula>
    </cfRule>
  </conditionalFormatting>
  <conditionalFormatting sqref="R25:T25">
    <cfRule type="expression" priority="450" dxfId="0">
      <formula>AND(OR($F19="Lower the better", $F19="Lower the Better"), R25&gt;R19)</formula>
    </cfRule>
    <cfRule type="expression" priority="451" dxfId="1">
      <formula>AND(OR($F19="Lower the better", $F19="Lower the Better"), R25&lt;=R19)</formula>
    </cfRule>
    <cfRule type="expression" priority="452" dxfId="0">
      <formula>AND(OR($F19="Higher the better", $F19="Higher the Better"), R25&lt;R19)</formula>
    </cfRule>
    <cfRule type="expression" priority="453" dxfId="1" stopIfTrue="1">
      <formula>AND(OR($F19="Higher the better", $F19="Higher the Better"), R25&gt;=R19)</formula>
    </cfRule>
  </conditionalFormatting>
  <dataValidations count="7">
    <dataValidation sqref="F86:G86 F88:G88 F90 F92 F94:G94 F96 F98 F100 F102:G102 F104:G104 F106 F108 F110 F112 F114:G114" showDropDown="0" showInputMessage="1" showErrorMessage="1" allowBlank="1" type="list">
      <formula1>"1,2,3,4,5"</formula1>
    </dataValidation>
    <dataValidation sqref="F6:F11 F14:F27" showDropDown="0" showInputMessage="1" showErrorMessage="1" allowBlank="1" type="list">
      <formula1>"Higher the better, Lower the better"</formula1>
    </dataValidation>
    <dataValidation sqref="G6:G11 G14:G27" showDropDown="0" showInputMessage="1" showErrorMessage="1" allowBlank="1" type="list">
      <formula1>"Monthly, Quarterly, Half yearly"</formula1>
    </dataValidation>
    <dataValidation sqref="C6:C11 C14:C27" showDropDown="0" showInputMessage="1" showErrorMessage="1" allowBlank="1" type="list">
      <formula1>"&gt;, &lt;, &gt;=, &lt;=, ="</formula1>
    </dataValidation>
    <dataValidation sqref="M86 M88 M94 M102 M104 M110 M114" showDropDown="0" showInputMessage="1" showErrorMessage="1" allowBlank="1" type="list">
      <formula1>"Yes, No"</formula1>
    </dataValidation>
    <dataValidation sqref="B1:B2" showDropDown="0" showInputMessage="1" showErrorMessage="1" allowBlank="1" type="list">
      <formula1>"Jan-2026, Feb-2026, Mar-2026, Apr-2026, May-2026, Jun-2026, Jul-2026, Aug-2026, Sep-2026, Oct-2026, Nov-2026, Dec-2026"</formula1>
    </dataValidation>
    <dataValidation sqref="E6:E11 E14:E16 E18:E27" showDropDown="0" showInputMessage="1" showErrorMessage="1" allowBlank="1" type="list">
      <formula1>"%, Mn, No., "</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8.xml><?xml version="1.0" encoding="utf-8"?>
<worksheet xmlns="http://schemas.openxmlformats.org/spreadsheetml/2006/main">
  <sheetPr codeName="Sheet12">
    <outlinePr summaryBelow="1" summaryRight="1"/>
    <pageSetUpPr/>
  </sheetPr>
  <dimension ref="A1:AI130"/>
  <sheetViews>
    <sheetView zoomScale="72" zoomScaleNormal="72" workbookViewId="0">
      <pane xSplit="2" ySplit="5" topLeftCell="K6" activePane="bottomRight" state="frozen"/>
      <selection pane="bottomRight" activeCell="A14" sqref="A14:A15"/>
      <selection pane="bottomLeft" activeCell="A6" sqref="A6"/>
      <selection pane="topRight" activeCell="C1" sqref="C1"/>
    </sheetView>
  </sheetViews>
  <sheetFormatPr baseColWidth="8" defaultColWidth="8.42578125" defaultRowHeight="14.45" outlineLevelRow="1"/>
  <cols>
    <col width="28.5703125" customWidth="1" style="53" min="1" max="1"/>
    <col width="32" customWidth="1" style="52" min="2" max="2"/>
    <col width="101.5703125" customWidth="1" style="53" min="3" max="3"/>
    <col width="38.85546875" customWidth="1" style="53" min="4" max="5"/>
    <col width="30.28515625" customWidth="1" style="53" min="6" max="6"/>
    <col width="10.5703125" bestFit="1" customWidth="1" style="53" min="7" max="7"/>
    <col width="14.42578125" customWidth="1" style="53" min="8" max="8"/>
    <col width="16" bestFit="1" customWidth="1" style="53" min="9" max="9"/>
    <col width="14.5703125" bestFit="1" customWidth="1" style="53" min="10" max="10"/>
    <col width="18.42578125" bestFit="1" customWidth="1" style="53" min="11" max="12"/>
    <col width="15.5703125" bestFit="1" customWidth="1" style="53" min="13" max="13"/>
    <col width="14.42578125" bestFit="1" customWidth="1" style="53" min="14" max="14"/>
    <col width="11" bestFit="1" customWidth="1" style="53" min="15" max="15"/>
    <col width="17.42578125" customWidth="1" style="53" min="16" max="16"/>
    <col width="14.42578125" customWidth="1" style="53" min="17" max="20"/>
    <col width="13.42578125" customWidth="1" style="53" min="21" max="21"/>
    <col width="17.42578125" customWidth="1" style="53" min="22" max="22"/>
    <col hidden="1" width="8.42578125" customWidth="1" style="53" min="23" max="24"/>
    <col hidden="1" width="14.42578125" customWidth="1" style="53" min="25" max="25"/>
    <col hidden="1" width="8.42578125" customWidth="1" style="53" min="26" max="35"/>
    <col width="8.42578125" customWidth="1" style="53" min="36" max="36"/>
    <col width="12.42578125" bestFit="1" customWidth="1" style="53" min="37" max="37"/>
    <col width="12.5703125" bestFit="1" customWidth="1" style="53" min="38" max="38"/>
    <col width="12.42578125" bestFit="1" customWidth="1" style="53" min="39" max="39"/>
    <col width="12.28515625" bestFit="1" customWidth="1" style="53" min="40" max="40"/>
    <col width="12.7109375" bestFit="1" customWidth="1" style="53" min="41" max="41"/>
    <col width="12.42578125" bestFit="1" customWidth="1" style="53" min="42" max="42"/>
    <col width="11.5703125" bestFit="1" customWidth="1" style="53" min="43" max="43"/>
    <col width="12.7109375" bestFit="1" customWidth="1" style="53" min="44" max="45"/>
    <col width="12.42578125" bestFit="1" customWidth="1" style="53" min="46" max="46"/>
    <col width="12.5703125" bestFit="1" customWidth="1" style="53" min="47" max="47"/>
    <col width="12.7109375" bestFit="1" customWidth="1" style="53" min="48" max="48"/>
    <col width="8.42578125" customWidth="1" style="53" min="49" max="49"/>
    <col width="8.42578125" customWidth="1" style="53" min="50" max="16384"/>
  </cols>
  <sheetData>
    <row r="1">
      <c r="A1" s="93" t="inlineStr">
        <is>
          <t>Month</t>
        </is>
      </c>
      <c r="B1" s="752" t="n">
        <v>46023</v>
      </c>
      <c r="C1" s="93" t="inlineStr">
        <is>
          <t xml:space="preserve">MT Owner: </t>
        </is>
      </c>
      <c r="D1" s="95" t="inlineStr">
        <is>
          <t>Sarika P</t>
        </is>
      </c>
      <c r="E1" s="93" t="inlineStr">
        <is>
          <t>MT Delegate:</t>
        </is>
      </c>
      <c r="F1" s="95" t="inlineStr">
        <is>
          <t>Shomik M</t>
        </is>
      </c>
      <c r="W1" s="53" t="inlineStr">
        <is>
          <t>Actual green</t>
        </is>
      </c>
      <c r="X1" s="53">
        <f>IF(I15&lt;&gt;"",IF($F14="Higher the better",IF(I15&gt;=I14,I15,NA()),IF(I15&lt;=I14,I15,NA())),NA())</f>
        <v/>
      </c>
      <c r="Y1" s="53">
        <f>IF(J15&lt;&gt;"",IF($F14="Higher the better",IF(J15&gt;=J14,J15,NA()),IF(J15&lt;=J14,J15,NA())),NA())</f>
        <v/>
      </c>
      <c r="Z1" s="53">
        <f>IF(K15&lt;&gt;"",IF($F14="Higher the better",IF(K15&gt;=K14,K15,NA()),IF(K15&lt;=K14,K15,NA())),NA())</f>
        <v/>
      </c>
      <c r="AA1" s="53">
        <f>IF(L15&lt;&gt;"",IF($F14="Higher the better",IF(L15&gt;=L14,L15,NA()),IF(L15&lt;=L14,L15,NA())),NA())</f>
        <v/>
      </c>
      <c r="AB1" s="53">
        <f>IF(M15&lt;&gt;"",IF($F14="Higher the better",IF(M15&gt;=M14,M15,NA()),IF(M15&lt;=M14,M15,NA())),NA())</f>
        <v/>
      </c>
      <c r="AC1" s="53">
        <f>IF(N15&lt;&gt;"",IF($F14="Higher the better",IF(N15&gt;=N14,N15,NA()),IF(N15&lt;=N14,N15,NA())),NA())</f>
        <v/>
      </c>
      <c r="AD1" s="53">
        <f>IF(O15&lt;&gt;"",IF($F14="Higher the better",IF(O15&gt;=O14,O15,NA()),IF(O15&lt;=O14,O15,NA())),NA())</f>
        <v/>
      </c>
      <c r="AE1" s="53">
        <f>IF(P15&lt;&gt;"",IF($F14="Higher the better",IF(P15&gt;=P14,P15,NA()),IF(P15&lt;=P14,P15,NA())),NA())</f>
        <v/>
      </c>
      <c r="AF1" s="53">
        <f>IF(Q15&lt;&gt;"",IF($F14="Higher the better",IF(Q15&gt;=Q14,Q15,NA()),IF(Q15&lt;=Q14,Q15,NA())),NA())</f>
        <v/>
      </c>
      <c r="AG1" s="53">
        <f>IF(R15&lt;&gt;"",IF($F14="Higher the better",IF(R15&gt;=R14,R15,NA()),IF(R15&lt;=R14,R15,NA())),NA())</f>
        <v/>
      </c>
      <c r="AH1" s="53">
        <f>IF(S15&lt;&gt;"",IF($F14="Higher the better",IF(S15&gt;=S14,S15,NA()),IF(S15&lt;=S14,S15,NA())),NA())</f>
        <v/>
      </c>
      <c r="AI1" s="53">
        <f>IF(T15&lt;&gt;"",IF($F14="Higher the better",IF(T15&gt;=T14,T15,NA()),IF(T15&lt;=T14,T15,NA())),NA())</f>
        <v/>
      </c>
    </row>
    <row r="2" hidden="1" ht="19.5" customHeight="1">
      <c r="A2" s="96" t="n"/>
      <c r="B2" s="753" t="n"/>
      <c r="D2" s="96" t="n"/>
      <c r="E2" s="96" t="n"/>
      <c r="W2" s="53" t="inlineStr">
        <is>
          <t>Actual red</t>
        </is>
      </c>
      <c r="X2" s="53">
        <f>IF(I15&lt;&gt;"",IF($F14="Higher the better",IF(I15&lt;I14,I15,NA()),IF(I15&gt;I14,I15,NA())),NA())</f>
        <v/>
      </c>
      <c r="Y2" s="53">
        <f>IF(J15&lt;&gt;"",IF($F14="Higher the better",IF(J15&lt;J14,J15,NA()),IF(J15&gt;J14,J15,NA())),NA())</f>
        <v/>
      </c>
      <c r="Z2" s="53">
        <f>IF(K15&lt;&gt;"",IF($F14="Higher the better",IF(K15&lt;K14,K15,NA()),IF(K15&gt;K14,K15,NA())),NA())</f>
        <v/>
      </c>
      <c r="AA2" s="53">
        <f>IF(L15&lt;&gt;"",IF($F14="Higher the better",IF(L15&lt;L14,L15,NA()),IF(L15&gt;L14,L15,NA())),NA())</f>
        <v/>
      </c>
      <c r="AB2" s="53">
        <f>IF(M15&lt;&gt;"",IF($F14="Higher the better",IF(M15&lt;M14,M15,NA()),IF(M15&gt;M14,M15,NA())),NA())</f>
        <v/>
      </c>
      <c r="AC2" s="53">
        <f>IF(N15&lt;&gt;"",IF($F14="Higher the better",IF(N15&lt;N14,N15,NA()),IF(N15&gt;N14,N15,NA())),NA())</f>
        <v/>
      </c>
      <c r="AD2" s="53">
        <f>IF(O15&lt;&gt;"",IF($F14="Higher the better",IF(O15&lt;O14,O15,NA()),IF(O15&gt;O14,O15,NA())),NA())</f>
        <v/>
      </c>
      <c r="AE2" s="53">
        <f>IF(P15&lt;&gt;"",IF($F14="Higher the better",IF(P15&lt;P14,P15,NA()),IF(P15&gt;P14,P15,NA())),NA())</f>
        <v/>
      </c>
      <c r="AF2" s="53">
        <f>IF(Q15&lt;&gt;"",IF($F14="Higher the better",IF(Q15&lt;Q14,Q15,NA()),IF(Q15&gt;Q14,Q15,NA())),NA())</f>
        <v/>
      </c>
      <c r="AG2" s="53">
        <f>IF(R15&lt;&gt;"",IF($F14="Higher the better",IF(R15&lt;R14,R15,NA()),IF(R15&gt;R14,R15,NA())),NA())</f>
        <v/>
      </c>
      <c r="AH2" s="53">
        <f>IF(S15&lt;&gt;"",IF($F14="Higher the better",IF(S15&lt;S14,S15,NA()),IF(S15&gt;S14,S15,NA())),NA())</f>
        <v/>
      </c>
      <c r="AI2" s="53">
        <f>IF(T15&lt;&gt;"",IF($F14="Higher the better",IF(T15&lt;T14,T15,NA()),IF(T15&gt;T14,T15,NA())),NA())</f>
        <v/>
      </c>
    </row>
    <row r="3" ht="21" customHeight="1">
      <c r="A3" s="347" t="inlineStr">
        <is>
          <t>Marketing DMB</t>
        </is>
      </c>
      <c r="W3" s="53" t="inlineStr">
        <is>
          <t>Actual green</t>
        </is>
      </c>
      <c r="X3" s="53">
        <f>IF(I17&lt;&gt;"",IF($F16="Higher the better",IF(I17&gt;=I16,I17,NA()),IF(I17&lt;=I16,I17,NA())),NA())</f>
        <v/>
      </c>
      <c r="Y3" s="53">
        <f>IF(J17&lt;&gt;"",IF($F16="Higher the better",IF(J17&gt;=J16,J17,NA()),IF(J17&lt;=J16,J17,NA())),NA())</f>
        <v/>
      </c>
      <c r="Z3" s="53">
        <f>IF(K17&lt;&gt;"",IF($F16="Higher the better",IF(K17&gt;=K16,K17,NA()),IF(K17&lt;=K16,K17,NA())),NA())</f>
        <v/>
      </c>
      <c r="AA3" s="53">
        <f>IF(L17&lt;&gt;"",IF($F16="Higher the better",IF(L17&gt;=L16,L17,NA()),IF(L17&lt;=L16,L17,NA())),NA())</f>
        <v/>
      </c>
      <c r="AB3" s="53">
        <f>IF(M17&lt;&gt;"",IF($F16="Higher the better",IF(M17&gt;=M16,M17,NA()),IF(M17&lt;=M16,M17,NA())),NA())</f>
        <v/>
      </c>
      <c r="AC3" s="53">
        <f>IF(N17&lt;&gt;"",IF($F16="Higher the better",IF(N17&gt;=N16,N17,NA()),IF(N17&lt;=N16,N17,NA())),NA())</f>
        <v/>
      </c>
      <c r="AD3" s="53">
        <f>IF(O17&lt;&gt;"",IF($F16="Higher the better",IF(O17&gt;=O16,O17,NA()),IF(O17&lt;=O16,O17,NA())),NA())</f>
        <v/>
      </c>
      <c r="AE3" s="53">
        <f>IF(P17&lt;&gt;"",IF($F16="Higher the better",IF(P17&gt;=P16,P17,NA()),IF(P17&lt;=P16,P17,NA())),NA())</f>
        <v/>
      </c>
      <c r="AF3" s="53">
        <f>IF(Q17&lt;&gt;"",IF($F16="Higher the better",IF(Q17&gt;=Q16,Q17,NA()),IF(Q17&lt;=Q16,Q17,NA())),NA())</f>
        <v/>
      </c>
      <c r="AG3" s="53">
        <f>IF(R17&lt;&gt;"",IF($F16="Higher the better",IF(R17&gt;=R16,R17,NA()),IF(R17&lt;=R16,R17,NA())),NA())</f>
        <v/>
      </c>
      <c r="AH3" s="53">
        <f>IF(S17&lt;&gt;"",IF($F16="Higher the better",IF(S17&gt;=S16,S17,NA()),IF(S17&lt;=S16,S17,NA())),NA())</f>
        <v/>
      </c>
      <c r="AI3" s="53">
        <f>IF(T17&lt;&gt;"",IF($F16="Higher the better",IF(T17&gt;=T16,T17,NA()),IF(T17&lt;=T16,T17,NA())),NA())</f>
        <v/>
      </c>
    </row>
    <row r="4" ht="18.75" customHeight="1">
      <c r="A4" s="98" t="inlineStr">
        <is>
          <t>Mandatory Outcome KPI's (1-3)</t>
        </is>
      </c>
      <c r="B4" s="98" t="n"/>
      <c r="W4" s="53" t="inlineStr">
        <is>
          <t>Actual red</t>
        </is>
      </c>
      <c r="X4" s="53">
        <f>IF(I17&lt;&gt;"",IF($F16="Higher the better",IF(I17&lt;I16,I17,NA()),IF(I17&gt;I16,I17,NA())),NA())</f>
        <v/>
      </c>
      <c r="Y4" s="53">
        <f>IF(J17&lt;&gt;"",IF($F16="Higher the better",IF(J17&lt;J16,J17,NA()),IF(J17&gt;J16,J17,NA())),NA())</f>
        <v/>
      </c>
      <c r="Z4" s="53">
        <f>IF(K17&lt;&gt;"",IF($F16="Higher the better",IF(K17&lt;K16,K17,NA()),IF(K17&gt;K16,K17,NA())),NA())</f>
        <v/>
      </c>
      <c r="AA4" s="53">
        <f>IF(L17&lt;&gt;"",IF($F16="Higher the better",IF(L17&lt;L16,L17,NA()),IF(L17&gt;L16,L17,NA())),NA())</f>
        <v/>
      </c>
      <c r="AB4" s="53">
        <f>IF(M17&lt;&gt;"",IF($F16="Higher the better",IF(M17&lt;M16,M17,NA()),IF(M17&gt;M16,M17,NA())),NA())</f>
        <v/>
      </c>
      <c r="AC4" s="53">
        <f>IF(N17&lt;&gt;"",IF($F16="Higher the better",IF(N17&lt;N16,N17,NA()),IF(N17&gt;N16,N17,NA())),NA())</f>
        <v/>
      </c>
      <c r="AD4" s="53">
        <f>IF(O17&lt;&gt;"",IF($F16="Higher the better",IF(O17&lt;O16,O17,NA()),IF(O17&gt;O16,O17,NA())),NA())</f>
        <v/>
      </c>
      <c r="AE4" s="53">
        <f>IF(P17&lt;&gt;"",IF($F16="Higher the better",IF(P17&lt;P16,P17,NA()),IF(P17&gt;P16,P17,NA())),NA())</f>
        <v/>
      </c>
      <c r="AF4" s="53">
        <f>IF(Q17&lt;&gt;"",IF($F16="Higher the better",IF(Q17&lt;Q16,Q17,NA()),IF(Q17&gt;Q16,Q17,NA())),NA())</f>
        <v/>
      </c>
      <c r="AG4" s="53">
        <f>IF(R17&lt;&gt;"",IF($F16="Higher the better",IF(R17&lt;R16,R17,NA()),IF(R17&gt;R16,R17,NA())),NA())</f>
        <v/>
      </c>
      <c r="AH4" s="53">
        <f>IF(S17&lt;&gt;"",IF($F16="Higher the better",IF(S17&lt;S16,S17,NA()),IF(S17&gt;S16,S17,NA())),NA())</f>
        <v/>
      </c>
      <c r="AI4" s="53">
        <f>IF(T17&lt;&gt;"",IF($F16="Higher the better",IF(T17&lt;T16,T17,NA()),IF(T17&gt;T16,T17,NA())),NA())</f>
        <v/>
      </c>
    </row>
    <row r="5" ht="29.25"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s="53" t="inlineStr">
        <is>
          <t>Actual green</t>
        </is>
      </c>
      <c r="X5" s="53">
        <f>IF(I19&lt;&gt;"",IF($F18="Higher the better",IF(I19&gt;=I18,I19,NA()),IF(I19&lt;=I18,I19,NA())),NA())</f>
        <v/>
      </c>
      <c r="Y5" s="53">
        <f>IF(J19&lt;&gt;"",IF($F18="Higher the better",IF(J19&gt;=J18,J19,NA()),IF(J19&lt;=J18,J19,NA())),NA())</f>
        <v/>
      </c>
      <c r="Z5" s="53">
        <f>IF(K19&lt;&gt;"",IF($F18="Higher the better",IF(K19&gt;=K18,K19,NA()),IF(K19&lt;=K18,K19,NA())),NA())</f>
        <v/>
      </c>
      <c r="AA5" s="53">
        <f>IF(L19&lt;&gt;"",IF($F18="Higher the better",IF(L19&gt;=L18,L19,NA()),IF(L19&lt;=L18,L19,NA())),NA())</f>
        <v/>
      </c>
      <c r="AB5" s="53">
        <f>IF(M19&lt;&gt;"",IF($F18="Higher the better",IF(M19&gt;=M18,M19,NA()),IF(M19&lt;=M18,M19,NA())),NA())</f>
        <v/>
      </c>
      <c r="AC5" s="53">
        <f>IF(N19&lt;&gt;"",IF($F18="Higher the better",IF(N19&gt;=N18,N19,NA()),IF(N19&lt;=N18,N19,NA())),NA())</f>
        <v/>
      </c>
      <c r="AD5" s="53">
        <f>IF(O19&lt;&gt;"",IF($F18="Higher the better",IF(O19&gt;=O18,O19,NA()),IF(O19&lt;=O18,O19,NA())),NA())</f>
        <v/>
      </c>
      <c r="AE5" s="53">
        <f>IF(P19&lt;&gt;"",IF($F18="Higher the better",IF(P19&gt;=P18,P19,NA()),IF(P19&lt;=P18,P19,NA())),NA())</f>
        <v/>
      </c>
      <c r="AF5" s="53">
        <f>IF(Q19&lt;&gt;"",IF($F18="Higher the better",IF(Q19&gt;=Q18,Q19,NA()),IF(Q19&lt;=Q18,Q19,NA())),NA())</f>
        <v/>
      </c>
      <c r="AG5" s="53">
        <f>IF(R19&lt;&gt;"",IF($F18="Higher the better",IF(R19&gt;=R18,R19,NA()),IF(R19&lt;=R18,R19,NA())),NA())</f>
        <v/>
      </c>
      <c r="AH5" s="53">
        <f>IF(S19&lt;&gt;"",IF($F18="Higher the better",IF(S19&gt;=S18,S19,NA()),IF(S19&lt;=S18,S19,NA())),NA())</f>
        <v/>
      </c>
      <c r="AI5" s="53">
        <f>IF(T19&lt;&gt;"",IF($F18="Higher the better",IF(T19&gt;=T18,T19,NA()),IF(T19&lt;=T18,T19,NA())),NA())</f>
        <v/>
      </c>
    </row>
    <row r="6" ht="18" customHeight="1">
      <c r="A6" s="348" t="inlineStr">
        <is>
          <t>Win rate for NPIs</t>
        </is>
      </c>
      <c r="B6" s="349" t="inlineStr">
        <is>
          <t>Win Rate  of Zenition 90 , Zenition 30 and Zenition 10</t>
        </is>
      </c>
      <c r="C6" s="350" t="inlineStr">
        <is>
          <t>&gt;=</t>
        </is>
      </c>
      <c r="D6" s="351" t="n">
        <v>0.4</v>
      </c>
      <c r="E6" s="350" t="inlineStr">
        <is>
          <t>%</t>
        </is>
      </c>
      <c r="F6" s="352" t="inlineStr">
        <is>
          <t>Higher the better</t>
        </is>
      </c>
      <c r="G6" s="350" t="inlineStr">
        <is>
          <t>Monthly</t>
        </is>
      </c>
      <c r="H6" s="14" t="inlineStr">
        <is>
          <t>Target</t>
        </is>
      </c>
      <c r="I6" s="4" t="n">
        <v>0.4</v>
      </c>
      <c r="J6" s="4" t="n">
        <v>0.4</v>
      </c>
      <c r="K6" s="4" t="n">
        <v>0.4</v>
      </c>
      <c r="L6" s="4" t="n">
        <v>0.4</v>
      </c>
      <c r="M6" s="4" t="n">
        <v>0.4</v>
      </c>
      <c r="N6" s="4" t="n">
        <v>0.4</v>
      </c>
      <c r="O6" s="4" t="n">
        <v>0.4</v>
      </c>
      <c r="P6" s="4" t="n">
        <v>0.4</v>
      </c>
      <c r="Q6" s="4" t="n">
        <v>0.4</v>
      </c>
      <c r="R6" s="4" t="n">
        <v>0.4</v>
      </c>
      <c r="S6" s="4" t="n">
        <v>0.4</v>
      </c>
      <c r="T6" s="4" t="n">
        <v>0.4</v>
      </c>
      <c r="W6" s="53" t="inlineStr">
        <is>
          <t>Actual red</t>
        </is>
      </c>
      <c r="X6" s="53">
        <f>IF(I19&lt;&gt;"",IF($F18="Higher the better",IF(I19&lt;I18,I19,NA()),IF(I19&gt;I18,I19,NA())),NA())</f>
        <v/>
      </c>
      <c r="Y6" s="53">
        <f>IF(J19&lt;&gt;"",IF($F18="Higher the better",IF(J19&lt;J18,J19,NA()),IF(J19&gt;J18,J19,NA())),NA())</f>
        <v/>
      </c>
      <c r="Z6" s="53">
        <f>IF(K19&lt;&gt;"",IF($F18="Higher the better",IF(K19&lt;K18,K19,NA()),IF(K19&gt;K18,K19,NA())),NA())</f>
        <v/>
      </c>
      <c r="AA6" s="53">
        <f>IF(L19&lt;&gt;"",IF($F18="Higher the better",IF(L19&lt;L18,L19,NA()),IF(L19&gt;L18,L19,NA())),NA())</f>
        <v/>
      </c>
      <c r="AB6" s="53">
        <f>IF(M19&lt;&gt;"",IF($F18="Higher the better",IF(M19&lt;M18,M19,NA()),IF(M19&gt;M18,M19,NA())),NA())</f>
        <v/>
      </c>
      <c r="AC6" s="53">
        <f>IF(N19&lt;&gt;"",IF($F18="Higher the better",IF(N19&lt;N18,N19,NA()),IF(N19&gt;N18,N19,NA())),NA())</f>
        <v/>
      </c>
      <c r="AD6" s="53">
        <f>IF(O19&lt;&gt;"",IF($F18="Higher the better",IF(O19&lt;O18,O19,NA()),IF(O19&gt;O18,O19,NA())),NA())</f>
        <v/>
      </c>
      <c r="AE6" s="53">
        <f>IF(P19&lt;&gt;"",IF($F18="Higher the better",IF(P19&lt;P18,P19,NA()),IF(P19&gt;P18,P19,NA())),NA())</f>
        <v/>
      </c>
      <c r="AF6" s="53">
        <f>IF(Q19&lt;&gt;"",IF($F18="Higher the better",IF(Q19&lt;Q18,Q19,NA()),IF(Q19&gt;Q18,Q19,NA())),NA())</f>
        <v/>
      </c>
      <c r="AG6" s="53">
        <f>IF(R19&lt;&gt;"",IF($F18="Higher the better",IF(R19&lt;R18,R19,NA()),IF(R19&gt;R18,R19,NA())),NA())</f>
        <v/>
      </c>
      <c r="AH6" s="53">
        <f>IF(S19&lt;&gt;"",IF($F18="Higher the better",IF(S19&lt;S18,S19,NA()),IF(S19&gt;S18,S19,NA())),NA())</f>
        <v/>
      </c>
      <c r="AI6" s="53">
        <f>IF(T19&lt;&gt;"",IF($F18="Higher the better",IF(T19&lt;T18,T19,NA()),IF(T19&gt;T18,T19,NA())),NA())</f>
        <v/>
      </c>
    </row>
    <row r="7">
      <c r="A7" s="685" t="n"/>
      <c r="B7" s="685" t="n"/>
      <c r="C7" s="685" t="n"/>
      <c r="D7" s="685" t="n"/>
      <c r="E7" s="685" t="n"/>
      <c r="F7" s="685" t="n"/>
      <c r="G7" s="685" t="n"/>
      <c r="H7" s="14" t="inlineStr">
        <is>
          <t>Actual</t>
        </is>
      </c>
      <c r="I7" s="5" t="n">
        <v>0.28</v>
      </c>
      <c r="J7" s="5" t="n">
        <v>0.39</v>
      </c>
      <c r="K7" s="5" t="n">
        <v>0.42</v>
      </c>
      <c r="L7" s="5" t="n">
        <v>0.3711</v>
      </c>
      <c r="M7" s="5" t="n">
        <v>0.346</v>
      </c>
      <c r="N7" s="5" t="n">
        <v>0.373</v>
      </c>
      <c r="O7" s="5" t="n">
        <v>0.356</v>
      </c>
      <c r="P7" s="5" t="n">
        <v>0.345</v>
      </c>
      <c r="Q7" s="5" t="inlineStr">
        <is>
          <t>35.2%</t>
        </is>
      </c>
      <c r="R7" s="5" t="n"/>
      <c r="S7" s="5" t="n"/>
      <c r="T7" s="5" t="n"/>
    </row>
    <row r="8">
      <c r="A8" s="349" t="inlineStr">
        <is>
          <t>Dhruv Commercial Launch</t>
        </is>
      </c>
      <c r="B8" s="349" t="inlineStr">
        <is>
          <t>Readiness for commercial success of Dhruv</t>
        </is>
      </c>
      <c r="C8" s="350" t="inlineStr">
        <is>
          <t>&gt;=</t>
        </is>
      </c>
      <c r="D8" s="351" t="n">
        <v>0.88</v>
      </c>
      <c r="E8" s="350" t="inlineStr">
        <is>
          <t>%</t>
        </is>
      </c>
      <c r="F8" s="352" t="inlineStr">
        <is>
          <t>Higher the better</t>
        </is>
      </c>
      <c r="G8" s="350" t="inlineStr">
        <is>
          <t>Monthly</t>
        </is>
      </c>
      <c r="H8" s="14" t="inlineStr">
        <is>
          <t>Target</t>
        </is>
      </c>
      <c r="I8" s="4" t="n">
        <v>0</v>
      </c>
      <c r="J8" s="4" t="n">
        <v>0</v>
      </c>
      <c r="K8" s="721" t="n">
        <v>0.1116071428571429</v>
      </c>
      <c r="L8" s="4" t="n">
        <v>0.1726190476190476</v>
      </c>
      <c r="M8" s="4" t="n">
        <v>0.2366071428571428</v>
      </c>
      <c r="N8" s="4" t="n">
        <v>0.3154761904761905</v>
      </c>
      <c r="O8" s="322" t="n">
        <v>0.2049830124575311</v>
      </c>
      <c r="P8" s="4" t="n">
        <v>0.260475651189128</v>
      </c>
      <c r="Q8" s="4" t="n">
        <v>0.3408833522083805</v>
      </c>
      <c r="R8" s="4" t="n">
        <v>0.4235560588901472</v>
      </c>
      <c r="S8" s="4" t="n">
        <v>0.5152887882219706</v>
      </c>
      <c r="T8" s="4" t="n">
        <v>0.578708946772367</v>
      </c>
    </row>
    <row r="9">
      <c r="A9" s="685" t="n"/>
      <c r="B9" s="685" t="n"/>
      <c r="C9" s="685" t="n"/>
      <c r="D9" s="685" t="n"/>
      <c r="E9" s="685" t="n"/>
      <c r="F9" s="685" t="n"/>
      <c r="G9" s="685" t="n"/>
      <c r="H9" s="14" t="inlineStr">
        <is>
          <t>Actual</t>
        </is>
      </c>
      <c r="I9" s="45" t="n"/>
      <c r="J9" s="45" t="n"/>
      <c r="K9" s="686" t="n">
        <v>0.112</v>
      </c>
      <c r="L9" s="5" t="n">
        <v>0.16</v>
      </c>
      <c r="M9" s="5" t="n">
        <v>0.21</v>
      </c>
      <c r="N9" s="5" t="n">
        <v>0.23</v>
      </c>
      <c r="O9" s="5" t="n">
        <v>0.19</v>
      </c>
      <c r="P9" s="5" t="n">
        <v>0.24</v>
      </c>
      <c r="Q9" s="5" t="n">
        <v>0.28</v>
      </c>
      <c r="R9" s="45" t="n"/>
      <c r="S9" s="45" t="n"/>
      <c r="T9" s="45" t="n"/>
    </row>
    <row r="10">
      <c r="A10" s="354" t="inlineStr">
        <is>
          <t xml:space="preserve">Portfolio % CTP </t>
        </is>
      </c>
      <c r="B10" s="353" t="inlineStr">
        <is>
          <t xml:space="preserve">% CTP achieved over portfolio </t>
        </is>
      </c>
      <c r="C10" s="350" t="inlineStr">
        <is>
          <t>&gt;=</t>
        </is>
      </c>
      <c r="D10" s="754" t="n">
        <v>0.8</v>
      </c>
      <c r="E10" s="350" t="inlineStr">
        <is>
          <t>%</t>
        </is>
      </c>
      <c r="F10" s="352" t="inlineStr">
        <is>
          <t>Higher the better</t>
        </is>
      </c>
      <c r="G10" s="350" t="inlineStr">
        <is>
          <t>Monthly</t>
        </is>
      </c>
      <c r="H10" s="14" t="inlineStr">
        <is>
          <t>Target</t>
        </is>
      </c>
      <c r="I10" s="51" t="n"/>
      <c r="J10" s="51" t="n"/>
      <c r="K10" s="4" t="n">
        <v>0.8</v>
      </c>
      <c r="L10" s="4" t="n">
        <v>0.8</v>
      </c>
      <c r="M10" s="4" t="n">
        <v>0.8</v>
      </c>
      <c r="N10" s="4" t="n">
        <v>0.8</v>
      </c>
      <c r="O10" s="4" t="n">
        <v>0.8</v>
      </c>
      <c r="P10" s="4" t="n">
        <v>0.8</v>
      </c>
      <c r="Q10" s="4" t="n">
        <v>0.8</v>
      </c>
      <c r="R10" s="4" t="n">
        <v>0.8</v>
      </c>
      <c r="S10" s="4" t="n">
        <v>0.8</v>
      </c>
      <c r="T10" s="4" t="n">
        <v>0.8</v>
      </c>
    </row>
    <row r="11">
      <c r="A11" s="685" t="n"/>
      <c r="B11" s="685" t="n"/>
      <c r="C11" s="685" t="n"/>
      <c r="D11" s="685" t="n"/>
      <c r="E11" s="685" t="n"/>
      <c r="F11" s="685" t="n"/>
      <c r="G11" s="685" t="n"/>
      <c r="H11" s="14" t="inlineStr">
        <is>
          <t>Actual</t>
        </is>
      </c>
      <c r="I11" s="67" t="n"/>
      <c r="J11" s="67" t="n"/>
      <c r="K11" s="5" t="n">
        <v>0.82</v>
      </c>
      <c r="L11" s="256" t="n">
        <v>0.835</v>
      </c>
      <c r="M11" s="5" t="n">
        <v>0.83</v>
      </c>
      <c r="N11" s="5" t="n">
        <v>0.8100000000000001</v>
      </c>
      <c r="O11" s="5" t="n">
        <v>0.8100000000000001</v>
      </c>
      <c r="P11" s="5" t="n">
        <v>0.82</v>
      </c>
      <c r="Q11" s="5" t="n">
        <v>0.8100000000000001</v>
      </c>
      <c r="R11" s="45" t="n"/>
      <c r="S11" s="45" t="n"/>
      <c r="T11" s="45" t="n"/>
    </row>
    <row r="12" ht="18.6" customHeight="1">
      <c r="A12" s="99" t="inlineStr">
        <is>
          <t>Critical Enabling/Leading KPI's (3-5)</t>
        </is>
      </c>
      <c r="G12" s="100" t="n"/>
      <c r="I12" s="755" t="n"/>
      <c r="J12" s="101" t="n"/>
      <c r="K12" s="101" t="n"/>
      <c r="L12" s="101" t="n"/>
      <c r="M12" s="101" t="n"/>
      <c r="N12" s="101" t="n"/>
      <c r="O12" s="101" t="n"/>
      <c r="P12" s="101" t="n"/>
      <c r="Q12" s="101" t="n"/>
      <c r="R12" s="101" t="n"/>
      <c r="S12" s="101" t="n"/>
      <c r="T12" s="101" t="n"/>
    </row>
    <row r="13" ht="27.75"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row>
    <row r="14" ht="13.5" customHeight="1">
      <c r="A14" s="348" t="inlineStr">
        <is>
          <t>Sales tool delivery</t>
        </is>
      </c>
      <c r="B14" s="353" t="inlineStr">
        <is>
          <t>% of sales enablement tools released on time as per plan</t>
        </is>
      </c>
      <c r="C14" s="350" t="inlineStr">
        <is>
          <t>&gt;=</t>
        </is>
      </c>
      <c r="D14" s="352" t="n">
        <v>80</v>
      </c>
      <c r="E14" s="350" t="inlineStr">
        <is>
          <t>%</t>
        </is>
      </c>
      <c r="F14" s="352" t="inlineStr">
        <is>
          <t>Higher the better</t>
        </is>
      </c>
      <c r="G14" s="350" t="inlineStr">
        <is>
          <t>Monthly</t>
        </is>
      </c>
      <c r="H14" s="14" t="inlineStr">
        <is>
          <t>Target</t>
        </is>
      </c>
      <c r="I14" s="47" t="n">
        <v>80</v>
      </c>
      <c r="J14" s="47" t="n">
        <v>80</v>
      </c>
      <c r="K14" s="47" t="n">
        <v>80</v>
      </c>
      <c r="L14" s="47" t="n">
        <v>80</v>
      </c>
      <c r="M14" s="47" t="n">
        <v>80</v>
      </c>
      <c r="N14" s="47" t="n">
        <v>80</v>
      </c>
      <c r="O14" s="47" t="n">
        <v>80</v>
      </c>
      <c r="P14" s="47" t="n">
        <v>80</v>
      </c>
      <c r="Q14" s="47" t="n">
        <v>80</v>
      </c>
      <c r="R14" s="47" t="n">
        <v>80</v>
      </c>
      <c r="S14" s="47" t="n">
        <v>80</v>
      </c>
      <c r="T14" s="47" t="n">
        <v>80</v>
      </c>
    </row>
    <row r="15">
      <c r="A15" s="685" t="n"/>
      <c r="B15" s="685" t="n"/>
      <c r="C15" s="685" t="n"/>
      <c r="D15" s="685" t="n"/>
      <c r="E15" s="685" t="n"/>
      <c r="F15" s="685" t="n"/>
      <c r="G15" s="685" t="n"/>
      <c r="H15" s="14" t="inlineStr">
        <is>
          <t>Actual</t>
        </is>
      </c>
      <c r="I15" s="179" t="n">
        <v>90</v>
      </c>
      <c r="J15" s="179" t="n">
        <v>90</v>
      </c>
      <c r="K15" s="179" t="n">
        <v>80</v>
      </c>
      <c r="L15" s="179" t="n">
        <v>100</v>
      </c>
      <c r="M15" s="179" t="n">
        <v>90</v>
      </c>
      <c r="N15" s="179" t="n">
        <v>83</v>
      </c>
      <c r="O15" s="179" t="n">
        <v>77</v>
      </c>
      <c r="P15" s="179" t="n">
        <v>77</v>
      </c>
      <c r="Q15" s="179" t="n">
        <v>75</v>
      </c>
      <c r="R15" s="179" t="n"/>
      <c r="S15" s="179" t="n"/>
      <c r="T15" s="179" t="n"/>
    </row>
    <row r="16">
      <c r="A16" s="348" t="inlineStr">
        <is>
          <t>Sales support</t>
        </is>
      </c>
      <c r="B16" s="357" t="inlineStr">
        <is>
          <t>% MoS Sales support queries answered within 5 working days</t>
        </is>
      </c>
      <c r="C16" s="350" t="inlineStr">
        <is>
          <t>&gt;=</t>
        </is>
      </c>
      <c r="D16" s="358" t="n">
        <v>80</v>
      </c>
      <c r="E16" s="350" t="inlineStr">
        <is>
          <t>%</t>
        </is>
      </c>
      <c r="F16" s="352" t="inlineStr">
        <is>
          <t>Higher the better</t>
        </is>
      </c>
      <c r="G16" s="350" t="inlineStr">
        <is>
          <t>Monthly</t>
        </is>
      </c>
      <c r="H16" s="14" t="inlineStr">
        <is>
          <t>Target</t>
        </is>
      </c>
      <c r="I16" s="44" t="n">
        <v>80</v>
      </c>
      <c r="J16" s="44" t="n">
        <v>80</v>
      </c>
      <c r="K16" s="44" t="n">
        <v>80</v>
      </c>
      <c r="L16" s="44" t="n">
        <v>80</v>
      </c>
      <c r="M16" s="44" t="n">
        <v>80</v>
      </c>
      <c r="N16" s="44" t="n">
        <v>80</v>
      </c>
      <c r="O16" s="44" t="n">
        <v>80</v>
      </c>
      <c r="P16" s="44" t="n">
        <v>80</v>
      </c>
      <c r="Q16" s="44" t="n">
        <v>80</v>
      </c>
      <c r="R16" s="44" t="n">
        <v>80</v>
      </c>
      <c r="S16" s="44" t="n">
        <v>80</v>
      </c>
      <c r="T16" s="44" t="n">
        <v>80</v>
      </c>
    </row>
    <row r="17">
      <c r="A17" s="685" t="n"/>
      <c r="B17" s="685" t="n"/>
      <c r="C17" s="685" t="n"/>
      <c r="D17" s="685" t="n"/>
      <c r="E17" s="685" t="n"/>
      <c r="F17" s="685" t="n"/>
      <c r="G17" s="685" t="n"/>
      <c r="H17" s="14" t="inlineStr">
        <is>
          <t>Actual</t>
        </is>
      </c>
      <c r="I17" s="45" t="n">
        <v>0</v>
      </c>
      <c r="J17" s="45" t="n">
        <v>86</v>
      </c>
      <c r="K17" s="45" t="n">
        <v>84</v>
      </c>
      <c r="L17" s="45" t="n">
        <v>92</v>
      </c>
      <c r="M17" s="45" t="n">
        <v>87</v>
      </c>
      <c r="N17" s="45" t="n">
        <v>88</v>
      </c>
      <c r="O17" s="45" t="n">
        <v>84</v>
      </c>
      <c r="P17" s="45" t="n">
        <v>77</v>
      </c>
      <c r="Q17" s="45" t="n">
        <v>87</v>
      </c>
      <c r="R17" s="45" t="n"/>
      <c r="S17" s="45" t="n"/>
      <c r="T17" s="45" t="n"/>
    </row>
    <row r="18" ht="13.5" customHeight="1">
      <c r="A18" s="349" t="inlineStr">
        <is>
          <t>Sales training</t>
        </is>
      </c>
      <c r="B18" s="356" t="inlineStr">
        <is>
          <t>% of  sales team trained on Clinical application area, Product proposition and competition  per plan</t>
        </is>
      </c>
      <c r="C18" s="350" t="inlineStr">
        <is>
          <t>&gt;=</t>
        </is>
      </c>
      <c r="D18" s="350" t="n">
        <v>80</v>
      </c>
      <c r="E18" s="350" t="inlineStr">
        <is>
          <t>%</t>
        </is>
      </c>
      <c r="F18" s="352" t="inlineStr">
        <is>
          <t>Higher the better</t>
        </is>
      </c>
      <c r="G18" s="350" t="inlineStr">
        <is>
          <t>Monthly</t>
        </is>
      </c>
      <c r="H18" s="14" t="inlineStr">
        <is>
          <t>Target</t>
        </is>
      </c>
      <c r="I18" s="44" t="n">
        <v>80</v>
      </c>
      <c r="J18" s="44" t="n">
        <v>80</v>
      </c>
      <c r="K18" s="44" t="n">
        <v>80</v>
      </c>
      <c r="L18" s="44" t="n">
        <v>80</v>
      </c>
      <c r="M18" s="44" t="n">
        <v>80</v>
      </c>
      <c r="N18" s="44" t="n">
        <v>80</v>
      </c>
      <c r="O18" s="44" t="n">
        <v>80</v>
      </c>
      <c r="P18" s="44" t="n">
        <v>80</v>
      </c>
      <c r="Q18" s="44" t="n">
        <v>80</v>
      </c>
      <c r="R18" s="44" t="n">
        <v>80</v>
      </c>
      <c r="S18" s="44" t="n">
        <v>80</v>
      </c>
      <c r="T18" s="44" t="n">
        <v>80</v>
      </c>
    </row>
    <row r="19" ht="24.75" customHeight="1">
      <c r="A19" s="685" t="n"/>
      <c r="B19" s="756" t="n"/>
      <c r="C19" s="685" t="n"/>
      <c r="D19" s="685" t="n"/>
      <c r="E19" s="685" t="n"/>
      <c r="F19" s="685" t="n"/>
      <c r="G19" s="685" t="n"/>
      <c r="H19" s="14" t="inlineStr">
        <is>
          <t>Actual</t>
        </is>
      </c>
      <c r="I19" s="45" t="n">
        <v>100</v>
      </c>
      <c r="J19" s="45" t="n">
        <v>100</v>
      </c>
      <c r="K19" s="45" t="n">
        <v>60</v>
      </c>
      <c r="L19" s="45" t="n">
        <v>100</v>
      </c>
      <c r="M19" s="45" t="n">
        <v>100</v>
      </c>
      <c r="N19" s="45" t="n">
        <v>89</v>
      </c>
      <c r="O19" s="45" t="n">
        <v>89</v>
      </c>
      <c r="P19" s="45" t="n">
        <v>88</v>
      </c>
      <c r="Q19" s="45" t="n">
        <v>91</v>
      </c>
      <c r="R19" s="45" t="n"/>
      <c r="S19" s="45" t="n"/>
      <c r="T19" s="45" t="n"/>
    </row>
    <row r="20" hidden="1">
      <c r="A20" s="349" t="n"/>
      <c r="B20" s="359" t="n"/>
      <c r="C20" s="350" t="n"/>
      <c r="D20" s="350" t="n"/>
      <c r="E20" s="350" t="n"/>
      <c r="F20" s="352" t="n"/>
      <c r="G20" s="350" t="n"/>
      <c r="H20" s="14" t="n"/>
      <c r="I20" s="44" t="n"/>
      <c r="J20" s="44" t="n"/>
      <c r="K20" s="44" t="n"/>
      <c r="L20" s="44" t="n"/>
      <c r="M20" s="44" t="n"/>
      <c r="N20" s="44" t="n"/>
      <c r="O20" s="44" t="n"/>
      <c r="P20" s="44" t="n"/>
      <c r="Q20" s="44" t="n"/>
      <c r="R20" s="44" t="n"/>
      <c r="S20" s="44" t="n"/>
      <c r="T20" s="44" t="n"/>
    </row>
    <row r="21" hidden="1" ht="22.5" customHeight="1">
      <c r="A21" s="685" t="n"/>
      <c r="B21" s="685" t="n"/>
      <c r="C21" s="685" t="n"/>
      <c r="D21" s="685" t="n"/>
      <c r="E21" s="685" t="n"/>
      <c r="F21" s="685" t="n"/>
      <c r="G21" s="685" t="n"/>
      <c r="H21" s="14" t="n"/>
      <c r="I21" s="45" t="n"/>
      <c r="J21" s="45" t="n"/>
      <c r="K21" s="45" t="n"/>
      <c r="L21" s="45" t="n"/>
      <c r="M21" s="45" t="n"/>
      <c r="N21" s="45" t="n"/>
      <c r="O21" s="45" t="n"/>
      <c r="P21" s="45" t="n"/>
      <c r="Q21" s="45" t="n"/>
      <c r="R21" s="45" t="n"/>
      <c r="S21" s="45" t="n"/>
      <c r="T21" s="45" t="n"/>
    </row>
    <row r="22" hidden="1">
      <c r="A22" s="348" t="n"/>
      <c r="B22" s="359" t="n"/>
      <c r="C22" s="350" t="n"/>
      <c r="D22" s="352" t="n"/>
      <c r="E22" s="350" t="n"/>
      <c r="F22" s="352" t="n"/>
      <c r="G22" s="350" t="n"/>
      <c r="H22" s="14" t="n"/>
      <c r="I22" s="44" t="n"/>
      <c r="J22" s="44" t="n"/>
      <c r="K22" s="44" t="n"/>
      <c r="L22" s="44" t="n"/>
      <c r="M22" s="44" t="n"/>
      <c r="N22" s="44" t="n"/>
      <c r="O22" s="44" t="n"/>
      <c r="P22" s="44" t="n"/>
      <c r="Q22" s="44" t="n"/>
      <c r="R22" s="44" t="n"/>
      <c r="S22" s="44" t="n"/>
      <c r="T22" s="44" t="n"/>
    </row>
    <row r="23" hidden="1">
      <c r="A23" s="685" t="n"/>
      <c r="B23" s="685" t="n"/>
      <c r="C23" s="685" t="n"/>
      <c r="D23" s="685" t="n"/>
      <c r="E23" s="685" t="n"/>
      <c r="F23" s="685" t="n"/>
      <c r="G23" s="685" t="n"/>
      <c r="H23" s="14" t="n"/>
      <c r="I23" s="45" t="n"/>
      <c r="J23" s="45" t="n"/>
      <c r="K23" s="45" t="n"/>
      <c r="L23" s="45" t="n"/>
      <c r="M23" s="45" t="n"/>
      <c r="N23" s="45" t="n"/>
      <c r="O23" s="45" t="n"/>
      <c r="P23" s="45" t="n"/>
      <c r="Q23" s="45" t="n"/>
      <c r="R23" s="45" t="n"/>
      <c r="S23" s="45" t="n"/>
      <c r="T23" s="45" t="n"/>
    </row>
    <row r="24" ht="15" customHeight="1">
      <c r="E24" s="102" t="inlineStr">
        <is>
          <t xml:space="preserve">
</t>
        </is>
      </c>
      <c r="H24" s="103">
        <f>IF(OR($F15="Lower the better",$F15="Lower the Better"),
    IF(I15&gt;I14,$A14,""),
    IF(OR($F15="Higher the better",$F15="Higher the Better"),
       IF(I15&lt;I14,$A14,""),
       ""
    )
)</f>
        <v/>
      </c>
    </row>
    <row r="25" ht="21" customHeight="1">
      <c r="A25" s="104" t="inlineStr">
        <is>
          <t>Trends-</t>
        </is>
      </c>
      <c r="B25" s="53" t="n"/>
    </row>
    <row r="26">
      <c r="A26" s="52" t="n"/>
      <c r="B26" s="53" t="n"/>
      <c r="L26" s="231" t="n"/>
    </row>
    <row r="27">
      <c r="A27" s="52" t="n"/>
      <c r="B27" s="53" t="n"/>
    </row>
    <row r="28">
      <c r="A28" s="52" t="n"/>
      <c r="B28" s="53" t="n"/>
    </row>
    <row r="29">
      <c r="A29" s="52" t="n"/>
      <c r="B29" s="53" t="n"/>
    </row>
    <row r="30">
      <c r="A30" s="52" t="n"/>
      <c r="B30" s="53" t="n"/>
    </row>
    <row r="31">
      <c r="A31" s="52" t="n"/>
      <c r="B31" s="53" t="n"/>
    </row>
    <row r="32">
      <c r="A32" s="52" t="n"/>
      <c r="B32" s="53" t="n"/>
    </row>
    <row r="33">
      <c r="A33" s="52" t="n"/>
      <c r="B33" s="53" t="n"/>
    </row>
    <row r="34">
      <c r="A34" s="52" t="n"/>
      <c r="B34" s="53" t="n"/>
    </row>
    <row r="35">
      <c r="A35" s="52" t="n"/>
      <c r="B35" s="53" t="n"/>
    </row>
    <row r="36">
      <c r="A36" s="52" t="n"/>
      <c r="B36" s="53" t="n"/>
    </row>
    <row r="37">
      <c r="A37" s="52" t="n"/>
      <c r="B37" s="53" t="n"/>
    </row>
    <row r="38">
      <c r="A38" s="52" t="n"/>
      <c r="B38" s="53" t="n"/>
    </row>
    <row r="39">
      <c r="A39" s="52" t="n"/>
      <c r="B39" s="53" t="n"/>
    </row>
    <row r="40">
      <c r="A40" s="52" t="n"/>
      <c r="B40" s="53" t="n"/>
    </row>
    <row r="41">
      <c r="A41" s="52" t="n"/>
      <c r="B41" s="53" t="n"/>
    </row>
    <row r="42" ht="21" customHeight="1">
      <c r="A42" s="360" t="inlineStr">
        <is>
          <t>If the KPI is reported Red, fill all the details as mentioned below for analysis &amp; actions:</t>
        </is>
      </c>
    </row>
    <row r="43">
      <c r="C43" s="52" t="n"/>
      <c r="D43" s="52" t="n"/>
      <c r="E43" s="52" t="n"/>
      <c r="F43" s="52" t="n"/>
      <c r="G43" s="52" t="n"/>
      <c r="H43" s="52" t="n"/>
    </row>
    <row r="44">
      <c r="A44" s="52" t="n"/>
      <c r="B44" s="53" t="n"/>
    </row>
    <row r="45" ht="21" customHeight="1">
      <c r="A45" s="347" t="inlineStr">
        <is>
          <t>Root Cause Analysis-</t>
        </is>
      </c>
    </row>
    <row r="46" ht="20.25" customHeight="1">
      <c r="A46" s="466" t="inlineStr">
        <is>
          <t xml:space="preserve"> Red KPI</t>
        </is>
      </c>
      <c r="B46" s="361" t="inlineStr">
        <is>
          <t xml:space="preserve">Top  Causes </t>
        </is>
      </c>
      <c r="C46" s="693" t="n"/>
      <c r="D46" s="693" t="n"/>
      <c r="E46" s="693" t="n"/>
      <c r="F46" s="692" t="n"/>
    </row>
    <row r="47" ht="15" customHeight="1">
      <c r="A47" s="361" t="inlineStr">
        <is>
          <t>Red KPI</t>
        </is>
      </c>
      <c r="B47" s="361" t="inlineStr">
        <is>
          <t xml:space="preserve">Cause 1 </t>
        </is>
      </c>
      <c r="C47" s="361" t="inlineStr">
        <is>
          <t>Cause 2</t>
        </is>
      </c>
      <c r="D47" s="361" t="inlineStr">
        <is>
          <t>Cause 3</t>
        </is>
      </c>
      <c r="E47" s="361" t="inlineStr">
        <is>
          <t>Cause 4</t>
        </is>
      </c>
      <c r="F47" s="361" t="inlineStr">
        <is>
          <t>Cause 5</t>
        </is>
      </c>
    </row>
    <row r="48" ht="30" customHeight="1">
      <c r="A48" s="228" t="inlineStr">
        <is>
          <t>Win rate  for NPIs</t>
        </is>
      </c>
      <c r="B48" s="106" t="inlineStr">
        <is>
          <t>Z10</t>
        </is>
      </c>
      <c r="C48" s="106" t="inlineStr">
        <is>
          <t>Z30</t>
        </is>
      </c>
      <c r="D48" s="278" t="n"/>
      <c r="E48" s="230" t="n"/>
      <c r="F48" s="230" t="n"/>
    </row>
    <row r="49" ht="31.5" customHeight="1">
      <c r="A49" s="229" t="inlineStr">
        <is>
          <t>% impact on KPI gap</t>
        </is>
      </c>
      <c r="B49" s="257" t="inlineStr">
        <is>
          <t>55.4%</t>
        </is>
      </c>
      <c r="C49" s="106" t="inlineStr">
        <is>
          <t>44.6%</t>
        </is>
      </c>
      <c r="D49" s="106" t="n"/>
      <c r="E49" s="106" t="n"/>
      <c r="F49" s="106" t="n"/>
    </row>
    <row r="50" ht="31.5" customHeight="1">
      <c r="A50" s="361" t="inlineStr">
        <is>
          <t>Red KPI</t>
        </is>
      </c>
      <c r="B50" s="361" t="inlineStr">
        <is>
          <t xml:space="preserve">Cause 1 </t>
        </is>
      </c>
      <c r="C50" s="361" t="inlineStr">
        <is>
          <t>Cause 2</t>
        </is>
      </c>
      <c r="D50" s="361" t="inlineStr">
        <is>
          <t>Cause 3</t>
        </is>
      </c>
      <c r="E50" s="361" t="inlineStr">
        <is>
          <t>Cause 4</t>
        </is>
      </c>
      <c r="F50" s="361" t="inlineStr">
        <is>
          <t>Cause 5</t>
        </is>
      </c>
    </row>
    <row r="51" ht="78" customHeight="1">
      <c r="A51" s="228" t="inlineStr">
        <is>
          <t>Win rate  for Z30</t>
        </is>
      </c>
      <c r="B51" s="323" t="inlineStr">
        <is>
          <t>Solo
(33% deals lost as customers asked for compact system;
20% deals lost due to competitive price;
20% deals lost as all customers prefered GE systems)</t>
        </is>
      </c>
      <c r="C51" s="387" t="inlineStr">
        <is>
          <t>Specs favoring competition 
(COO (2), CMOS(2), FD17(3), latest windows (3), higher free space, weight issue, mini C-arm or 3D required)</t>
        </is>
      </c>
      <c r="D51" s="387" t="inlineStr">
        <is>
          <t>Price
 (61% deals lost below 60k; 
80% deals lost below 70k)</t>
        </is>
      </c>
      <c r="E51" s="294" t="inlineStr">
        <is>
          <t>Brand Preference
(42% customers preferred Siemens and 58% preferred Ziehm due to existing fleet and user preference)</t>
        </is>
      </c>
      <c r="F51" s="230" t="inlineStr">
        <is>
          <t>Others</t>
        </is>
      </c>
    </row>
    <row r="52" ht="31.5" customHeight="1">
      <c r="A52" s="229" t="inlineStr">
        <is>
          <t>% impact on KPI gap</t>
        </is>
      </c>
      <c r="B52" s="106" t="n">
        <v>0.4</v>
      </c>
      <c r="C52" s="106" t="n">
        <v>0.22</v>
      </c>
      <c r="D52" s="106" t="n">
        <v>0.12</v>
      </c>
      <c r="E52" s="106" t="n">
        <v>0.12</v>
      </c>
      <c r="F52" s="106" t="n">
        <v>0.14</v>
      </c>
    </row>
    <row r="53" ht="31.5" customHeight="1">
      <c r="A53" s="361" t="inlineStr">
        <is>
          <t>Red KPI</t>
        </is>
      </c>
      <c r="B53" s="361" t="inlineStr">
        <is>
          <t xml:space="preserve">Cause 1 </t>
        </is>
      </c>
      <c r="C53" s="361" t="inlineStr">
        <is>
          <t>Cause 2</t>
        </is>
      </c>
      <c r="D53" s="361" t="inlineStr">
        <is>
          <t>Cause 3</t>
        </is>
      </c>
      <c r="E53" s="361" t="inlineStr">
        <is>
          <t>Cause 4</t>
        </is>
      </c>
      <c r="F53" s="361" t="inlineStr">
        <is>
          <t>Cause 5</t>
        </is>
      </c>
    </row>
    <row r="54" ht="51.95" customHeight="1">
      <c r="A54" s="228" t="inlineStr">
        <is>
          <t>Win rate  for Z10</t>
        </is>
      </c>
      <c r="B54" s="294" t="inlineStr">
        <is>
          <t>Price
 (57% deals lost below 50k; 
22% losses in Brazil due to additonal tax which makes us less competitive)</t>
        </is>
      </c>
      <c r="C54" s="294" t="inlineStr">
        <is>
          <t>Solo
(80% of the deals lost to Solo due to price;
5% due to compact system ask;
5% due to brand preference to GE)</t>
        </is>
      </c>
      <c r="D54" s="323" t="inlineStr">
        <is>
          <t>Not a viable opportunity
(tenders not in favor or customer not pursing opportunities)</t>
        </is>
      </c>
      <c r="E54" s="294" t="inlineStr">
        <is>
          <t>Specs favoring compeition</t>
        </is>
      </c>
      <c r="F54" s="230" t="inlineStr">
        <is>
          <t>Others</t>
        </is>
      </c>
    </row>
    <row r="55" ht="31.5" customHeight="1">
      <c r="A55" s="229" t="inlineStr">
        <is>
          <t>% impact on KPI gap</t>
        </is>
      </c>
      <c r="B55" s="106" t="n">
        <v>0.53</v>
      </c>
      <c r="C55" s="106" t="n">
        <v>0.22</v>
      </c>
      <c r="D55" s="106" t="n">
        <v>0.09</v>
      </c>
      <c r="E55" s="106" t="n">
        <v>0.07000000000000001</v>
      </c>
      <c r="F55" s="106" t="n">
        <v>0.09</v>
      </c>
    </row>
    <row r="56" ht="31.5" customHeight="1">
      <c r="A56" s="361" t="inlineStr">
        <is>
          <t>Red KPI</t>
        </is>
      </c>
      <c r="B56" s="361" t="inlineStr">
        <is>
          <t xml:space="preserve">Cause 1 </t>
        </is>
      </c>
      <c r="C56" s="361" t="inlineStr">
        <is>
          <t>Cause 2</t>
        </is>
      </c>
      <c r="D56" s="361" t="inlineStr">
        <is>
          <t>Cause 3</t>
        </is>
      </c>
      <c r="E56" s="361" t="inlineStr">
        <is>
          <t>Cause 4</t>
        </is>
      </c>
      <c r="F56" s="361" t="inlineStr">
        <is>
          <t>Cause 5</t>
        </is>
      </c>
    </row>
    <row r="57" ht="57.95" customHeight="1">
      <c r="A57" s="228" t="inlineStr">
        <is>
          <t>Dhruv  Commercial Launch</t>
        </is>
      </c>
      <c r="B57" s="386" t="inlineStr">
        <is>
          <t>Communication assets are running a few weeks late. Possible to pull back by Dec'26.</t>
        </is>
      </c>
      <c r="C57" s="386" t="inlineStr">
        <is>
          <t>PDLM activities are runnign late, but buffer available in plan to pull back, except Claims and Business Case</t>
        </is>
      </c>
      <c r="D57" s="330" t="inlineStr">
        <is>
          <t>CGI/AI Imagery is running late due to unavailability of appropriate rights for the current images. Alternative approach exploraiton is underway.</t>
        </is>
      </c>
      <c r="E57" s="330" t="inlineStr">
        <is>
          <t>NAR preLaunch Plan creation is running late. Internal Kick-off date identified as 25Sep26, but postponed. Content prep. is ongoing.</t>
        </is>
      </c>
      <c r="F57" s="386" t="inlineStr">
        <is>
          <t>Start of content Preparation for 2027 Sales Training running late. Buffer available to manage.</t>
        </is>
      </c>
    </row>
    <row r="58" ht="31.5" customHeight="1">
      <c r="A58" s="229" t="inlineStr">
        <is>
          <t>% impact on KPI gap</t>
        </is>
      </c>
      <c r="B58" s="257" t="n">
        <v>0.24</v>
      </c>
      <c r="C58" s="106" t="n">
        <v>0.2</v>
      </c>
      <c r="D58" s="106" t="n">
        <v>0.17</v>
      </c>
      <c r="E58" s="106" t="n">
        <v>0.17</v>
      </c>
      <c r="F58" s="106" t="n">
        <v>0.17</v>
      </c>
    </row>
    <row r="59" ht="19.5" customHeight="1">
      <c r="A59" s="361" t="inlineStr">
        <is>
          <t>Red KPI</t>
        </is>
      </c>
      <c r="B59" s="361" t="inlineStr">
        <is>
          <t xml:space="preserve">Cause 1 </t>
        </is>
      </c>
      <c r="C59" s="361" t="inlineStr">
        <is>
          <t>Cause 2</t>
        </is>
      </c>
      <c r="D59" s="361" t="inlineStr">
        <is>
          <t>Cause 3</t>
        </is>
      </c>
      <c r="E59" s="361" t="inlineStr">
        <is>
          <t>Cause 4</t>
        </is>
      </c>
      <c r="F59" s="361" t="inlineStr">
        <is>
          <t>Cause 5</t>
        </is>
      </c>
    </row>
    <row r="60" ht="51" customHeight="1">
      <c r="A60" s="279" t="inlineStr">
        <is>
          <t>Sales Enablement 75% for Sep</t>
        </is>
      </c>
      <c r="B60" s="386" t="inlineStr">
        <is>
          <t>CS FD 30x30 asset - delay due to claim approval in Veeva Promo Mats - Expected closure ETA 20th oct  - Calim approval recevied file submitted for L&amp;R approval</t>
        </is>
      </c>
      <c r="C60" s="386" t="inlineStr">
        <is>
          <t xml:space="preserve">Zenition IB asset brochure derivative asset - Iterative legal observation recevied - Reolution ETA 22nd Oct </t>
        </is>
      </c>
      <c r="D60" s="386" t="inlineStr">
        <is>
          <t>NDA  Presentation behind scheduled as inputs recevied to activate marcom workstream were delayed by 6 weeks which led to dealy in project delivery scheudle</t>
        </is>
      </c>
      <c r="E60" s="230" t="n"/>
      <c r="F60" s="230" t="n"/>
    </row>
    <row r="61" ht="19.5" customHeight="1">
      <c r="A61" s="279" t="n"/>
      <c r="B61" s="257" t="n"/>
      <c r="C61" s="106" t="n"/>
      <c r="D61" s="106" t="n"/>
      <c r="E61" s="106" t="n"/>
      <c r="F61" s="106" t="n"/>
    </row>
    <row r="62" ht="19.5" customHeight="1">
      <c r="A62" s="361" t="inlineStr">
        <is>
          <t>Red KPI</t>
        </is>
      </c>
      <c r="B62" s="361" t="inlineStr">
        <is>
          <t xml:space="preserve">Cause 1 </t>
        </is>
      </c>
      <c r="C62" s="361" t="inlineStr">
        <is>
          <t>Cause 2</t>
        </is>
      </c>
      <c r="D62" s="361" t="inlineStr">
        <is>
          <t>Cause 3</t>
        </is>
      </c>
      <c r="E62" s="361" t="inlineStr">
        <is>
          <t>Cause 4</t>
        </is>
      </c>
      <c r="F62" s="361" t="inlineStr">
        <is>
          <t>Cause 5</t>
        </is>
      </c>
    </row>
    <row r="63" ht="19.5" customHeight="1">
      <c r="A63" s="279" t="n"/>
      <c r="B63" s="230" t="n"/>
      <c r="C63" s="230" t="n"/>
      <c r="D63" s="230" t="n"/>
      <c r="E63" s="230" t="n"/>
      <c r="F63" s="230" t="n"/>
    </row>
    <row r="64" ht="19.5" customHeight="1">
      <c r="A64" s="279" t="n"/>
      <c r="B64" s="106" t="n"/>
      <c r="C64" s="106" t="n"/>
      <c r="D64" s="106" t="n"/>
      <c r="E64" s="106" t="n"/>
      <c r="F64" s="106" t="n"/>
    </row>
    <row r="65" ht="19.5" customHeight="1">
      <c r="A65" s="104" t="inlineStr">
        <is>
          <t>Paretos for RCA</t>
        </is>
      </c>
      <c r="B65" s="53" t="n"/>
    </row>
    <row r="66" ht="19.5" customHeight="1">
      <c r="A66" s="52" t="n"/>
      <c r="B66" s="53" t="n"/>
    </row>
    <row r="67" ht="19.5" customHeight="1">
      <c r="A67" s="52" t="n"/>
      <c r="B67" s="53" t="n"/>
    </row>
    <row r="68">
      <c r="A68" s="52" t="n"/>
      <c r="B68" s="53" t="n"/>
    </row>
    <row r="69">
      <c r="A69" s="52" t="n"/>
      <c r="B69" s="53" t="n"/>
    </row>
    <row r="70">
      <c r="A70" s="52" t="n"/>
      <c r="B70" s="53" t="n"/>
    </row>
    <row r="71">
      <c r="A71" s="52" t="n"/>
      <c r="B71" s="53" t="n"/>
    </row>
    <row r="72">
      <c r="A72" s="52" t="n"/>
      <c r="B72" s="53" t="n"/>
    </row>
    <row r="73">
      <c r="A73" s="52" t="n"/>
      <c r="B73" s="53" t="n"/>
    </row>
    <row r="74">
      <c r="A74" s="52" t="n"/>
      <c r="B74" s="53" t="n"/>
    </row>
    <row r="75">
      <c r="A75" s="52" t="n"/>
      <c r="B75" s="53" t="n"/>
    </row>
    <row r="76">
      <c r="A76" s="52" t="n"/>
      <c r="B76" s="53" t="n"/>
    </row>
    <row r="77">
      <c r="A77" s="52" t="n"/>
      <c r="B77" s="53" t="n"/>
    </row>
    <row r="78">
      <c r="A78" s="52" t="n"/>
      <c r="B78" s="53" t="n"/>
    </row>
    <row r="79">
      <c r="A79" s="52" t="n"/>
      <c r="B79" s="53" t="n"/>
    </row>
    <row r="80" ht="15" customHeight="1" thickBot="1">
      <c r="A80" s="52" t="n"/>
      <c r="B80" s="53" t="n"/>
    </row>
    <row r="81" ht="18.95" customHeight="1" thickBot="1">
      <c r="A81" s="362" t="inlineStr">
        <is>
          <t>Action tracker</t>
        </is>
      </c>
      <c r="B81" s="696" t="n"/>
      <c r="C81" s="696" t="n"/>
      <c r="D81" s="696" t="n"/>
      <c r="E81" s="696" t="n"/>
      <c r="F81" s="696" t="n"/>
    </row>
    <row r="82" ht="18.95" customHeight="1" thickBot="1">
      <c r="A82" s="16" t="inlineStr">
        <is>
          <t>Red KPI</t>
        </is>
      </c>
      <c r="B82" s="17" t="inlineStr">
        <is>
          <t>Root cause description</t>
        </is>
      </c>
      <c r="C82" s="18" t="inlineStr">
        <is>
          <t>Corrective action</t>
        </is>
      </c>
      <c r="D82" s="19" t="inlineStr">
        <is>
          <t>Owner</t>
        </is>
      </c>
      <c r="E82" s="17" t="inlineStr">
        <is>
          <t>Due Date</t>
        </is>
      </c>
      <c r="F82" s="20" t="inlineStr">
        <is>
          <t>Status</t>
        </is>
      </c>
      <c r="H82" s="363" t="inlineStr">
        <is>
          <t>Handshake Escalations/Support required</t>
        </is>
      </c>
      <c r="I82" s="696" t="n"/>
      <c r="J82" s="696" t="n"/>
      <c r="K82" s="696" t="n"/>
      <c r="L82" s="696" t="n"/>
      <c r="M82" s="696" t="n"/>
      <c r="N82" s="696" t="n"/>
      <c r="O82" s="696" t="n"/>
    </row>
    <row r="83" hidden="1" ht="42" customFormat="1" customHeight="1" s="15">
      <c r="A83" s="364" t="inlineStr">
        <is>
          <t>Win rate for NPIs</t>
        </is>
      </c>
      <c r="B83" s="365" t="inlineStr">
        <is>
          <t xml:space="preserve">Zenition 10  is losing against low cost systems </t>
        </is>
      </c>
      <c r="C83" s="366" t="inlineStr">
        <is>
          <t>Webinar to counter the value prop of low value system like Cios Fit FD</t>
        </is>
      </c>
      <c r="D83" s="366" t="inlineStr">
        <is>
          <t>Nisha L</t>
        </is>
      </c>
      <c r="E83" s="367" t="n">
        <v>46122</v>
      </c>
      <c r="F83" s="371" t="n">
        <v>5</v>
      </c>
      <c r="G83" s="53" t="n"/>
      <c r="H83" s="21" t="inlineStr">
        <is>
          <t>KPI Name</t>
        </is>
      </c>
      <c r="I83" s="22" t="inlineStr">
        <is>
          <t>Key Dependency</t>
        </is>
      </c>
      <c r="J83" s="22" t="inlineStr">
        <is>
          <t>Function Name</t>
        </is>
      </c>
      <c r="K83" s="23" t="inlineStr">
        <is>
          <t>What action/s from
 Function is expected</t>
        </is>
      </c>
      <c r="L83" s="23" t="inlineStr">
        <is>
          <t>Success measure for
Action Closure</t>
        </is>
      </c>
      <c r="M83" s="24" t="inlineStr">
        <is>
          <t>Handshaked
(Yes or No)</t>
        </is>
      </c>
      <c r="N83" s="23" t="inlineStr">
        <is>
          <t>Open issue description</t>
        </is>
      </c>
      <c r="O83" s="36" t="inlineStr">
        <is>
          <t>Solutions to 
Open issues</t>
        </is>
      </c>
    </row>
    <row r="84" hidden="1" ht="16.5" customHeight="1">
      <c r="A84" s="732" t="n"/>
      <c r="B84" s="685" t="n"/>
      <c r="C84" s="685" t="n"/>
      <c r="D84" s="685" t="n"/>
      <c r="E84" s="685" t="n"/>
      <c r="F84" s="733" t="n"/>
      <c r="H84" s="372" t="n"/>
      <c r="I84" s="369" t="n"/>
      <c r="J84" s="373" t="n"/>
      <c r="K84" s="369" t="n"/>
      <c r="L84" s="373" t="inlineStr">
        <is>
          <t>NDA signed</t>
        </is>
      </c>
      <c r="M84" s="368" t="n"/>
      <c r="N84" s="369" t="n"/>
      <c r="O84" s="370" t="n"/>
    </row>
    <row r="85" ht="18.75" customHeight="1">
      <c r="A85" s="364" t="inlineStr">
        <is>
          <t>Win rate for NPIs</t>
        </is>
      </c>
      <c r="B85" s="365" t="inlineStr">
        <is>
          <t xml:space="preserve">Total cost of ownership / Price cited as the major contributor for loss agains low cost systems  </t>
        </is>
      </c>
      <c r="C85" s="365" t="inlineStr">
        <is>
          <t>Inclusion of EW warrranty in catalogue. Catalog is set and priced. Will open for all regions in Q3 release cycle (August). Syncraview communication rolled out on 14th August</t>
        </is>
      </c>
      <c r="D85" s="366" t="inlineStr">
        <is>
          <t>Nisha L/Rohit</t>
        </is>
      </c>
      <c r="E85" s="367" t="n">
        <v>46258</v>
      </c>
      <c r="F85" s="371" t="n">
        <v>5</v>
      </c>
      <c r="H85" s="732" t="n"/>
      <c r="I85" s="685" t="n"/>
      <c r="J85" s="685" t="n"/>
      <c r="K85" s="685" t="n"/>
      <c r="L85" s="685" t="n"/>
      <c r="M85" s="685" t="n"/>
      <c r="N85" s="685" t="n"/>
      <c r="O85" s="733" t="n"/>
    </row>
    <row r="86" ht="49.5" customHeight="1">
      <c r="A86" s="732" t="n"/>
      <c r="B86" s="685" t="n"/>
      <c r="C86" s="685" t="n"/>
      <c r="D86" s="685" t="n"/>
      <c r="E86" s="685" t="n"/>
      <c r="F86" s="733" t="n"/>
      <c r="H86" s="372" t="n"/>
      <c r="I86" s="373" t="n"/>
      <c r="J86" s="373" t="n"/>
      <c r="K86" s="373" t="n"/>
      <c r="L86" s="373" t="n"/>
      <c r="M86" s="368" t="n"/>
      <c r="N86" s="373" t="n"/>
      <c r="O86" s="374" t="n"/>
    </row>
    <row r="87" hidden="1" ht="15.75" customHeight="1">
      <c r="A87" s="364" t="inlineStr">
        <is>
          <t>Win rate for NPIs</t>
        </is>
      </c>
      <c r="B87" s="375" t="inlineStr">
        <is>
          <t>Win rate for Z10/30 is dipping
Budget not available  for Growth Sales Campaign</t>
        </is>
      </c>
      <c r="C87" s="353" t="inlineStr">
        <is>
          <t>Drive volume and higher ASP through targeted sales competition to drive win rate for Z10/30/90</t>
        </is>
      </c>
      <c r="D87" s="352" t="inlineStr">
        <is>
          <t>Nisha L</t>
        </is>
      </c>
      <c r="E87" s="376" t="n">
        <v>46157</v>
      </c>
      <c r="F87" s="371" t="n">
        <v>5</v>
      </c>
      <c r="H87" s="732" t="n"/>
      <c r="I87" s="685" t="n"/>
      <c r="J87" s="685" t="n"/>
      <c r="K87" s="685" t="n"/>
      <c r="L87" s="685" t="n"/>
      <c r="M87" s="685" t="n"/>
      <c r="N87" s="685" t="n"/>
      <c r="O87" s="733" t="n"/>
    </row>
    <row r="88" hidden="1" ht="71.25" customHeight="1">
      <c r="A88" s="732" t="n"/>
      <c r="B88" s="685" t="n"/>
      <c r="C88" s="685" t="n"/>
      <c r="D88" s="685" t="n"/>
      <c r="E88" s="685" t="n"/>
      <c r="F88" s="733" t="n"/>
      <c r="H88" s="372" t="n"/>
      <c r="I88" s="373" t="n"/>
      <c r="J88" s="373" t="n"/>
      <c r="K88" s="373" t="n"/>
      <c r="L88" s="373" t="n"/>
      <c r="M88" s="368" t="n"/>
      <c r="N88" s="373" t="n"/>
      <c r="O88" s="374" t="n"/>
    </row>
    <row r="89" ht="48" customHeight="1">
      <c r="A89" s="364" t="inlineStr">
        <is>
          <t>Win rate for NPIs</t>
        </is>
      </c>
      <c r="B89" s="378" t="inlineStr">
        <is>
          <t>Solo is the main reason for loss in Z30 segment</t>
        </is>
      </c>
      <c r="C89" s="353" t="inlineStr">
        <is>
          <t>Problem solving Session with MT ( Rohit et al) on the Z30 positioning against Solo and counters effectiveness. Analysis is completed and call to be set up with MT members based on availability. Finalize the objective and expected outcome for Conjoint analysis. Create and share the Questionaiire for the conjoint analysis with Silvia and Mahmut to take it forward</t>
        </is>
      </c>
      <c r="D89" s="352" t="inlineStr">
        <is>
          <t>Santosh/Nisha L</t>
        </is>
      </c>
      <c r="E89" s="367" t="n">
        <v>46280</v>
      </c>
      <c r="F89" s="371" t="n">
        <v>1</v>
      </c>
      <c r="H89" s="501" t="n"/>
      <c r="I89" s="373" t="n"/>
      <c r="J89" s="373" t="n"/>
      <c r="K89" s="373" t="n"/>
      <c r="L89" s="373" t="n"/>
      <c r="M89" s="373" t="n"/>
      <c r="N89" s="373" t="n"/>
      <c r="O89" s="373" t="n"/>
    </row>
    <row r="90" ht="45" customHeight="1">
      <c r="A90" s="732" t="n"/>
      <c r="B90" s="685" t="n"/>
      <c r="C90" s="685" t="n"/>
      <c r="D90" s="685" t="n"/>
      <c r="E90" s="685" t="n"/>
      <c r="F90" s="733" t="n"/>
      <c r="H90" s="372" t="n"/>
      <c r="I90" s="373" t="n"/>
      <c r="J90" s="373" t="n"/>
      <c r="K90" s="373" t="n"/>
      <c r="L90" s="373" t="n"/>
      <c r="M90" s="368" t="n"/>
      <c r="N90" s="373" t="n"/>
      <c r="O90" s="374" t="n"/>
    </row>
    <row r="91" hidden="1" ht="36.6" customHeight="1" thickBot="1">
      <c r="A91" s="364" t="inlineStr">
        <is>
          <t>Win rate for NPIs</t>
        </is>
      </c>
      <c r="B91" s="377" t="inlineStr">
        <is>
          <t xml:space="preserve">Zenition 30 - Losing against GE, and Siemens </t>
        </is>
      </c>
      <c r="C91" s="353" t="inlineStr">
        <is>
          <t xml:space="preserve">Sales team trained on Jul-10 through webinar on Z30 competition on latest landmines against GE OEC One, Siemens Cios Flow.Neo </t>
        </is>
      </c>
      <c r="D91" s="352" t="inlineStr">
        <is>
          <t>Nisha L</t>
        </is>
      </c>
      <c r="E91" s="367" t="n">
        <v>46213</v>
      </c>
      <c r="F91" s="371" t="n">
        <v>5</v>
      </c>
      <c r="H91" s="732" t="n"/>
      <c r="I91" s="685" t="n"/>
      <c r="J91" s="685" t="n"/>
      <c r="K91" s="685" t="n"/>
      <c r="L91" s="685" t="n"/>
      <c r="M91" s="685" t="n"/>
      <c r="N91" s="685" t="n"/>
      <c r="O91" s="733" t="n"/>
    </row>
    <row r="92" hidden="1" ht="16.5" customHeight="1">
      <c r="A92" s="732" t="n"/>
      <c r="B92" s="685" t="n"/>
      <c r="C92" s="685" t="n"/>
      <c r="D92" s="685" t="n"/>
      <c r="E92" s="685" t="n"/>
      <c r="F92" s="733" t="n"/>
      <c r="H92" s="372" t="n"/>
      <c r="I92" s="373" t="n"/>
      <c r="J92" s="373" t="n"/>
      <c r="K92" s="381" t="n"/>
      <c r="L92" s="373" t="n"/>
      <c r="M92" s="368" t="n"/>
      <c r="N92" s="369" t="n"/>
      <c r="O92" s="370" t="n"/>
    </row>
    <row r="93" ht="28.5" customHeight="1">
      <c r="A93" s="382" t="inlineStr">
        <is>
          <t>Win rate for NPIs</t>
        </is>
      </c>
      <c r="B93" s="389" t="inlineStr">
        <is>
          <t xml:space="preserve">Z10/30 losing on pricing </t>
        </is>
      </c>
      <c r="C93" s="387" t="inlineStr">
        <is>
          <t xml:space="preserve">
Short term - Proposal being worked on country-wise target price to win more in Growth region. Mahmut's confirmation received. Not to pursue at this point.
Long term - Bom cost analysis and reduction strategy for Zenition 10 </t>
        </is>
      </c>
      <c r="D93" s="388" t="inlineStr">
        <is>
          <t>Nisha L/Mahmut</t>
        </is>
      </c>
      <c r="E93" s="379" t="n">
        <v>46265</v>
      </c>
      <c r="F93" s="380" t="n">
        <v>5</v>
      </c>
      <c r="H93" s="732" t="n"/>
      <c r="I93" s="685" t="n"/>
      <c r="J93" s="685" t="n"/>
      <c r="K93" s="685" t="n"/>
      <c r="L93" s="685" t="n"/>
      <c r="M93" s="685" t="n"/>
      <c r="N93" s="685" t="n"/>
      <c r="O93" s="733" t="n"/>
    </row>
    <row r="94" ht="49.5" customFormat="1" customHeight="1" s="15">
      <c r="A94" s="671" t="n"/>
      <c r="B94" s="671" t="n"/>
      <c r="C94" s="671" t="n"/>
      <c r="D94" s="671" t="n"/>
      <c r="E94" s="671" t="n"/>
      <c r="F94" s="671" t="n"/>
      <c r="G94" s="53" t="n"/>
      <c r="H94" s="372" t="n"/>
      <c r="I94" s="373" t="n"/>
      <c r="J94" s="373" t="n"/>
      <c r="K94" s="369" t="n"/>
      <c r="L94" s="373" t="n"/>
      <c r="M94" s="368" t="n"/>
      <c r="N94" s="373" t="n"/>
      <c r="O94" s="374" t="n"/>
    </row>
    <row r="95" hidden="1" ht="25.5" customFormat="1" customHeight="1" s="15">
      <c r="A95" s="382" t="inlineStr">
        <is>
          <t>Win rate for NPIs</t>
        </is>
      </c>
      <c r="B95" s="386" t="inlineStr">
        <is>
          <t>Z30/10 losing on pricing and vs Solo</t>
        </is>
      </c>
      <c r="C95" s="387" t="inlineStr">
        <is>
          <t xml:space="preserve">Sales competition campaign to be introduced to maximise win for Z10/30 in Growth and EU and get the mindshare of the account managers - Budget not approved </t>
        </is>
      </c>
      <c r="D95" s="388" t="inlineStr">
        <is>
          <t>Nisha L/Ketan</t>
        </is>
      </c>
      <c r="E95" s="379" t="n">
        <v>46210</v>
      </c>
      <c r="F95" s="380" t="n">
        <v>5</v>
      </c>
      <c r="G95" s="53" t="n"/>
      <c r="H95" s="732" t="n"/>
      <c r="I95" s="685" t="n"/>
      <c r="J95" s="685" t="n"/>
      <c r="K95" s="685" t="n"/>
      <c r="L95" s="685" t="n"/>
      <c r="M95" s="685" t="n"/>
      <c r="N95" s="685" t="n"/>
      <c r="O95" s="733" t="n"/>
    </row>
    <row r="96" hidden="1" ht="26.65" customFormat="1" customHeight="1" s="15">
      <c r="A96" s="671" t="n"/>
      <c r="B96" s="671" t="n"/>
      <c r="C96" s="671" t="n"/>
      <c r="D96" s="671" t="n"/>
      <c r="E96" s="671" t="n"/>
      <c r="F96" s="671" t="n"/>
      <c r="G96" s="53" t="n"/>
      <c r="H96" s="177" t="n"/>
      <c r="I96" s="177" t="n"/>
      <c r="J96" s="177" t="n"/>
      <c r="K96" s="177" t="n"/>
      <c r="L96" s="177" t="n"/>
      <c r="N96" s="177" t="n"/>
      <c r="O96" s="177" t="n"/>
    </row>
    <row r="97" hidden="1" ht="23.65" customFormat="1" customHeight="1" s="15">
      <c r="A97" s="382" t="inlineStr">
        <is>
          <t>Dhruv  Commercial Launch</t>
        </is>
      </c>
      <c r="B97" s="383" t="inlineStr">
        <is>
          <t xml:space="preserve">NDA with J&amp;J behind schedule </t>
        </is>
      </c>
      <c r="C97" s="384" t="inlineStr">
        <is>
          <t xml:space="preserve">Help required from Geoff DeCosta--&gt; NDA has been signed </t>
        </is>
      </c>
      <c r="D97" s="385" t="inlineStr">
        <is>
          <t>Shomik M</t>
        </is>
      </c>
      <c r="E97" s="379" t="n">
        <v>46129</v>
      </c>
      <c r="F97" s="380" t="n">
        <v>5</v>
      </c>
      <c r="G97" s="53" t="n"/>
      <c r="H97" s="177" t="n"/>
      <c r="I97" s="177" t="n"/>
      <c r="J97" s="177" t="n"/>
      <c r="K97" s="177" t="n"/>
      <c r="L97" s="177" t="n"/>
      <c r="N97" s="177" t="n"/>
      <c r="O97" s="177" t="n"/>
    </row>
    <row r="98" hidden="1" ht="16.5" customHeight="1">
      <c r="A98" s="671" t="n"/>
      <c r="B98" s="671" t="n"/>
      <c r="C98" s="671" t="n"/>
      <c r="D98" s="671" t="n"/>
      <c r="E98" s="671" t="n"/>
      <c r="F98" s="671" t="n"/>
      <c r="H98" s="177" t="n"/>
      <c r="I98" s="177" t="n"/>
      <c r="J98" s="177" t="n"/>
      <c r="K98" s="177" t="n"/>
      <c r="L98" s="177" t="n"/>
      <c r="M98" s="15" t="n"/>
      <c r="N98" s="177" t="n"/>
      <c r="O98" s="177" t="n"/>
    </row>
    <row r="99" ht="113.45" customHeight="1">
      <c r="A99" s="382" t="inlineStr">
        <is>
          <t>Dhruv  Commercial Launch</t>
        </is>
      </c>
      <c r="B99" s="386" t="inlineStr">
        <is>
          <t xml:space="preserve">Readiness for commercial success of Dhruv </t>
        </is>
      </c>
      <c r="C99" s="391" t="inlineStr">
        <is>
          <t>Product imagery and AI Application Imagery delayed
MUS+STP files received but C-Stand files are incomplete. Revised C-Stand files by 15Jun26 are also incomplete as a design element is not final. 
Work started with MVS imagery. Expected completion by WK32. C-Stand work is on hold.
MVS files revised. Added 1 week delay. C-Stand files are still undergoing revision. Total delay of about 10 weeks.
WK29 input will be considered as final design. If any significant changes happen, we will evaluate its impact.
10Aug26 :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08Sep26: Alternative approach exploration is underway. Expecting clarity by WK40.
30Sep26: Product Imagery on track. For AI Application imagery, we are defining the SoW with details so that quote, timelines and WoW are established before we start.</t>
        </is>
      </c>
      <c r="D99" s="388" t="inlineStr">
        <is>
          <t>Shomik M / Anshuman / Rohan J</t>
        </is>
      </c>
      <c r="E99" s="379" t="inlineStr">
        <is>
          <t>15May2026
15Jun2026
04Sep2026
09Oct2026</t>
        </is>
      </c>
      <c r="F99" s="380" t="n">
        <v>3</v>
      </c>
      <c r="H99" s="177" t="n"/>
      <c r="I99" s="177" t="n"/>
      <c r="J99" s="177" t="n"/>
      <c r="K99" s="177" t="n"/>
      <c r="L99" s="177" t="n"/>
      <c r="M99" s="15" t="n"/>
      <c r="N99" s="177" t="n"/>
      <c r="O99" s="177" t="n"/>
    </row>
    <row r="100" ht="113.45" customHeight="1">
      <c r="A100" s="671" t="n"/>
      <c r="B100" s="671" t="n"/>
      <c r="C100" s="671" t="n"/>
      <c r="D100" s="671" t="n"/>
      <c r="E100" s="671" t="n"/>
      <c r="F100" s="671" t="n"/>
      <c r="H100" s="177" t="n"/>
      <c r="I100" s="177" t="n"/>
      <c r="J100" s="177" t="n"/>
      <c r="K100" s="177" t="n"/>
      <c r="L100" s="177" t="n"/>
      <c r="M100" s="15" t="n"/>
      <c r="N100" s="177" t="n"/>
      <c r="O100" s="177" t="n"/>
    </row>
    <row r="101" ht="140.45" customHeight="1">
      <c r="A101" s="382" t="inlineStr">
        <is>
          <t>Dhruv  Commercial Launch</t>
        </is>
      </c>
      <c r="B101" s="387" t="inlineStr">
        <is>
          <t>Readiness for commercial success of Dhruv</t>
        </is>
      </c>
      <c r="C101" s="390" t="inlineStr">
        <is>
          <t>Vendor finalization pending for Formative &amp; Claims Study
Two quotes receive and quite high. Scope reduced and communicted to vendors. Expecting revised quotes by 26Jun26 followed by negotiation with procurement.
Post vendor finalization, claims study discussions and PO generation will happen in parallell. Risk of missing 15Aug26 timeline.
Final quotes recieved from both vendors in WK27(30Jun26). 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Vendor selection is done.
Claims study work has now started. Also aligned with NAR and EU to release assets with Claims by May-2027
30Sep26: Claims study for FE04 starting on 30Sep26. Running late by ~2 weeks. Study expected to be complete by 22Oct26 and the report will be available within standard timelines.</t>
        </is>
      </c>
      <c r="D101" s="388" t="inlineStr">
        <is>
          <t>Shomik M / Anshuman / Ashish S</t>
        </is>
      </c>
      <c r="E101" s="379" t="inlineStr">
        <is>
          <t>5/22/2026
6/19/2026
7/30/2026
22/Oct/26</t>
        </is>
      </c>
      <c r="F101" s="380" t="n">
        <v>4</v>
      </c>
      <c r="H101" s="177" t="n"/>
      <c r="I101" s="177" t="n"/>
      <c r="J101" s="177" t="n"/>
      <c r="K101" s="177" t="n"/>
      <c r="L101" s="177" t="n"/>
      <c r="M101" s="15" t="n"/>
      <c r="N101" s="177" t="n"/>
      <c r="O101" s="177" t="n"/>
    </row>
    <row r="102" ht="140.45" customHeight="1">
      <c r="A102" s="671" t="n"/>
      <c r="B102" s="671" t="n"/>
      <c r="C102" s="671" t="n"/>
      <c r="D102" s="671" t="n"/>
      <c r="E102" s="671" t="n"/>
      <c r="F102" s="671" t="n"/>
      <c r="H102" s="177" t="n"/>
      <c r="I102" s="177" t="n"/>
      <c r="J102" s="177" t="n"/>
      <c r="K102" s="177" t="n"/>
      <c r="L102" s="177" t="n"/>
      <c r="M102" s="15" t="n"/>
      <c r="N102" s="177" t="n"/>
      <c r="O102" s="177" t="n"/>
    </row>
    <row r="103" hidden="1" ht="51.75" customHeight="1">
      <c r="A103" s="382" t="inlineStr">
        <is>
          <t>%CTP</t>
        </is>
      </c>
      <c r="B103" s="387" t="inlineStr">
        <is>
          <t>Zenition lite configuration was contributing to a less richer configuration</t>
        </is>
      </c>
      <c r="C103" s="393" t="inlineStr">
        <is>
          <t>Closure of Zenition Lite configs in catalogue</t>
        </is>
      </c>
      <c r="D103" s="388" t="inlineStr">
        <is>
          <t xml:space="preserve">Intekhab </t>
        </is>
      </c>
      <c r="E103" s="379" t="n">
        <v>46068</v>
      </c>
      <c r="F103" s="380" t="n">
        <v>5</v>
      </c>
      <c r="H103" s="177" t="n"/>
      <c r="I103" s="177" t="n"/>
      <c r="J103" s="177" t="n"/>
      <c r="K103" s="177" t="n"/>
      <c r="L103" s="177" t="n"/>
      <c r="M103" s="15" t="n"/>
      <c r="N103" s="177" t="n"/>
      <c r="O103" s="177" t="n"/>
    </row>
    <row r="104" hidden="1" ht="17.25" customHeight="1">
      <c r="A104" s="671" t="n"/>
      <c r="B104" s="671" t="n"/>
      <c r="C104" s="671" t="n"/>
      <c r="D104" s="671" t="n"/>
      <c r="E104" s="671" t="n"/>
      <c r="F104" s="671" t="n"/>
    </row>
    <row r="105" ht="96.59999999999999" customHeight="1">
      <c r="A105" s="382" t="inlineStr">
        <is>
          <t>Dhruv  Commercial Launch</t>
        </is>
      </c>
      <c r="B105" s="387" t="inlineStr">
        <is>
          <t>Readiness for commercial success of Dhruv</t>
        </is>
      </c>
      <c r="C105" s="392" t="inlineStr">
        <is>
          <t>NAR Launch plan creation running late
Resumed this workstream with NAR, and running 1 month late. Initial discussion done, expecting plan creation by 26WK29.
Prep ongoing, expected completion: 26WK31. Plans being made for NASS-2026 as a NDA roadshow and Launch is preferred at NASS 2027 as it is a Spine Show. AAOS has too much of ortho-activity going on and we can get lost.
Create launch plan for NAR along with Jason
then handshake with otherstakeholders post August
DSLs are concerned about sales team getting distracted from 2027 targets. Exploring alternative scale-up.
08Sep26: Internal Kick-off date identified as 25Sep26. Content prep. Is ongoing. Account list research is ongoing.
30Sep26: Kick-off date postponed. Need to establish alignment with the sales team of NAR on balancing prioritization.</t>
        </is>
      </c>
      <c r="D105" s="388" t="inlineStr">
        <is>
          <t>Shomik, Jason</t>
        </is>
      </c>
      <c r="E105" s="379" t="inlineStr">
        <is>
          <t>7/17/2026
08/30/2026
25/Sep/26</t>
        </is>
      </c>
      <c r="F105" s="380" t="n">
        <v>3</v>
      </c>
    </row>
    <row r="106" ht="96.59999999999999" customHeight="1">
      <c r="A106" s="671" t="n"/>
      <c r="B106" s="671" t="n"/>
      <c r="C106" s="671" t="n"/>
      <c r="D106" s="671" t="n"/>
      <c r="E106" s="671" t="n"/>
      <c r="F106" s="671" t="n"/>
    </row>
    <row r="107" ht="62.45" customHeight="1">
      <c r="A107" s="382" t="inlineStr">
        <is>
          <t>Dhruv  Commercial Launch</t>
        </is>
      </c>
      <c r="B107" s="387" t="inlineStr">
        <is>
          <t>Messaging input finalization running late</t>
        </is>
      </c>
      <c r="C107" s="392" t="inlineStr">
        <is>
          <t>Final Product Messaging running late
Philips overall and IGTS have moved to Value Based Messaging. We learnt this mid-way of our messaging and are pivoting to 
Value Based Messaging. Initial discussions done with vendor. Internal workshop planned to identify the best plan to recover the delay.
Alignment done with vendor to find a bridge between the existing framework to connect to Value Based Messaging. Delay reduced to 2 weeks and plan is to absorb this by the end of Oct'26
08Sep26: Delay reduced to 2 weeks and plan is to absorb this by the end of Oct'26</t>
        </is>
      </c>
      <c r="D107" s="388" t="inlineStr">
        <is>
          <t>Shomik, Rohan, Maruti</t>
        </is>
      </c>
      <c r="E107" s="379" t="inlineStr">
        <is>
          <t>7/31/2026
31Oct-2026</t>
        </is>
      </c>
      <c r="F107" s="380" t="n">
        <v>3</v>
      </c>
    </row>
    <row r="108" ht="62.45" customHeight="1">
      <c r="A108" s="671" t="n"/>
      <c r="B108" s="671" t="n"/>
      <c r="C108" s="671" t="n"/>
      <c r="D108" s="671" t="n"/>
      <c r="E108" s="671" t="n"/>
      <c r="F108" s="671" t="n"/>
    </row>
    <row r="109" hidden="1" outlineLevel="1" ht="17.25" customHeight="1">
      <c r="A109" s="382" t="inlineStr">
        <is>
          <t xml:space="preserve">% CTP </t>
        </is>
      </c>
      <c r="B109" s="388" t="inlineStr">
        <is>
          <t>84.2% Customer Target Price (CTP) realisation in CEE &amp; UK for Zenition portfolio for YTD 2026. It was 92% CTP realisation for same period in 2025</t>
        </is>
      </c>
      <c r="C109" s="388" t="inlineStr">
        <is>
          <t>Z70 discounting control for Europe. Zone CP escalation threshold changed from standard delegation to -7%. 3% indexation planned for July.</t>
        </is>
      </c>
      <c r="D109" s="388" t="inlineStr">
        <is>
          <t>PMs and Intekhab</t>
        </is>
      </c>
      <c r="E109" s="379" t="n">
        <v>46217</v>
      </c>
      <c r="F109" s="380" t="n">
        <v>5</v>
      </c>
    </row>
    <row r="110" hidden="1" outlineLevel="1" ht="34.5" customHeight="1">
      <c r="A110" s="671" t="n"/>
      <c r="B110" s="671" t="n"/>
      <c r="C110" s="671" t="n"/>
      <c r="D110" s="671" t="n"/>
      <c r="E110" s="671" t="n"/>
      <c r="F110" s="671" t="n"/>
    </row>
    <row r="111" collapsed="1" ht="39.75" customHeight="1">
      <c r="A111" s="310" t="inlineStr">
        <is>
          <t xml:space="preserve">% CTP </t>
        </is>
      </c>
      <c r="B111" s="401" t="inlineStr">
        <is>
          <t xml:space="preserve">Driving up price of Z90 in US &amp; EU and in effect the pricing of portfolio is improved </t>
        </is>
      </c>
      <c r="C111" s="402" t="inlineStr">
        <is>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is>
      </c>
      <c r="D111" s="401" t="inlineStr">
        <is>
          <t>Pedro Sanches</t>
        </is>
      </c>
      <c r="E111" s="403" t="n">
        <v>46264</v>
      </c>
      <c r="F111" s="404" t="n">
        <v>3</v>
      </c>
    </row>
    <row r="112" ht="123.75" customHeight="1" thickBot="1">
      <c r="A112" s="311" t="n"/>
      <c r="B112" s="685" t="n"/>
      <c r="C112" s="685" t="n"/>
      <c r="D112" s="685" t="n"/>
      <c r="E112" s="685" t="n"/>
      <c r="F112" s="733" t="n"/>
    </row>
    <row r="113" hidden="1" outlineLevel="1" ht="36" customHeight="1">
      <c r="A113" s="364" t="inlineStr">
        <is>
          <t xml:space="preserve">% CTP </t>
        </is>
      </c>
      <c r="B113" s="352" t="inlineStr">
        <is>
          <t>NAR contributes -ve Price realisation albeit  only -3%</t>
        </is>
      </c>
      <c r="C113" s="352" t="inlineStr">
        <is>
          <t xml:space="preserve">Reimbursement for EP procedures in ASC centers since Jan 2026. Webinar and asset release on Z90  value prop and positioning in  EP; Training completed for NAR </t>
        </is>
      </c>
      <c r="D113" s="352" t="inlineStr">
        <is>
          <t>Pedro Sanches</t>
        </is>
      </c>
      <c r="E113" s="367" t="n">
        <v>46157</v>
      </c>
      <c r="F113" s="371" t="n">
        <v>5</v>
      </c>
    </row>
    <row r="114" hidden="1" outlineLevel="1" ht="36" customHeight="1">
      <c r="A114" s="732" t="n"/>
      <c r="B114" s="685" t="n"/>
      <c r="C114" s="685" t="n"/>
      <c r="D114" s="685" t="n"/>
      <c r="E114" s="685" t="n"/>
      <c r="F114" s="733" t="n"/>
    </row>
    <row r="115" hidden="1" outlineLevel="1" ht="33" customHeight="1">
      <c r="A115" s="729" t="inlineStr">
        <is>
          <t>Sales Training</t>
        </is>
      </c>
      <c r="B115" s="388" t="inlineStr">
        <is>
          <t>Cancellation of Growth Training</t>
        </is>
      </c>
      <c r="C115" s="388" t="inlineStr">
        <is>
          <t>Sales Training planned for  LATAM and  Japan  in  April'26 and May '26 respectively</t>
        </is>
      </c>
      <c r="D115" s="388" t="inlineStr">
        <is>
          <t>Santosh Shivle</t>
        </is>
      </c>
      <c r="E115" s="379" t="n">
        <v>46172</v>
      </c>
      <c r="F115" s="700" t="n">
        <v>5</v>
      </c>
    </row>
    <row r="116" hidden="1" outlineLevel="1" ht="25.5" customHeight="1" thickBot="1">
      <c r="A116" s="705" t="n"/>
      <c r="B116" s="671" t="n"/>
      <c r="C116" s="671" t="n"/>
      <c r="D116" s="671" t="n"/>
      <c r="E116" s="671" t="n"/>
      <c r="F116" s="672" t="n"/>
      <c r="G116" s="52" t="n"/>
    </row>
    <row r="117" collapsed="1" ht="45" customHeight="1">
      <c r="A117" s="550" t="inlineStr">
        <is>
          <t>Action not assigned</t>
        </is>
      </c>
      <c r="B117" s="550" t="inlineStr">
        <is>
          <t>Action assigned</t>
        </is>
      </c>
      <c r="C117" s="550" t="inlineStr">
        <is>
          <t>Action started</t>
        </is>
      </c>
      <c r="D117" s="550" t="inlineStr">
        <is>
          <t>Action in progress</t>
        </is>
      </c>
      <c r="E117" s="757" t="inlineStr">
        <is>
          <t>Action completed</t>
        </is>
      </c>
      <c r="F117" s="716" t="n"/>
      <c r="G117" s="52" t="n"/>
    </row>
    <row r="118" ht="21.75" customHeight="1">
      <c r="A118" s="52" t="n"/>
      <c r="C118" s="52" t="n"/>
      <c r="D118" s="52" t="n"/>
      <c r="E118" s="52" t="n"/>
      <c r="F118" s="52" t="n"/>
      <c r="G118" s="52" t="n"/>
    </row>
    <row r="119" ht="36" customHeight="1">
      <c r="G119" s="52" t="n"/>
    </row>
    <row r="120" ht="21.75" customHeight="1">
      <c r="G120" s="52" t="n"/>
    </row>
    <row r="121" ht="21.75" customHeight="1">
      <c r="G121" s="52" t="n"/>
    </row>
    <row r="122" ht="21.75" customHeight="1">
      <c r="G122" s="52" t="n"/>
    </row>
    <row r="123" ht="21.75" customHeight="1">
      <c r="G123" s="52" t="n"/>
    </row>
    <row r="124" ht="21.75" customHeight="1">
      <c r="G124" s="52" t="n"/>
      <c r="H124" s="52" t="n"/>
    </row>
    <row r="125" ht="21.75" customHeight="1">
      <c r="G125" s="52" t="n"/>
    </row>
    <row r="126" ht="21.75" customHeight="1">
      <c r="B126" s="52" t="inlineStr">
        <is>
          <t>Notes Rohan</t>
        </is>
      </c>
      <c r="G126" s="52" t="n"/>
    </row>
    <row r="127" ht="87" customHeight="1">
      <c r="B127" s="293" t="inlineStr">
        <is>
          <t xml:space="preserve">-IB asset is red due to service claims
-Product imagery / Application for FD17 is red due to delay of STP files of MUS (make up sheet)
</t>
        </is>
      </c>
      <c r="G127" s="52" t="n"/>
    </row>
    <row r="128" ht="21.75" customHeight="1">
      <c r="G128" s="52" t="n"/>
    </row>
    <row r="129" ht="21.75" customHeight="1">
      <c r="G129" s="52" t="n"/>
    </row>
    <row r="130">
      <c r="G130" s="52" t="n"/>
    </row>
  </sheetData>
  <mergeCells count="204">
    <mergeCell ref="E8:E9"/>
    <mergeCell ref="G8:G9"/>
    <mergeCell ref="D99:D100"/>
    <mergeCell ref="F99:F100"/>
    <mergeCell ref="A105:A106"/>
    <mergeCell ref="A16:A17"/>
    <mergeCell ref="C10:C11"/>
    <mergeCell ref="C16:C17"/>
    <mergeCell ref="F95:F96"/>
    <mergeCell ref="E10:E11"/>
    <mergeCell ref="B101:B102"/>
    <mergeCell ref="M90:M91"/>
    <mergeCell ref="G10:G11"/>
    <mergeCell ref="F18:F19"/>
    <mergeCell ref="D101:D102"/>
    <mergeCell ref="B14:B15"/>
    <mergeCell ref="F101:F102"/>
    <mergeCell ref="E87:E88"/>
    <mergeCell ref="A99:A100"/>
    <mergeCell ref="C93:C94"/>
    <mergeCell ref="A113:A114"/>
    <mergeCell ref="K90:K91"/>
    <mergeCell ref="H94:H95"/>
    <mergeCell ref="A91:A92"/>
    <mergeCell ref="D87:D88"/>
    <mergeCell ref="A85:A86"/>
    <mergeCell ref="D16:D17"/>
    <mergeCell ref="E89:E90"/>
    <mergeCell ref="G18:G19"/>
    <mergeCell ref="B6:B7"/>
    <mergeCell ref="H90:H91"/>
    <mergeCell ref="A81:F81"/>
    <mergeCell ref="C105:C106"/>
    <mergeCell ref="E105:E106"/>
    <mergeCell ref="B103:B104"/>
    <mergeCell ref="A22:A23"/>
    <mergeCell ref="D18:D19"/>
    <mergeCell ref="D103:D104"/>
    <mergeCell ref="E113:E114"/>
    <mergeCell ref="J94:J95"/>
    <mergeCell ref="L94:L95"/>
    <mergeCell ref="D8:D9"/>
    <mergeCell ref="A20:A21"/>
    <mergeCell ref="N90:N91"/>
    <mergeCell ref="E101:E102"/>
    <mergeCell ref="E115:E116"/>
    <mergeCell ref="G22:G23"/>
    <mergeCell ref="I84:I85"/>
    <mergeCell ref="H92:H93"/>
    <mergeCell ref="D10:D11"/>
    <mergeCell ref="B91:B92"/>
    <mergeCell ref="I86:I87"/>
    <mergeCell ref="C111:C112"/>
    <mergeCell ref="E93:E94"/>
    <mergeCell ref="C6:C7"/>
    <mergeCell ref="F16:F17"/>
    <mergeCell ref="B97:B98"/>
    <mergeCell ref="C14:C15"/>
    <mergeCell ref="E14:E15"/>
    <mergeCell ref="K92:K93"/>
    <mergeCell ref="B93:B94"/>
    <mergeCell ref="E117:F117"/>
    <mergeCell ref="F83:F84"/>
    <mergeCell ref="A45:B45"/>
    <mergeCell ref="A103:A104"/>
    <mergeCell ref="C85:C86"/>
    <mergeCell ref="C97:C98"/>
    <mergeCell ref="K94:K95"/>
    <mergeCell ref="F20:F21"/>
    <mergeCell ref="M94:M95"/>
    <mergeCell ref="O92:O93"/>
    <mergeCell ref="F85:F86"/>
    <mergeCell ref="A87:A88"/>
    <mergeCell ref="C109:C110"/>
    <mergeCell ref="E103:E104"/>
    <mergeCell ref="N92:N93"/>
    <mergeCell ref="F22:F23"/>
    <mergeCell ref="A89:A90"/>
    <mergeCell ref="L84:L85"/>
    <mergeCell ref="F109:F110"/>
    <mergeCell ref="C95:C96"/>
    <mergeCell ref="N84:N85"/>
    <mergeCell ref="A8:A9"/>
    <mergeCell ref="E95:E96"/>
    <mergeCell ref="C8:C9"/>
    <mergeCell ref="E91:E92"/>
    <mergeCell ref="B95:B96"/>
    <mergeCell ref="L86:L87"/>
    <mergeCell ref="F111:F112"/>
    <mergeCell ref="A115:A116"/>
    <mergeCell ref="N86:N87"/>
    <mergeCell ref="A10:A11"/>
    <mergeCell ref="E97:E98"/>
    <mergeCell ref="C87:C88"/>
    <mergeCell ref="C83:C84"/>
    <mergeCell ref="E83:E84"/>
    <mergeCell ref="M92:M93"/>
    <mergeCell ref="A107:A108"/>
    <mergeCell ref="O86:O87"/>
    <mergeCell ref="B16:B17"/>
    <mergeCell ref="C107:C108"/>
    <mergeCell ref="N94:N95"/>
    <mergeCell ref="J92:J93"/>
    <mergeCell ref="C101:C102"/>
    <mergeCell ref="C18:C19"/>
    <mergeCell ref="F10:F11"/>
    <mergeCell ref="C103:C104"/>
    <mergeCell ref="H82:O82"/>
    <mergeCell ref="B18:B19"/>
    <mergeCell ref="C113:C114"/>
    <mergeCell ref="C20:C21"/>
    <mergeCell ref="E20:E21"/>
    <mergeCell ref="B8:B9"/>
    <mergeCell ref="B46:F46"/>
    <mergeCell ref="A6:A7"/>
    <mergeCell ref="F89:F90"/>
    <mergeCell ref="B105:B106"/>
    <mergeCell ref="C115:C116"/>
    <mergeCell ref="C22:C23"/>
    <mergeCell ref="D105:D106"/>
    <mergeCell ref="F8:F9"/>
    <mergeCell ref="F113:F114"/>
    <mergeCell ref="D115:D116"/>
    <mergeCell ref="F91:F92"/>
    <mergeCell ref="E99:E100"/>
    <mergeCell ref="G6:G7"/>
    <mergeCell ref="B107:B108"/>
    <mergeCell ref="D107:D108"/>
    <mergeCell ref="A3:B3"/>
    <mergeCell ref="A14:A15"/>
    <mergeCell ref="F115:F116"/>
    <mergeCell ref="H84:H85"/>
    <mergeCell ref="F93:F94"/>
    <mergeCell ref="F105:F106"/>
    <mergeCell ref="B83:B84"/>
    <mergeCell ref="D83:D84"/>
    <mergeCell ref="A42:E42"/>
    <mergeCell ref="C91:C92"/>
    <mergeCell ref="J90:J91"/>
    <mergeCell ref="B99:B100"/>
    <mergeCell ref="H86:H87"/>
    <mergeCell ref="D93:D94"/>
    <mergeCell ref="L90:L91"/>
    <mergeCell ref="B20:B21"/>
    <mergeCell ref="A97:A98"/>
    <mergeCell ref="I94:I95"/>
    <mergeCell ref="D20:D21"/>
    <mergeCell ref="G16:G17"/>
    <mergeCell ref="E16:E17"/>
    <mergeCell ref="D14:D15"/>
    <mergeCell ref="D85:D86"/>
    <mergeCell ref="F14:F15"/>
    <mergeCell ref="A93:A94"/>
    <mergeCell ref="I90:I91"/>
    <mergeCell ref="B22:B23"/>
    <mergeCell ref="E18:E19"/>
    <mergeCell ref="A83:A84"/>
    <mergeCell ref="B85:B86"/>
    <mergeCell ref="O90:O91"/>
    <mergeCell ref="F87:F88"/>
    <mergeCell ref="D6:D7"/>
    <mergeCell ref="F6:F7"/>
    <mergeCell ref="B109:B110"/>
    <mergeCell ref="J84:J85"/>
    <mergeCell ref="D109:D110"/>
    <mergeCell ref="F103:F104"/>
    <mergeCell ref="C89:C90"/>
    <mergeCell ref="E107:E108"/>
    <mergeCell ref="B111:B112"/>
    <mergeCell ref="J86:J87"/>
    <mergeCell ref="D111:D112"/>
    <mergeCell ref="K84:K85"/>
    <mergeCell ref="M84:M85"/>
    <mergeCell ref="D95:D96"/>
    <mergeCell ref="L92:L93"/>
    <mergeCell ref="O84:O85"/>
    <mergeCell ref="D91:D92"/>
    <mergeCell ref="C99:C100"/>
    <mergeCell ref="A95:A96"/>
    <mergeCell ref="I92:I93"/>
    <mergeCell ref="K86:K87"/>
    <mergeCell ref="E6:E7"/>
    <mergeCell ref="M86:M87"/>
    <mergeCell ref="B10:B11"/>
    <mergeCell ref="D97:D98"/>
    <mergeCell ref="G20:G21"/>
    <mergeCell ref="A18:A19"/>
    <mergeCell ref="A101:A102"/>
    <mergeCell ref="F97:F98"/>
    <mergeCell ref="G14:G15"/>
    <mergeCell ref="B87:B88"/>
    <mergeCell ref="A109:A110"/>
    <mergeCell ref="E85:E86"/>
    <mergeCell ref="B89:B90"/>
    <mergeCell ref="O94:O95"/>
    <mergeCell ref="D89:D90"/>
    <mergeCell ref="E109:E110"/>
    <mergeCell ref="B113:B114"/>
    <mergeCell ref="D113:D114"/>
    <mergeCell ref="F107:F108"/>
    <mergeCell ref="E22:E23"/>
    <mergeCell ref="E111:E112"/>
    <mergeCell ref="B115:B116"/>
    <mergeCell ref="D22:D23"/>
  </mergeCells>
  <conditionalFormatting sqref="A16 A91:A111 A113:A116 H84:H95">
    <cfRule type="containsBlanks" priority="105" dxfId="3">
      <formula>LEN(TRIM(A16))=0</formula>
    </cfRule>
  </conditionalFormatting>
  <conditionalFormatting sqref="A57">
    <cfRule type="containsBlanks" priority="67" dxfId="3">
      <formula>LEN(TRIM(A57))=0</formula>
    </cfRule>
  </conditionalFormatting>
  <conditionalFormatting sqref="A83:A89">
    <cfRule type="containsBlanks" priority="78" dxfId="3">
      <formula>LEN(TRIM(A83))=0</formula>
    </cfRule>
  </conditionalFormatting>
  <conditionalFormatting sqref="A48:C48 A51 A54:C54 A63:F63 B52:F52 B55:F55 B64:F64 C51:F51 E48:F48 E54:F54">
    <cfRule type="containsBlanks" priority="103" dxfId="3">
      <formula>LEN(TRIM(A48))=0</formula>
    </cfRule>
  </conditionalFormatting>
  <conditionalFormatting sqref="A60:F60 B61:F61">
    <cfRule type="containsBlanks" priority="26" dxfId="3">
      <formula>LEN(TRIM(A60))=0</formula>
    </cfRule>
  </conditionalFormatting>
  <conditionalFormatting sqref="A6:G6 A8:G8">
    <cfRule type="containsBlanks" priority="116" dxfId="3">
      <formula>LEN(TRIM(A6))=0</formula>
    </cfRule>
  </conditionalFormatting>
  <conditionalFormatting sqref="A14:G14">
    <cfRule type="containsBlanks" priority="125" dxfId="3">
      <formula>LEN(TRIM(A14))=0</formula>
    </cfRule>
  </conditionalFormatting>
  <conditionalFormatting sqref="A18:G18">
    <cfRule type="containsBlanks" priority="111" dxfId="3">
      <formula>LEN(TRIM(A18))=0</formula>
    </cfRule>
  </conditionalFormatting>
  <conditionalFormatting sqref="A20:G20">
    <cfRule type="containsBlanks" priority="90" dxfId="3">
      <formula>LEN(TRIM(A20))=0</formula>
    </cfRule>
  </conditionalFormatting>
  <conditionalFormatting sqref="A22:G22">
    <cfRule type="containsBlanks" priority="113" dxfId="3">
      <formula>LEN(TRIM(A22))=0</formula>
    </cfRule>
  </conditionalFormatting>
  <conditionalFormatting sqref="B57:C58">
    <cfRule type="containsBlanks" priority="29" dxfId="3">
      <formula>LEN(TRIM(B57))=0</formula>
    </cfRule>
  </conditionalFormatting>
  <conditionalFormatting sqref="B83:E83">
    <cfRule type="containsBlanks" priority="86" dxfId="3">
      <formula>LEN(TRIM(B83))=0</formula>
    </cfRule>
  </conditionalFormatting>
  <conditionalFormatting sqref="B85:E85">
    <cfRule type="containsBlanks" priority="5" dxfId="3">
      <formula>LEN(TRIM(B85))=0</formula>
    </cfRule>
  </conditionalFormatting>
  <conditionalFormatting sqref="B95:E95">
    <cfRule type="containsBlanks" priority="83" dxfId="3">
      <formula>LEN(TRIM(B95))=0</formula>
    </cfRule>
  </conditionalFormatting>
  <conditionalFormatting sqref="B97:E97">
    <cfRule type="containsBlanks" priority="93" dxfId="3">
      <formula>LEN(TRIM(B97))=0</formula>
    </cfRule>
  </conditionalFormatting>
  <conditionalFormatting sqref="B99:E99">
    <cfRule type="containsBlanks" priority="23" dxfId="3">
      <formula>LEN(TRIM(B99))=0</formula>
    </cfRule>
  </conditionalFormatting>
  <conditionalFormatting sqref="B101:E101">
    <cfRule type="containsBlanks" priority="20" dxfId="3">
      <formula>LEN(TRIM(B101))=0</formula>
    </cfRule>
  </conditionalFormatting>
  <conditionalFormatting sqref="B103:E103">
    <cfRule type="containsBlanks" priority="92" dxfId="3">
      <formula>LEN(TRIM(B103))=0</formula>
    </cfRule>
  </conditionalFormatting>
  <conditionalFormatting sqref="B105:E105">
    <cfRule type="containsBlanks" priority="16" dxfId="3">
      <formula>LEN(TRIM(B105))=0</formula>
    </cfRule>
  </conditionalFormatting>
  <conditionalFormatting sqref="B109:E109">
    <cfRule type="containsBlanks" priority="91" dxfId="3">
      <formula>LEN(TRIM(B109))=0</formula>
    </cfRule>
  </conditionalFormatting>
  <conditionalFormatting sqref="B111:E111">
    <cfRule type="containsBlanks" priority="89" dxfId="3">
      <formula>LEN(TRIM(B111))=0</formula>
    </cfRule>
  </conditionalFormatting>
  <conditionalFormatting sqref="B113:E113">
    <cfRule type="containsBlanks" priority="87" dxfId="3">
      <formula>LEN(TRIM(B113))=0</formula>
    </cfRule>
  </conditionalFormatting>
  <conditionalFormatting sqref="B115:E115">
    <cfRule type="containsBlanks" priority="88" dxfId="3">
      <formula>LEN(TRIM(B115))=0</formula>
    </cfRule>
  </conditionalFormatting>
  <conditionalFormatting sqref="B49:F49">
    <cfRule type="containsBlanks" priority="31" dxfId="3">
      <formula>LEN(TRIM(B49))=0</formula>
    </cfRule>
  </conditionalFormatting>
  <conditionalFormatting sqref="C87:E87">
    <cfRule type="containsBlanks" priority="11" dxfId="3">
      <formula>LEN(TRIM(C87))=0</formula>
    </cfRule>
  </conditionalFormatting>
  <conditionalFormatting sqref="C91:E91">
    <cfRule type="containsBlanks" priority="6" dxfId="3">
      <formula>LEN(TRIM(C91))=0</formula>
    </cfRule>
  </conditionalFormatting>
  <conditionalFormatting sqref="C93:E93">
    <cfRule type="containsBlanks" priority="4" dxfId="3">
      <formula>LEN(TRIM(C93))=0</formula>
    </cfRule>
  </conditionalFormatting>
  <conditionalFormatting sqref="C10:G10">
    <cfRule type="containsBlanks" priority="112" dxfId="3">
      <formula>LEN(TRIM(C10))=0</formula>
    </cfRule>
  </conditionalFormatting>
  <conditionalFormatting sqref="C16:G16">
    <cfRule type="containsBlanks" priority="114" dxfId="3">
      <formula>LEN(TRIM(C16))=0</formula>
    </cfRule>
  </conditionalFormatting>
  <conditionalFormatting sqref="D1 F1">
    <cfRule type="containsBlanks" priority="126" dxfId="3">
      <formula>LEN(TRIM(D1))=0</formula>
    </cfRule>
  </conditionalFormatting>
  <conditionalFormatting sqref="D58:E58">
    <cfRule type="containsBlanks" priority="27" dxfId="3">
      <formula>LEN(TRIM(D58))=0</formula>
    </cfRule>
  </conditionalFormatting>
  <conditionalFormatting sqref="E89">
    <cfRule type="containsBlanks" priority="3" dxfId="3">
      <formula>LEN(TRIM(E89))=0</formula>
    </cfRule>
  </conditionalFormatting>
  <conditionalFormatting sqref="F57:F58">
    <cfRule type="containsBlanks" priority="28" dxfId="3">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priority="132" dxfId="19">
      <formula>AND(#REF!&lt;&gt;"",E83&lt;TODAY(),F83&lt;4)</formula>
    </cfRule>
  </conditionalFormatting>
  <conditionalFormatting sqref="F85">
    <cfRule type="expression" priority="13" dxfId="19">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priority="10" dxfId="19">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priority="2" dxfId="19">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priority="8" dxfId="19">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priority="98" dxfId="19">
      <formula>AND(#REF!&lt;&gt;"",E95&lt;TODAY(),F95&lt;4)</formula>
    </cfRule>
  </conditionalFormatting>
  <conditionalFormatting sqref="F97 F103 F109 F111 F113">
    <cfRule type="expression" priority="136" dxfId="19">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priority="25" dxfId="19">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priority="22" dxfId="19">
      <formula>AND(#REF!&lt;&gt;"",E101&lt;TODAY(),F101&lt;4)</formula>
    </cfRule>
  </conditionalFormatting>
  <conditionalFormatting sqref="F105">
    <cfRule type="expression" priority="19" dxfId="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priority="15" dxfId="19">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priority="95" dxfId="19">
      <formula>AND(#REF!&lt;&gt;"",E115&lt;TODAY(),F115&lt;4)</formula>
    </cfRule>
  </conditionalFormatting>
  <conditionalFormatting sqref="I84:O84 I86:O86 I88:O90 I92:O92 I94:O94">
    <cfRule type="containsBlanks" priority="104" dxfId="3">
      <formula>LEN(TRIM(I84))=0</formula>
    </cfRule>
  </conditionalFormatting>
  <conditionalFormatting sqref="I7:T7">
    <cfRule type="containsBlanks" priority="56" dxfId="3">
      <formula>LEN(TRIM(I7))=0</formula>
    </cfRule>
    <cfRule type="expression" priority="57" dxfId="0">
      <formula>AND(OR($F6="Lower the better", $F6="Lower the Better"), I7&gt;I6)</formula>
    </cfRule>
    <cfRule type="expression" priority="58" dxfId="1">
      <formula>AND(OR($F6="Lower the better", $F6="Lower the Better"), I7&lt;=I6)</formula>
    </cfRule>
    <cfRule type="expression" priority="59" dxfId="0">
      <formula>AND(OR($F6="Higher the better", $F6="Higher the Better"), I7&lt;I6)</formula>
    </cfRule>
    <cfRule type="expression" priority="60" dxfId="1" stopIfTrue="1">
      <formula>AND(OR($F6="Higher the better", $F6="Higher the Better"), I7&gt;=I6)</formula>
    </cfRule>
  </conditionalFormatting>
  <conditionalFormatting sqref="I9:T9 I21:T21 I23:T23">
    <cfRule type="expression" priority="118" dxfId="1">
      <formula>AND(OR($F8="Lower the better", $F8="Lower the Better"), I9&lt;=I8)</formula>
    </cfRule>
    <cfRule type="expression" priority="119" dxfId="0">
      <formula>AND(OR($F8="Higher the better", $F8="Higher the Better"), I9&lt;I8)</formula>
    </cfRule>
    <cfRule type="expression" priority="120" dxfId="1" stopIfTrue="1">
      <formula>AND(OR($F8="Higher the better", $F8="Higher the Better"), I9&gt;=I8)</formula>
    </cfRule>
    <cfRule type="expression" priority="117" dxfId="0">
      <formula>AND(OR($F8="Lower the better", $F8="Lower the Better"), I9&gt;I8)</formula>
    </cfRule>
  </conditionalFormatting>
  <conditionalFormatting sqref="I9:T9">
    <cfRule type="containsBlanks" priority="106" dxfId="3">
      <formula>LEN(TRIM(I9))=0</formula>
    </cfRule>
  </conditionalFormatting>
  <conditionalFormatting sqref="I11:T11">
    <cfRule type="expression" priority="52" dxfId="1">
      <formula>AND(OR($F9="Lower the better", $F9="Lower the Better"), I11&lt;=I9)</formula>
    </cfRule>
    <cfRule type="expression" priority="53" dxfId="0">
      <formula>AND(OR($F9="Higher the better", $F9="Higher the Better"), I11&lt;I9)</formula>
    </cfRule>
    <cfRule type="expression" priority="54" dxfId="1" stopIfTrue="1">
      <formula>AND(OR($F9="Higher the better", $F9="Higher the Better"), I11&gt;=I9)</formula>
    </cfRule>
    <cfRule type="expression" priority="55" dxfId="0">
      <formula>AND(OR($F9="Lower the better", $F9="Lower the Better"), I11&gt;I9)</formula>
    </cfRule>
    <cfRule type="expression" priority="49" dxfId="1">
      <formula>AND(OR($F10="Lower the better", $F10="Lower the Better"), I11&lt;=I10)</formula>
    </cfRule>
    <cfRule type="expression" priority="48" dxfId="0">
      <formula>AND(OR($F10="Lower the better", $F10="Lower the Better"), I11&gt;I10)</formula>
    </cfRule>
    <cfRule type="containsBlanks" priority="47" dxfId="3">
      <formula>LEN(TRIM(I11))=0</formula>
    </cfRule>
    <cfRule type="expression" priority="50" dxfId="0">
      <formula>AND(OR($F10="Higher the better", $F10="Higher the Better"), I11&lt;I10)</formula>
    </cfRule>
    <cfRule type="expression" priority="51" dxfId="1" stopIfTrue="1">
      <formula>AND(OR($F10="Higher the better", $F10="Higher the Better"), I11&gt;=I10)</formula>
    </cfRule>
  </conditionalFormatting>
  <conditionalFormatting sqref="I15:T15">
    <cfRule type="containsBlanks" priority="42" dxfId="3">
      <formula>LEN(TRIM(I15))=0</formula>
    </cfRule>
    <cfRule type="expression" priority="43" dxfId="0">
      <formula>AND(OR($F14="Lower the better", $F14="Lower the Better"), I15&gt;I14)</formula>
    </cfRule>
    <cfRule type="expression" priority="44" dxfId="1">
      <formula>AND(OR($F14="Lower the better", $F14="Lower the Better"), I15&lt;=I14)</formula>
    </cfRule>
    <cfRule type="expression" priority="45" dxfId="0">
      <formula>AND(OR($F14="Higher the better", $F14="Higher the Better"), I15&lt;I14)</formula>
    </cfRule>
    <cfRule type="expression" priority="46" dxfId="1" stopIfTrue="1">
      <formula>AND(OR($F14="Higher the better", $F14="Higher the Better"), I15&gt;=I14)</formula>
    </cfRule>
  </conditionalFormatting>
  <conditionalFormatting sqref="I17:T17">
    <cfRule type="expression" priority="39" dxfId="1">
      <formula>AND(OR($F16="Lower the better", $F16="Lower the Better"), I17&lt;=I16)</formula>
    </cfRule>
    <cfRule type="expression" priority="40" dxfId="0">
      <formula>AND(OR($F16="Higher the better", $F16="Higher the Better"), I17&lt;I16)</formula>
    </cfRule>
    <cfRule type="expression" priority="41" dxfId="1" stopIfTrue="1">
      <formula>AND(OR($F16="Higher the better", $F16="Higher the Better"), I17&gt;=I16)</formula>
    </cfRule>
    <cfRule type="containsBlanks" priority="37" dxfId="3">
      <formula>LEN(TRIM(I17))=0</formula>
    </cfRule>
    <cfRule type="expression" priority="38" dxfId="0">
      <formula>AND(OR($F16="Lower the better", $F16="Lower the Better"), I17&gt;I16)</formula>
    </cfRule>
  </conditionalFormatting>
  <conditionalFormatting sqref="I19:T19">
    <cfRule type="expression" priority="36" dxfId="1" stopIfTrue="1">
      <formula>AND(OR($F18="Higher the better", $F18="Higher the Better"), I19&gt;=I18)</formula>
    </cfRule>
    <cfRule type="expression" priority="35" dxfId="0">
      <formula>AND(OR($F18="Higher the better", $F18="Higher the Better"), I19&lt;I18)</formula>
    </cfRule>
    <cfRule type="expression" priority="34" dxfId="1">
      <formula>AND(OR($F18="Lower the better", $F18="Lower the Better"), I19&lt;=I18)</formula>
    </cfRule>
    <cfRule type="expression" priority="33" dxfId="0">
      <formula>AND(OR($F18="Lower the better", $F18="Lower the Better"), I19&gt;I18)</formula>
    </cfRule>
    <cfRule type="containsBlanks" priority="32" dxfId="3">
      <formula>LEN(TRIM(I19))=0</formula>
    </cfRule>
  </conditionalFormatting>
  <conditionalFormatting sqref="I21:T21 I23:T23">
    <cfRule type="containsBlanks" priority="115" dxfId="3">
      <formula>LEN(TRIM(I21))=0</formula>
    </cfRule>
  </conditionalFormatting>
  <conditionalFormatting sqref="M84:M88 M90:M103">
    <cfRule type="containsText" priority="102" operator="containsText" dxfId="5" text="Yes">
      <formula>NOT(ISERROR(SEARCH("Yes",M84)))</formula>
    </cfRule>
    <cfRule type="containsText" priority="101" operator="containsText" dxfId="6" text="No">
      <formula>NOT(ISERROR(SEARCH("No",M84)))</formula>
    </cfRule>
  </conditionalFormatting>
  <dataValidations count="7">
    <dataValidation sqref="E6:E11 E14:E23" showDropDown="0" showInputMessage="1" showErrorMessage="1" allowBlank="1" type="list">
      <formula1>"%, Mn, No., "</formula1>
    </dataValidation>
    <dataValidation sqref="B1:B2" showDropDown="0" showInputMessage="1" showErrorMessage="1" allowBlank="1" type="list">
      <formula1>"Jan-2026, Feb-2026, Mar-2026, Apr-2026, May-2026, Jun-2026, Jul-2026, Aug-2026, Sep-2026, Oct-2026, Nov-2026, Dec-2026"</formula1>
    </dataValidation>
    <dataValidation sqref="C6:C11 C14:C23" showDropDown="0" showInputMessage="1" showErrorMessage="1" allowBlank="1" type="list">
      <formula1>"&gt;, &lt;, &gt;=, &lt;=, ="</formula1>
    </dataValidation>
    <dataValidation sqref="G6:G11 G14:G23" showDropDown="0" showInputMessage="1" showErrorMessage="1" allowBlank="1" type="list">
      <formula1>"Monthly, Quarterly, Half yearly"</formula1>
    </dataValidation>
    <dataValidation sqref="F6:F11 F14:F23" showDropDown="0" showInputMessage="1" showErrorMessage="1" allowBlank="1" type="list">
      <formula1>"Higher the better, Lower the better"</formula1>
    </dataValidation>
    <dataValidation sqref="M84 M86 M88 M90 M92 M94" showDropDown="0" showInputMessage="1" showErrorMessage="1" allowBlank="1" type="list">
      <formula1>"Yes, No"</formula1>
    </dataValidation>
    <dataValidation sqref="F83 F85 F87 F89 F91 F93 F95 F97 F99 F101 F103 F105 F107 F109 F111 F113 F115 G84 G86 G88 G90 G98" showDropDown="0" showInputMessage="1" showErrorMessage="1" allowBlank="1" type="list">
      <formula1>"1,2,3,4,5"</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9.xml><?xml version="1.0" encoding="utf-8"?>
<worksheet xmlns="http://schemas.openxmlformats.org/spreadsheetml/2006/main">
  <sheetPr codeName="Sheet12">
    <outlinePr summaryBelow="1" summaryRight="1"/>
    <pageSetUpPr/>
  </sheetPr>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baseColWidth="8" defaultColWidth="8.42578125" defaultRowHeight="14.45"/>
  <cols>
    <col width="23.42578125" customWidth="1" style="53" min="1" max="1"/>
    <col width="32" customWidth="1" style="52" min="2" max="2"/>
    <col width="27.28515625" customWidth="1" style="53" min="3" max="3"/>
    <col width="12.28515625" customWidth="1" style="53" min="4" max="4"/>
    <col width="16.28515625" customWidth="1" style="53" min="5" max="5"/>
    <col width="13.42578125" bestFit="1" customWidth="1" style="53" min="6" max="6"/>
    <col width="10.7109375" bestFit="1" customWidth="1" style="53" min="7" max="7"/>
    <col width="14.42578125" customWidth="1" style="53" min="8" max="8"/>
    <col width="16" bestFit="1" customWidth="1" style="53" min="9" max="9"/>
    <col width="14.7109375" bestFit="1" customWidth="1" style="53" min="10" max="10"/>
    <col width="18.42578125" bestFit="1" customWidth="1" style="53" min="11" max="12"/>
    <col width="15.7109375" bestFit="1" customWidth="1" style="53" min="13" max="13"/>
    <col width="14.42578125" bestFit="1" customWidth="1" style="53" min="14" max="14"/>
    <col width="11" bestFit="1" customWidth="1" style="53" min="15" max="15"/>
    <col width="17.42578125" customWidth="1" style="53" min="16" max="16"/>
    <col width="14.42578125" customWidth="1" style="53" min="17" max="20"/>
    <col width="13.42578125" customWidth="1" style="53" min="21" max="21"/>
    <col width="17.42578125" customWidth="1" style="53" min="22" max="22"/>
    <col hidden="1" width="8.42578125" customWidth="1" style="53" min="23" max="24"/>
    <col hidden="1" width="14.42578125" customWidth="1" style="53" min="25" max="25"/>
    <col hidden="1" width="8.42578125" customWidth="1" style="53" min="26" max="35"/>
    <col width="8.42578125" customWidth="1" style="53" min="36" max="49"/>
    <col width="8.42578125" customWidth="1" style="53" min="50" max="16384"/>
  </cols>
  <sheetData>
    <row r="1">
      <c r="A1" s="93" t="inlineStr">
        <is>
          <t>Month</t>
        </is>
      </c>
      <c r="B1" s="752" t="n">
        <v>46023</v>
      </c>
      <c r="C1" s="93" t="inlineStr">
        <is>
          <t xml:space="preserve">MT Owner: </t>
        </is>
      </c>
      <c r="D1" s="95" t="inlineStr">
        <is>
          <t>Intekhab M</t>
        </is>
      </c>
      <c r="E1" s="93" t="inlineStr">
        <is>
          <t>MT Delegate:</t>
        </is>
      </c>
      <c r="F1" s="95" t="inlineStr">
        <is>
          <t>Tarun S</t>
        </is>
      </c>
      <c r="W1" s="53" t="inlineStr">
        <is>
          <t>Actual green</t>
        </is>
      </c>
      <c r="X1" s="53">
        <f>IF(I15&lt;&gt;"",IF($F14="Higher the better",IF(I15&gt;=I14,I15,NA()),IF(I15&lt;=I14,I15,NA())),NA())</f>
        <v/>
      </c>
      <c r="Y1" s="53">
        <f>IF(J15&lt;&gt;"",IF($F14="Higher the better",IF(J15&gt;=J14,J15,NA()),IF(J15&lt;=J14,J15,NA())),NA())</f>
        <v/>
      </c>
      <c r="Z1" s="53">
        <f>IF(K15&lt;&gt;"",IF($F14="Higher the better",IF(K15&gt;=K14,K15,NA()),IF(K15&lt;=K14,K15,NA())),NA())</f>
        <v/>
      </c>
      <c r="AA1" s="53">
        <f>IF(L15&lt;&gt;"",IF($F14="Higher the better",IF(L15&gt;=L14,L15,NA()),IF(L15&lt;=L14,L15,NA())),NA())</f>
        <v/>
      </c>
      <c r="AB1" s="53">
        <f>IF(M15&lt;&gt;"",IF($F14="Higher the better",IF(M15&gt;=M14,M15,NA()),IF(M15&lt;=M14,M15,NA())),NA())</f>
        <v/>
      </c>
      <c r="AC1" s="53">
        <f>IF(N15&lt;&gt;"",IF($F14="Higher the better",IF(N15&gt;=N14,N15,NA()),IF(N15&lt;=N14,N15,NA())),NA())</f>
        <v/>
      </c>
      <c r="AD1" s="53">
        <f>IF(O15&lt;&gt;"",IF($F14="Higher the better",IF(O15&gt;=O14,O15,NA()),IF(O15&lt;=O14,O15,NA())),NA())</f>
        <v/>
      </c>
      <c r="AE1" s="53">
        <f>IF(P15&lt;&gt;"",IF($F14="Higher the better",IF(P15&gt;=P14,P15,NA()),IF(P15&lt;=P14,P15,NA())),NA())</f>
        <v/>
      </c>
      <c r="AF1" s="53">
        <f>IF(Q15&lt;&gt;"",IF($F14="Higher the better",IF(Q15&gt;=Q14,Q15,NA()),IF(Q15&lt;=Q14,Q15,NA())),NA())</f>
        <v/>
      </c>
      <c r="AG1" s="53">
        <f>IF(R15&lt;&gt;"",IF($F14="Higher the better",IF(R15&gt;=R14,R15,NA()),IF(R15&lt;=R14,R15,NA())),NA())</f>
        <v/>
      </c>
      <c r="AH1" s="53">
        <f>IF(S15&lt;&gt;"",IF($F14="Higher the better",IF(S15&gt;=S14,S15,NA()),IF(S15&lt;=S14,S15,NA())),NA())</f>
        <v/>
      </c>
      <c r="AI1" s="53">
        <f>IF(T15&lt;&gt;"",IF($F14="Higher the better",IF(T15&gt;=T14,T15,NA()),IF(T15&lt;=T14,T15,NA())),NA())</f>
        <v/>
      </c>
    </row>
    <row r="2" hidden="1" ht="19.5" customHeight="1">
      <c r="A2" s="96" t="n"/>
      <c r="B2" s="753" t="n"/>
      <c r="D2" s="96" t="n"/>
      <c r="E2" s="96" t="n"/>
      <c r="W2" s="53" t="inlineStr">
        <is>
          <t>Actual red</t>
        </is>
      </c>
      <c r="X2" s="53">
        <f>IF(I15&lt;&gt;"",IF($F14="Higher the better",IF(I15&lt;I14,I15,NA()),IF(I15&gt;I14,I15,NA())),NA())</f>
        <v/>
      </c>
      <c r="Y2" s="53">
        <f>IF(J15&lt;&gt;"",IF($F14="Higher the better",IF(J15&lt;J14,J15,NA()),IF(J15&gt;J14,J15,NA())),NA())</f>
        <v/>
      </c>
      <c r="Z2" s="53">
        <f>IF(K15&lt;&gt;"",IF($F14="Higher the better",IF(K15&lt;K14,K15,NA()),IF(K15&gt;K14,K15,NA())),NA())</f>
        <v/>
      </c>
      <c r="AA2" s="53">
        <f>IF(L15&lt;&gt;"",IF($F14="Higher the better",IF(L15&lt;L14,L15,NA()),IF(L15&gt;L14,L15,NA())),NA())</f>
        <v/>
      </c>
      <c r="AB2" s="53">
        <f>IF(M15&lt;&gt;"",IF($F14="Higher the better",IF(M15&lt;M14,M15,NA()),IF(M15&gt;M14,M15,NA())),NA())</f>
        <v/>
      </c>
      <c r="AC2" s="53">
        <f>IF(N15&lt;&gt;"",IF($F14="Higher the better",IF(N15&lt;N14,N15,NA()),IF(N15&gt;N14,N15,NA())),NA())</f>
        <v/>
      </c>
      <c r="AD2" s="53">
        <f>IF(O15&lt;&gt;"",IF($F14="Higher the better",IF(O15&lt;O14,O15,NA()),IF(O15&gt;O14,O15,NA())),NA())</f>
        <v/>
      </c>
      <c r="AE2" s="53">
        <f>IF(P15&lt;&gt;"",IF($F14="Higher the better",IF(P15&lt;P14,P15,NA()),IF(P15&gt;P14,P15,NA())),NA())</f>
        <v/>
      </c>
      <c r="AF2" s="53">
        <f>IF(Q15&lt;&gt;"",IF($F14="Higher the better",IF(Q15&lt;Q14,Q15,NA()),IF(Q15&gt;Q14,Q15,NA())),NA())</f>
        <v/>
      </c>
      <c r="AG2" s="53">
        <f>IF(R15&lt;&gt;"",IF($F14="Higher the better",IF(R15&lt;R14,R15,NA()),IF(R15&gt;R14,R15,NA())),NA())</f>
        <v/>
      </c>
      <c r="AH2" s="53">
        <f>IF(S15&lt;&gt;"",IF($F14="Higher the better",IF(S15&lt;S14,S15,NA()),IF(S15&gt;S14,S15,NA())),NA())</f>
        <v/>
      </c>
      <c r="AI2" s="53">
        <f>IF(T15&lt;&gt;"",IF($F14="Higher the better",IF(T15&lt;T14,T15,NA()),IF(T15&gt;T14,T15,NA())),NA())</f>
        <v/>
      </c>
    </row>
    <row r="3" ht="21" customHeight="1">
      <c r="A3" s="347" t="inlineStr">
        <is>
          <t>Marketing DMB</t>
        </is>
      </c>
      <c r="W3" s="53" t="inlineStr">
        <is>
          <t>Actual green</t>
        </is>
      </c>
      <c r="X3" s="53">
        <f>IF(I17&lt;&gt;"",IF($F16="Higher the better",IF(I17&gt;=I16,I17,NA()),IF(I17&lt;=I16,I17,NA())),NA())</f>
        <v/>
      </c>
      <c r="Y3" s="53">
        <f>IF(J17&lt;&gt;"",IF($F16="Higher the better",IF(J17&gt;=J16,J17,NA()),IF(J17&lt;=J16,J17,NA())),NA())</f>
        <v/>
      </c>
      <c r="Z3" s="53">
        <f>IF(K17&lt;&gt;"",IF($F16="Higher the better",IF(K17&gt;=K16,K17,NA()),IF(K17&lt;=K16,K17,NA())),NA())</f>
        <v/>
      </c>
      <c r="AA3" s="53">
        <f>IF(L17&lt;&gt;"",IF($F16="Higher the better",IF(L17&gt;=L16,L17,NA()),IF(L17&lt;=L16,L17,NA())),NA())</f>
        <v/>
      </c>
      <c r="AB3" s="53">
        <f>IF(M17&lt;&gt;"",IF($F16="Higher the better",IF(M17&gt;=M16,M17,NA()),IF(M17&lt;=M16,M17,NA())),NA())</f>
        <v/>
      </c>
      <c r="AC3" s="53">
        <f>IF(N17&lt;&gt;"",IF($F16="Higher the better",IF(N17&gt;=N16,N17,NA()),IF(N17&lt;=N16,N17,NA())),NA())</f>
        <v/>
      </c>
      <c r="AD3" s="53">
        <f>IF(O17&lt;&gt;"",IF($F16="Higher the better",IF(O17&gt;=O16,O17,NA()),IF(O17&lt;=O16,O17,NA())),NA())</f>
        <v/>
      </c>
      <c r="AE3" s="53">
        <f>IF(P17&lt;&gt;"",IF($F16="Higher the better",IF(P17&gt;=P16,P17,NA()),IF(P17&lt;=P16,P17,NA())),NA())</f>
        <v/>
      </c>
      <c r="AF3" s="53">
        <f>IF(Q17&lt;&gt;"",IF($F16="Higher the better",IF(Q17&gt;=Q16,Q17,NA()),IF(Q17&lt;=Q16,Q17,NA())),NA())</f>
        <v/>
      </c>
      <c r="AG3" s="53">
        <f>IF(R17&lt;&gt;"",IF($F16="Higher the better",IF(R17&gt;=R16,R17,NA()),IF(R17&lt;=R16,R17,NA())),NA())</f>
        <v/>
      </c>
      <c r="AH3" s="53">
        <f>IF(S17&lt;&gt;"",IF($F16="Higher the better",IF(S17&gt;=S16,S17,NA()),IF(S17&lt;=S16,S17,NA())),NA())</f>
        <v/>
      </c>
      <c r="AI3" s="53">
        <f>IF(T17&lt;&gt;"",IF($F16="Higher the better",IF(T17&gt;=T16,T17,NA()),IF(T17&lt;=T16,T17,NA())),NA())</f>
        <v/>
      </c>
    </row>
    <row r="4" ht="18.75" customHeight="1">
      <c r="A4" s="98" t="inlineStr">
        <is>
          <t>Mandatory Outcome KPI's (1-3)</t>
        </is>
      </c>
      <c r="B4" s="98" t="n"/>
      <c r="W4" s="53" t="inlineStr">
        <is>
          <t>Actual red</t>
        </is>
      </c>
      <c r="X4" s="53">
        <f>IF(I17&lt;&gt;"",IF($F16="Higher the better",IF(I17&lt;I16,I17,NA()),IF(I17&gt;I16,I17,NA())),NA())</f>
        <v/>
      </c>
      <c r="Y4" s="53">
        <f>IF(J17&lt;&gt;"",IF($F16="Higher the better",IF(J17&lt;J16,J17,NA()),IF(J17&gt;J16,J17,NA())),NA())</f>
        <v/>
      </c>
      <c r="Z4" s="53">
        <f>IF(K17&lt;&gt;"",IF($F16="Higher the better",IF(K17&lt;K16,K17,NA()),IF(K17&gt;K16,K17,NA())),NA())</f>
        <v/>
      </c>
      <c r="AA4" s="53">
        <f>IF(L17&lt;&gt;"",IF($F16="Higher the better",IF(L17&lt;L16,L17,NA()),IF(L17&gt;L16,L17,NA())),NA())</f>
        <v/>
      </c>
      <c r="AB4" s="53">
        <f>IF(M17&lt;&gt;"",IF($F16="Higher the better",IF(M17&lt;M16,M17,NA()),IF(M17&gt;M16,M17,NA())),NA())</f>
        <v/>
      </c>
      <c r="AC4" s="53">
        <f>IF(N17&lt;&gt;"",IF($F16="Higher the better",IF(N17&lt;N16,N17,NA()),IF(N17&gt;N16,N17,NA())),NA())</f>
        <v/>
      </c>
      <c r="AD4" s="53">
        <f>IF(O17&lt;&gt;"",IF($F16="Higher the better",IF(O17&lt;O16,O17,NA()),IF(O17&gt;O16,O17,NA())),NA())</f>
        <v/>
      </c>
      <c r="AE4" s="53">
        <f>IF(P17&lt;&gt;"",IF($F16="Higher the better",IF(P17&lt;P16,P17,NA()),IF(P17&gt;P16,P17,NA())),NA())</f>
        <v/>
      </c>
      <c r="AF4" s="53">
        <f>IF(Q17&lt;&gt;"",IF($F16="Higher the better",IF(Q17&lt;Q16,Q17,NA()),IF(Q17&gt;Q16,Q17,NA())),NA())</f>
        <v/>
      </c>
      <c r="AG4" s="53">
        <f>IF(R17&lt;&gt;"",IF($F16="Higher the better",IF(R17&lt;R16,R17,NA()),IF(R17&gt;R16,R17,NA())),NA())</f>
        <v/>
      </c>
      <c r="AH4" s="53">
        <f>IF(S17&lt;&gt;"",IF($F16="Higher the better",IF(S17&lt;S16,S17,NA()),IF(S17&gt;S16,S17,NA())),NA())</f>
        <v/>
      </c>
      <c r="AI4" s="53">
        <f>IF(T17&lt;&gt;"",IF($F16="Higher the better",IF(T17&lt;T16,T17,NA()),IF(T17&gt;T16,T17,NA())),NA())</f>
        <v/>
      </c>
    </row>
    <row r="5" ht="29.25"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s="53" t="inlineStr">
        <is>
          <t>Actual green</t>
        </is>
      </c>
      <c r="X5" s="53">
        <f>IF(I19&lt;&gt;"",IF($F18="Higher the better",IF(I19&gt;=I18,I19,NA()),IF(I19&lt;=I18,I19,NA())),NA())</f>
        <v/>
      </c>
      <c r="Y5" s="53">
        <f>IF(J19&lt;&gt;"",IF($F18="Higher the better",IF(J19&gt;=J18,J19,NA()),IF(J19&lt;=J18,J19,NA())),NA())</f>
        <v/>
      </c>
      <c r="Z5" s="53">
        <f>IF(K19&lt;&gt;"",IF($F18="Higher the better",IF(K19&gt;=K18,K19,NA()),IF(K19&lt;=K18,K19,NA())),NA())</f>
        <v/>
      </c>
      <c r="AA5" s="53">
        <f>IF(L19&lt;&gt;"",IF($F18="Higher the better",IF(L19&gt;=L18,L19,NA()),IF(L19&lt;=L18,L19,NA())),NA())</f>
        <v/>
      </c>
      <c r="AB5" s="53">
        <f>IF(M19&lt;&gt;"",IF($F18="Higher the better",IF(M19&gt;=M18,M19,NA()),IF(M19&lt;=M18,M19,NA())),NA())</f>
        <v/>
      </c>
      <c r="AC5" s="53">
        <f>IF(N19&lt;&gt;"",IF($F18="Higher the better",IF(N19&gt;=N18,N19,NA()),IF(N19&lt;=N18,N19,NA())),NA())</f>
        <v/>
      </c>
      <c r="AD5" s="53">
        <f>IF(O19&lt;&gt;"",IF($F18="Higher the better",IF(O19&gt;=O18,O19,NA()),IF(O19&lt;=O18,O19,NA())),NA())</f>
        <v/>
      </c>
      <c r="AE5" s="53">
        <f>IF(P19&lt;&gt;"",IF($F18="Higher the better",IF(P19&gt;=P18,P19,NA()),IF(P19&lt;=P18,P19,NA())),NA())</f>
        <v/>
      </c>
      <c r="AF5" s="53">
        <f>IF(Q19&lt;&gt;"",IF($F18="Higher the better",IF(Q19&gt;=Q18,Q19,NA()),IF(Q19&lt;=Q18,Q19,NA())),NA())</f>
        <v/>
      </c>
      <c r="AG5" s="53">
        <f>IF(R19&lt;&gt;"",IF($F18="Higher the better",IF(R19&gt;=R18,R19,NA()),IF(R19&lt;=R18,R19,NA())),NA())</f>
        <v/>
      </c>
      <c r="AH5" s="53">
        <f>IF(S19&lt;&gt;"",IF($F18="Higher the better",IF(S19&gt;=S18,S19,NA()),IF(S19&lt;=S18,S19,NA())),NA())</f>
        <v/>
      </c>
      <c r="AI5" s="53">
        <f>IF(T19&lt;&gt;"",IF($F18="Higher the better",IF(T19&gt;=T18,T19,NA()),IF(T19&lt;=T18,T19,NA())),NA())</f>
        <v/>
      </c>
    </row>
    <row r="6" ht="18" customHeight="1">
      <c r="A6" s="348" t="inlineStr">
        <is>
          <t>Win rate for NPIs</t>
        </is>
      </c>
      <c r="B6" s="349" t="inlineStr">
        <is>
          <t>Win Rate  of Zenition 90 , Zenition 30 and Zenition 10</t>
        </is>
      </c>
      <c r="C6" s="350" t="inlineStr">
        <is>
          <t>&gt;=</t>
        </is>
      </c>
      <c r="D6" s="351" t="n">
        <v>0.4</v>
      </c>
      <c r="E6" s="350" t="inlineStr">
        <is>
          <t>%</t>
        </is>
      </c>
      <c r="F6" s="352" t="inlineStr">
        <is>
          <t>Higher the better</t>
        </is>
      </c>
      <c r="G6" s="350" t="inlineStr">
        <is>
          <t>Monthly</t>
        </is>
      </c>
      <c r="H6" s="14" t="inlineStr">
        <is>
          <t>Target</t>
        </is>
      </c>
      <c r="I6" s="4" t="n">
        <v>0.4</v>
      </c>
      <c r="J6" s="4" t="n">
        <v>0.4</v>
      </c>
      <c r="K6" s="4" t="n">
        <v>0.4</v>
      </c>
      <c r="L6" s="4" t="n">
        <v>0.4</v>
      </c>
      <c r="M6" s="4" t="n">
        <v>0.4</v>
      </c>
      <c r="N6" s="4" t="n">
        <v>0.4</v>
      </c>
      <c r="O6" s="4" t="n">
        <v>0.4</v>
      </c>
      <c r="P6" s="4" t="n">
        <v>0.4</v>
      </c>
      <c r="Q6" s="4" t="n">
        <v>0.4</v>
      </c>
      <c r="R6" s="4" t="n">
        <v>0.4</v>
      </c>
      <c r="S6" s="4" t="n">
        <v>0.4</v>
      </c>
      <c r="T6" s="4" t="n">
        <v>0.4</v>
      </c>
      <c r="W6" s="53" t="inlineStr">
        <is>
          <t>Actual red</t>
        </is>
      </c>
      <c r="X6" s="53">
        <f>IF(I19&lt;&gt;"",IF($F18="Higher the better",IF(I19&lt;I18,I19,NA()),IF(I19&gt;I18,I19,NA())),NA())</f>
        <v/>
      </c>
      <c r="Y6" s="53">
        <f>IF(J19&lt;&gt;"",IF($F18="Higher the better",IF(J19&lt;J18,J19,NA()),IF(J19&gt;J18,J19,NA())),NA())</f>
        <v/>
      </c>
      <c r="Z6" s="53">
        <f>IF(K19&lt;&gt;"",IF($F18="Higher the better",IF(K19&lt;K18,K19,NA()),IF(K19&gt;K18,K19,NA())),NA())</f>
        <v/>
      </c>
      <c r="AA6" s="53">
        <f>IF(L19&lt;&gt;"",IF($F18="Higher the better",IF(L19&lt;L18,L19,NA()),IF(L19&gt;L18,L19,NA())),NA())</f>
        <v/>
      </c>
      <c r="AB6" s="53">
        <f>IF(M19&lt;&gt;"",IF($F18="Higher the better",IF(M19&lt;M18,M19,NA()),IF(M19&gt;M18,M19,NA())),NA())</f>
        <v/>
      </c>
      <c r="AC6" s="53">
        <f>IF(N19&lt;&gt;"",IF($F18="Higher the better",IF(N19&lt;N18,N19,NA()),IF(N19&gt;N18,N19,NA())),NA())</f>
        <v/>
      </c>
      <c r="AD6" s="53">
        <f>IF(O19&lt;&gt;"",IF($F18="Higher the better",IF(O19&lt;O18,O19,NA()),IF(O19&gt;O18,O19,NA())),NA())</f>
        <v/>
      </c>
      <c r="AE6" s="53">
        <f>IF(P19&lt;&gt;"",IF($F18="Higher the better",IF(P19&lt;P18,P19,NA()),IF(P19&gt;P18,P19,NA())),NA())</f>
        <v/>
      </c>
      <c r="AF6" s="53">
        <f>IF(Q19&lt;&gt;"",IF($F18="Higher the better",IF(Q19&lt;Q18,Q19,NA()),IF(Q19&gt;Q18,Q19,NA())),NA())</f>
        <v/>
      </c>
      <c r="AG6" s="53">
        <f>IF(R19&lt;&gt;"",IF($F18="Higher the better",IF(R19&lt;R18,R19,NA()),IF(R19&gt;R18,R19,NA())),NA())</f>
        <v/>
      </c>
      <c r="AH6" s="53">
        <f>IF(S19&lt;&gt;"",IF($F18="Higher the better",IF(S19&lt;S18,S19,NA()),IF(S19&gt;S18,S19,NA())),NA())</f>
        <v/>
      </c>
      <c r="AI6" s="53">
        <f>IF(T19&lt;&gt;"",IF($F18="Higher the better",IF(T19&lt;T18,T19,NA()),IF(T19&gt;T18,T19,NA())),NA())</f>
        <v/>
      </c>
    </row>
    <row r="7">
      <c r="A7" s="685" t="n"/>
      <c r="B7" s="685" t="n"/>
      <c r="C7" s="685" t="n"/>
      <c r="D7" s="685" t="n"/>
      <c r="E7" s="685" t="n"/>
      <c r="F7" s="685" t="n"/>
      <c r="G7" s="685" t="n"/>
      <c r="H7" s="14" t="inlineStr">
        <is>
          <t>Actual</t>
        </is>
      </c>
      <c r="I7" s="5" t="n">
        <v>0.28</v>
      </c>
      <c r="J7" s="5" t="n">
        <v>0.39</v>
      </c>
      <c r="K7" s="5" t="n">
        <v>0.42</v>
      </c>
      <c r="L7" s="5" t="n">
        <v>0.3711</v>
      </c>
      <c r="M7" s="5" t="n">
        <v>0.346</v>
      </c>
      <c r="N7" s="5" t="n">
        <v>0.373</v>
      </c>
      <c r="O7" s="5" t="n"/>
      <c r="P7" s="5" t="n"/>
      <c r="Q7" s="5" t="n"/>
      <c r="R7" s="5" t="n"/>
      <c r="S7" s="5" t="n"/>
      <c r="T7" s="5" t="n"/>
    </row>
    <row r="8">
      <c r="A8" s="349" t="inlineStr">
        <is>
          <t>Dhruv Commercial Launch</t>
        </is>
      </c>
      <c r="B8" s="349" t="inlineStr">
        <is>
          <t>Readiness for commercial success of Dhruv</t>
        </is>
      </c>
      <c r="C8" s="350" t="inlineStr">
        <is>
          <t>&gt;=</t>
        </is>
      </c>
      <c r="D8" s="351" t="n">
        <v>0.88</v>
      </c>
      <c r="E8" s="350" t="inlineStr">
        <is>
          <t>%</t>
        </is>
      </c>
      <c r="F8" s="352" t="inlineStr">
        <is>
          <t>Higher the better</t>
        </is>
      </c>
      <c r="G8" s="350" t="inlineStr">
        <is>
          <t>Monthly</t>
        </is>
      </c>
      <c r="H8" s="14" t="inlineStr">
        <is>
          <t>Target</t>
        </is>
      </c>
      <c r="I8" s="4" t="n">
        <v>0</v>
      </c>
      <c r="J8" s="4" t="n">
        <v>0</v>
      </c>
      <c r="K8" s="721" t="n">
        <v>0.1116071428571429</v>
      </c>
      <c r="L8" s="4" t="n">
        <v>0.1726190476190476</v>
      </c>
      <c r="M8" s="4" t="n">
        <v>0.2366071428571428</v>
      </c>
      <c r="N8" s="4" t="n">
        <v>0.3154761904761905</v>
      </c>
      <c r="O8" s="4" t="n">
        <v>0.40625</v>
      </c>
      <c r="P8" s="4" t="n">
        <v>0.5029761904761905</v>
      </c>
      <c r="Q8" s="4" t="n">
        <v>0.6056547619047619</v>
      </c>
      <c r="R8" s="4" t="n">
        <v>0.7172619047619048</v>
      </c>
      <c r="S8" s="4" t="n">
        <v>0.8214285714285714</v>
      </c>
      <c r="T8" s="4" t="n">
        <v>0.8764880952380952</v>
      </c>
    </row>
    <row r="9">
      <c r="A9" s="685" t="n"/>
      <c r="B9" s="685" t="n"/>
      <c r="C9" s="685" t="n"/>
      <c r="D9" s="685" t="n"/>
      <c r="E9" s="685" t="n"/>
      <c r="F9" s="685" t="n"/>
      <c r="G9" s="685" t="n"/>
      <c r="H9" s="14" t="inlineStr">
        <is>
          <t>Actual</t>
        </is>
      </c>
      <c r="I9" s="45" t="n"/>
      <c r="J9" s="45" t="n"/>
      <c r="K9" s="686" t="n">
        <v>0.112</v>
      </c>
      <c r="L9" s="5" t="n">
        <v>0.16</v>
      </c>
      <c r="M9" s="5" t="n">
        <v>0.21</v>
      </c>
      <c r="N9" s="5" t="n">
        <v>0.23</v>
      </c>
      <c r="O9" s="45" t="n"/>
      <c r="P9" s="45" t="n"/>
      <c r="Q9" s="45" t="n"/>
      <c r="R9" s="45" t="n"/>
      <c r="S9" s="45" t="n"/>
      <c r="T9" s="45" t="n"/>
    </row>
    <row r="10">
      <c r="A10" s="354" t="inlineStr">
        <is>
          <t xml:space="preserve">Portfolio % CTP </t>
        </is>
      </c>
      <c r="B10" s="353" t="inlineStr">
        <is>
          <t xml:space="preserve">% CTP achieved over portfolio </t>
        </is>
      </c>
      <c r="C10" s="350" t="inlineStr">
        <is>
          <t>&gt;=</t>
        </is>
      </c>
      <c r="D10" s="754" t="n">
        <v>0.8</v>
      </c>
      <c r="E10" s="350" t="inlineStr">
        <is>
          <t>%</t>
        </is>
      </c>
      <c r="F10" s="352" t="inlineStr">
        <is>
          <t>Higher the better</t>
        </is>
      </c>
      <c r="G10" s="350" t="inlineStr">
        <is>
          <t>Monthly</t>
        </is>
      </c>
      <c r="H10" s="14" t="inlineStr">
        <is>
          <t>Target</t>
        </is>
      </c>
      <c r="I10" s="51" t="n"/>
      <c r="J10" s="51" t="n"/>
      <c r="K10" s="4" t="n">
        <v>0.8</v>
      </c>
      <c r="L10" s="4" t="n">
        <v>0.8</v>
      </c>
      <c r="M10" s="4" t="n">
        <v>0.8</v>
      </c>
      <c r="N10" s="4" t="n">
        <v>0.8</v>
      </c>
      <c r="O10" s="4" t="n">
        <v>0.8</v>
      </c>
      <c r="P10" s="4" t="n">
        <v>0.8</v>
      </c>
      <c r="Q10" s="4" t="n">
        <v>0.8</v>
      </c>
      <c r="R10" s="4" t="n">
        <v>0.8</v>
      </c>
      <c r="S10" s="4" t="n">
        <v>0.8</v>
      </c>
      <c r="T10" s="4" t="n">
        <v>0.8</v>
      </c>
    </row>
    <row r="11">
      <c r="A11" s="685" t="n"/>
      <c r="B11" s="685" t="n"/>
      <c r="C11" s="685" t="n"/>
      <c r="D11" s="685" t="n"/>
      <c r="E11" s="685" t="n"/>
      <c r="F11" s="685" t="n"/>
      <c r="G11" s="685" t="n"/>
      <c r="H11" s="14" t="inlineStr">
        <is>
          <t>Actual</t>
        </is>
      </c>
      <c r="I11" s="67" t="n"/>
      <c r="J11" s="67" t="n"/>
      <c r="K11" s="686" t="n">
        <v>0.827</v>
      </c>
      <c r="L11" s="758" t="n">
        <v>0.8179999999999999</v>
      </c>
      <c r="M11" s="686" t="n">
        <v>0.824</v>
      </c>
      <c r="N11" s="5" t="n">
        <v>0.8149999999999999</v>
      </c>
      <c r="O11" s="45" t="n"/>
      <c r="P11" s="45" t="n"/>
      <c r="Q11" s="45" t="n"/>
      <c r="R11" s="45" t="n"/>
      <c r="S11" s="45" t="n"/>
      <c r="T11" s="45" t="n"/>
    </row>
    <row r="12" ht="18.6" customHeight="1">
      <c r="A12" s="99" t="inlineStr">
        <is>
          <t>Critical Enabling/Leading KPI's (3-5)</t>
        </is>
      </c>
      <c r="G12" s="100" t="n"/>
      <c r="I12" s="755" t="n"/>
      <c r="J12" s="101" t="n"/>
      <c r="K12" s="101" t="n"/>
      <c r="L12" s="101" t="n"/>
      <c r="M12" s="101" t="n"/>
      <c r="N12" s="101" t="n"/>
      <c r="O12" s="101" t="n"/>
      <c r="P12" s="101" t="n"/>
      <c r="Q12" s="101" t="n"/>
      <c r="R12" s="101" t="n"/>
      <c r="S12" s="101" t="n"/>
      <c r="T12" s="101" t="n"/>
    </row>
    <row r="13" ht="27.75"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row>
    <row r="14" ht="13.5" customHeight="1">
      <c r="A14" s="348" t="inlineStr">
        <is>
          <t>Sales tool delivery</t>
        </is>
      </c>
      <c r="B14" s="353" t="inlineStr">
        <is>
          <t>% of sales enablement tools released on time as per plan</t>
        </is>
      </c>
      <c r="C14" s="350" t="inlineStr">
        <is>
          <t>&gt;=</t>
        </is>
      </c>
      <c r="D14" s="352" t="n">
        <v>80</v>
      </c>
      <c r="E14" s="350" t="inlineStr">
        <is>
          <t>%</t>
        </is>
      </c>
      <c r="F14" s="352" t="inlineStr">
        <is>
          <t>Higher the better</t>
        </is>
      </c>
      <c r="G14" s="350" t="inlineStr">
        <is>
          <t>Monthly</t>
        </is>
      </c>
      <c r="H14" s="14" t="inlineStr">
        <is>
          <t>Target</t>
        </is>
      </c>
      <c r="I14" s="47" t="n">
        <v>80</v>
      </c>
      <c r="J14" s="47" t="n">
        <v>80</v>
      </c>
      <c r="K14" s="47" t="n">
        <v>80</v>
      </c>
      <c r="L14" s="47" t="n">
        <v>80</v>
      </c>
      <c r="M14" s="47" t="n">
        <v>80</v>
      </c>
      <c r="N14" s="47" t="n">
        <v>80</v>
      </c>
      <c r="O14" s="47" t="n">
        <v>80</v>
      </c>
      <c r="P14" s="47" t="n">
        <v>80</v>
      </c>
      <c r="Q14" s="47" t="n">
        <v>80</v>
      </c>
      <c r="R14" s="47" t="n">
        <v>80</v>
      </c>
      <c r="S14" s="47" t="n">
        <v>80</v>
      </c>
      <c r="T14" s="47" t="n">
        <v>80</v>
      </c>
    </row>
    <row r="15">
      <c r="A15" s="685" t="n"/>
      <c r="B15" s="685" t="n"/>
      <c r="C15" s="685" t="n"/>
      <c r="D15" s="685" t="n"/>
      <c r="E15" s="685" t="n"/>
      <c r="F15" s="685" t="n"/>
      <c r="G15" s="685" t="n"/>
      <c r="H15" s="14" t="inlineStr">
        <is>
          <t>Actual</t>
        </is>
      </c>
      <c r="I15" s="179" t="n">
        <v>90</v>
      </c>
      <c r="J15" s="179" t="n">
        <v>90</v>
      </c>
      <c r="K15" s="179" t="n">
        <v>80</v>
      </c>
      <c r="L15" s="179" t="n">
        <v>100</v>
      </c>
      <c r="M15" s="179" t="n">
        <v>90</v>
      </c>
      <c r="N15" s="179" t="n">
        <v>83</v>
      </c>
      <c r="O15" s="179" t="n"/>
      <c r="P15" s="179" t="n"/>
      <c r="Q15" s="179" t="n"/>
      <c r="R15" s="179" t="n"/>
      <c r="S15" s="179" t="n"/>
      <c r="T15" s="179" t="n"/>
    </row>
    <row r="16">
      <c r="A16" s="348" t="inlineStr">
        <is>
          <t>Sales support</t>
        </is>
      </c>
      <c r="B16" s="357" t="inlineStr">
        <is>
          <t>% MoS Sales support queries answered within 5 working days</t>
        </is>
      </c>
      <c r="C16" s="350" t="inlineStr">
        <is>
          <t>&gt;=</t>
        </is>
      </c>
      <c r="D16" s="358" t="n">
        <v>80</v>
      </c>
      <c r="E16" s="350" t="inlineStr">
        <is>
          <t>%</t>
        </is>
      </c>
      <c r="F16" s="352" t="inlineStr">
        <is>
          <t>Higher the better</t>
        </is>
      </c>
      <c r="G16" s="350" t="inlineStr">
        <is>
          <t>Monthly</t>
        </is>
      </c>
      <c r="H16" s="14" t="inlineStr">
        <is>
          <t>Target</t>
        </is>
      </c>
      <c r="I16" s="44" t="n">
        <v>80</v>
      </c>
      <c r="J16" s="44" t="n">
        <v>80</v>
      </c>
      <c r="K16" s="44" t="n">
        <v>80</v>
      </c>
      <c r="L16" s="44" t="n">
        <v>80</v>
      </c>
      <c r="M16" s="44" t="n">
        <v>80</v>
      </c>
      <c r="N16" s="44" t="n">
        <v>80</v>
      </c>
      <c r="O16" s="44" t="n">
        <v>80</v>
      </c>
      <c r="P16" s="44" t="n">
        <v>80</v>
      </c>
      <c r="Q16" s="44" t="n">
        <v>80</v>
      </c>
      <c r="R16" s="44" t="n">
        <v>80</v>
      </c>
      <c r="S16" s="44" t="n">
        <v>80</v>
      </c>
      <c r="T16" s="44" t="n">
        <v>80</v>
      </c>
    </row>
    <row r="17">
      <c r="A17" s="685" t="n"/>
      <c r="B17" s="685" t="n"/>
      <c r="C17" s="685" t="n"/>
      <c r="D17" s="685" t="n"/>
      <c r="E17" s="685" t="n"/>
      <c r="F17" s="685" t="n"/>
      <c r="G17" s="685" t="n"/>
      <c r="H17" s="14" t="inlineStr">
        <is>
          <t>Actual</t>
        </is>
      </c>
      <c r="I17" s="45" t="n">
        <v>0</v>
      </c>
      <c r="J17" s="45" t="n">
        <v>86</v>
      </c>
      <c r="K17" s="45" t="n">
        <v>84</v>
      </c>
      <c r="L17" s="45" t="n">
        <v>92</v>
      </c>
      <c r="M17" s="45" t="n">
        <v>87</v>
      </c>
      <c r="N17" s="45" t="n">
        <v>88</v>
      </c>
      <c r="O17" s="45" t="n"/>
      <c r="P17" s="45" t="n"/>
      <c r="Q17" s="45" t="n"/>
      <c r="R17" s="45" t="n"/>
      <c r="S17" s="45" t="n"/>
      <c r="T17" s="45" t="n"/>
    </row>
    <row r="18" ht="13.5" customHeight="1">
      <c r="A18" s="349" t="inlineStr">
        <is>
          <t>Sales training</t>
        </is>
      </c>
      <c r="B18" s="356" t="inlineStr">
        <is>
          <t>% of  sales team trained on Clinical application area, Product proposition and competition  per plan</t>
        </is>
      </c>
      <c r="C18" s="350" t="inlineStr">
        <is>
          <t>&gt;=</t>
        </is>
      </c>
      <c r="D18" s="350" t="n">
        <v>80</v>
      </c>
      <c r="E18" s="350" t="inlineStr">
        <is>
          <t>%</t>
        </is>
      </c>
      <c r="F18" s="352" t="inlineStr">
        <is>
          <t>Higher the better</t>
        </is>
      </c>
      <c r="G18" s="350" t="inlineStr">
        <is>
          <t>Monthly</t>
        </is>
      </c>
      <c r="H18" s="14" t="inlineStr">
        <is>
          <t>Target</t>
        </is>
      </c>
      <c r="I18" s="44" t="n">
        <v>80</v>
      </c>
      <c r="J18" s="44" t="n">
        <v>80</v>
      </c>
      <c r="K18" s="44" t="n">
        <v>80</v>
      </c>
      <c r="L18" s="44" t="n">
        <v>80</v>
      </c>
      <c r="M18" s="44" t="n">
        <v>80</v>
      </c>
      <c r="N18" s="44" t="n">
        <v>80</v>
      </c>
      <c r="O18" s="44" t="n">
        <v>80</v>
      </c>
      <c r="P18" s="44" t="n">
        <v>80</v>
      </c>
      <c r="Q18" s="44" t="n">
        <v>80</v>
      </c>
      <c r="R18" s="44" t="n">
        <v>80</v>
      </c>
      <c r="S18" s="44" t="n">
        <v>80</v>
      </c>
      <c r="T18" s="44" t="n">
        <v>80</v>
      </c>
    </row>
    <row r="19" ht="24.75" customHeight="1">
      <c r="A19" s="685" t="n"/>
      <c r="B19" s="756" t="n"/>
      <c r="C19" s="685" t="n"/>
      <c r="D19" s="685" t="n"/>
      <c r="E19" s="685" t="n"/>
      <c r="F19" s="685" t="n"/>
      <c r="G19" s="685" t="n"/>
      <c r="H19" s="14" t="inlineStr">
        <is>
          <t>Actual</t>
        </is>
      </c>
      <c r="I19" s="45" t="n">
        <v>100</v>
      </c>
      <c r="J19" s="45" t="n">
        <v>100</v>
      </c>
      <c r="K19" s="45" t="n">
        <v>60</v>
      </c>
      <c r="L19" s="45" t="n">
        <v>100</v>
      </c>
      <c r="M19" s="45" t="n">
        <v>100</v>
      </c>
      <c r="N19" s="45" t="n">
        <v>89</v>
      </c>
      <c r="O19" s="45" t="n"/>
      <c r="P19" s="45" t="n"/>
      <c r="Q19" s="45" t="n"/>
      <c r="R19" s="45" t="n"/>
      <c r="S19" s="45" t="n"/>
      <c r="T19" s="45" t="n"/>
    </row>
    <row r="20" hidden="1">
      <c r="A20" s="349" t="n"/>
      <c r="B20" s="359" t="n"/>
      <c r="C20" s="350" t="n"/>
      <c r="D20" s="350" t="n"/>
      <c r="E20" s="350" t="n"/>
      <c r="F20" s="352" t="n"/>
      <c r="G20" s="350" t="n"/>
      <c r="H20" s="14" t="n"/>
      <c r="I20" s="44" t="n"/>
      <c r="J20" s="44" t="n"/>
      <c r="K20" s="44" t="n"/>
      <c r="L20" s="44" t="n"/>
      <c r="M20" s="44" t="n"/>
      <c r="N20" s="44" t="n"/>
      <c r="O20" s="44" t="n"/>
      <c r="P20" s="44" t="n"/>
      <c r="Q20" s="44" t="n"/>
      <c r="R20" s="44" t="n"/>
      <c r="S20" s="44" t="n"/>
      <c r="T20" s="44" t="n"/>
    </row>
    <row r="21" hidden="1" ht="22.5" customHeight="1">
      <c r="A21" s="685" t="n"/>
      <c r="B21" s="685" t="n"/>
      <c r="C21" s="685" t="n"/>
      <c r="D21" s="685" t="n"/>
      <c r="E21" s="685" t="n"/>
      <c r="F21" s="685" t="n"/>
      <c r="G21" s="685" t="n"/>
      <c r="H21" s="14" t="n"/>
      <c r="I21" s="45" t="n"/>
      <c r="J21" s="45" t="n"/>
      <c r="K21" s="45" t="n"/>
      <c r="L21" s="45" t="n"/>
      <c r="M21" s="45" t="n"/>
      <c r="N21" s="45" t="n"/>
      <c r="O21" s="45" t="n"/>
      <c r="P21" s="45" t="n"/>
      <c r="Q21" s="45" t="n"/>
      <c r="R21" s="45" t="n"/>
      <c r="S21" s="45" t="n"/>
      <c r="T21" s="45" t="n"/>
    </row>
    <row r="22" hidden="1">
      <c r="A22" s="348" t="n"/>
      <c r="B22" s="359" t="n"/>
      <c r="C22" s="350" t="n"/>
      <c r="D22" s="352" t="n"/>
      <c r="E22" s="350" t="n"/>
      <c r="F22" s="352" t="n"/>
      <c r="G22" s="350" t="n"/>
      <c r="H22" s="14" t="n"/>
      <c r="I22" s="44" t="n"/>
      <c r="J22" s="44" t="n"/>
      <c r="K22" s="44" t="n"/>
      <c r="L22" s="44" t="n"/>
      <c r="M22" s="44" t="n"/>
      <c r="N22" s="44" t="n"/>
      <c r="O22" s="44" t="n"/>
      <c r="P22" s="44" t="n"/>
      <c r="Q22" s="44" t="n"/>
      <c r="R22" s="44" t="n"/>
      <c r="S22" s="44" t="n"/>
      <c r="T22" s="44" t="n"/>
    </row>
    <row r="23" hidden="1">
      <c r="A23" s="685" t="n"/>
      <c r="B23" s="685" t="n"/>
      <c r="C23" s="685" t="n"/>
      <c r="D23" s="685" t="n"/>
      <c r="E23" s="685" t="n"/>
      <c r="F23" s="685" t="n"/>
      <c r="G23" s="685" t="n"/>
      <c r="H23" s="14" t="n"/>
      <c r="I23" s="45" t="n"/>
      <c r="J23" s="45" t="n"/>
      <c r="K23" s="45" t="n"/>
      <c r="L23" s="45" t="n"/>
      <c r="M23" s="45" t="n"/>
      <c r="N23" s="45" t="n"/>
      <c r="O23" s="45" t="n"/>
      <c r="P23" s="45" t="n"/>
      <c r="Q23" s="45" t="n"/>
      <c r="R23" s="45" t="n"/>
      <c r="S23" s="45" t="n"/>
      <c r="T23" s="45" t="n"/>
    </row>
    <row r="24" ht="15" customHeight="1">
      <c r="E24" s="102" t="inlineStr">
        <is>
          <t xml:space="preserve">
</t>
        </is>
      </c>
      <c r="H24" s="103">
        <f>IF(OR($F15="Lower the better",$F15="Lower the Better"),
    IF(I15&gt;I14,$A14,""),
    IF(OR($F15="Higher the better",$F15="Higher the Better"),
       IF(I15&lt;I14,$A14,""),
       ""
    )
)</f>
        <v/>
      </c>
    </row>
    <row r="25" ht="21" customHeight="1">
      <c r="A25" s="104" t="inlineStr">
        <is>
          <t>Trends-</t>
        </is>
      </c>
      <c r="B25" s="53" t="n"/>
    </row>
    <row r="26">
      <c r="A26" s="52" t="n"/>
      <c r="B26" s="53" t="n"/>
      <c r="L26" s="231" t="n"/>
    </row>
    <row r="27">
      <c r="A27" s="52" t="n"/>
      <c r="B27" s="53" t="n"/>
    </row>
    <row r="28">
      <c r="A28" s="52" t="n"/>
      <c r="B28" s="53" t="n"/>
    </row>
    <row r="29">
      <c r="A29" s="52" t="n"/>
      <c r="B29" s="53" t="n"/>
    </row>
    <row r="30">
      <c r="A30" s="52" t="n"/>
      <c r="B30" s="53" t="n"/>
    </row>
    <row r="31">
      <c r="A31" s="52" t="n"/>
      <c r="B31" s="53" t="n"/>
    </row>
    <row r="32">
      <c r="A32" s="52" t="n"/>
      <c r="B32" s="53" t="n"/>
    </row>
    <row r="33">
      <c r="A33" s="52" t="n"/>
      <c r="B33" s="53" t="n"/>
    </row>
    <row r="34">
      <c r="A34" s="52" t="n"/>
      <c r="B34" s="53" t="n"/>
    </row>
    <row r="35">
      <c r="A35" s="52" t="n"/>
      <c r="B35" s="53" t="n"/>
    </row>
    <row r="36">
      <c r="A36" s="52" t="n"/>
      <c r="B36" s="53" t="n"/>
    </row>
    <row r="37">
      <c r="A37" s="52" t="n"/>
      <c r="B37" s="53" t="n"/>
    </row>
    <row r="38">
      <c r="A38" s="52" t="n"/>
      <c r="B38" s="53" t="n"/>
    </row>
    <row r="39">
      <c r="A39" s="52" t="n"/>
      <c r="B39" s="53" t="n"/>
    </row>
    <row r="40">
      <c r="A40" s="52" t="n"/>
      <c r="B40" s="53" t="n"/>
    </row>
    <row r="41">
      <c r="A41" s="52" t="n"/>
      <c r="B41" s="53" t="n"/>
    </row>
    <row r="42" ht="21" customHeight="1">
      <c r="A42" s="360" t="inlineStr">
        <is>
          <t>If the KPI is reported Red, fill all the details as mentioned below for analysis &amp; actions:</t>
        </is>
      </c>
    </row>
    <row r="43">
      <c r="C43" s="52" t="n"/>
      <c r="D43" s="52" t="n"/>
      <c r="E43" s="52" t="n"/>
      <c r="F43" s="52" t="n"/>
      <c r="G43" s="52" t="n"/>
      <c r="H43" s="52" t="n"/>
    </row>
    <row r="44">
      <c r="A44" s="52" t="n"/>
      <c r="B44" s="53" t="n"/>
    </row>
    <row r="45" ht="21" customHeight="1">
      <c r="A45" s="347" t="inlineStr">
        <is>
          <t>Root Cause Analysis-</t>
        </is>
      </c>
    </row>
    <row r="46" ht="20.25" customHeight="1">
      <c r="A46" s="466" t="inlineStr">
        <is>
          <t xml:space="preserve"> Red KPI</t>
        </is>
      </c>
      <c r="B46" s="361" t="inlineStr">
        <is>
          <t xml:space="preserve">Top  Causes </t>
        </is>
      </c>
      <c r="C46" s="693" t="n"/>
      <c r="D46" s="693" t="n"/>
      <c r="E46" s="693" t="n"/>
      <c r="F46" s="692" t="n"/>
    </row>
    <row r="47" ht="15" customHeight="1">
      <c r="A47" s="361" t="inlineStr">
        <is>
          <t>Red KPI</t>
        </is>
      </c>
      <c r="B47" s="361" t="inlineStr">
        <is>
          <t xml:space="preserve">Cause 1 </t>
        </is>
      </c>
      <c r="C47" s="361" t="inlineStr">
        <is>
          <t>Cause 2</t>
        </is>
      </c>
      <c r="D47" s="361" t="inlineStr">
        <is>
          <t>Cause 3</t>
        </is>
      </c>
      <c r="E47" s="361" t="inlineStr">
        <is>
          <t>Cause 4</t>
        </is>
      </c>
      <c r="F47" s="361" t="inlineStr">
        <is>
          <t>Cause 5</t>
        </is>
      </c>
    </row>
    <row r="48" ht="30" customHeight="1">
      <c r="A48" s="228" t="inlineStr">
        <is>
          <t>Win rate  for NPIs</t>
        </is>
      </c>
      <c r="B48" s="106" t="inlineStr">
        <is>
          <t>Z10</t>
        </is>
      </c>
      <c r="C48" s="106" t="inlineStr">
        <is>
          <t>Z30</t>
        </is>
      </c>
      <c r="D48" s="278" t="n"/>
      <c r="E48" s="230" t="n"/>
      <c r="F48" s="230" t="n"/>
    </row>
    <row r="49" ht="31.5" customHeight="1">
      <c r="A49" s="229" t="inlineStr">
        <is>
          <t>% impact on KPI gap</t>
        </is>
      </c>
      <c r="B49" s="106" t="n">
        <v>0.46</v>
      </c>
      <c r="C49" s="106" t="n">
        <v>0.54</v>
      </c>
      <c r="D49" s="106" t="n"/>
      <c r="E49" s="106" t="n"/>
      <c r="F49" s="106" t="n"/>
    </row>
    <row r="50" ht="31.5" customHeight="1">
      <c r="A50" s="361" t="inlineStr">
        <is>
          <t>Red KPI</t>
        </is>
      </c>
      <c r="B50" s="361" t="inlineStr">
        <is>
          <t xml:space="preserve">Cause 1 </t>
        </is>
      </c>
      <c r="C50" s="361" t="inlineStr">
        <is>
          <t>Cause 2</t>
        </is>
      </c>
      <c r="D50" s="361" t="inlineStr">
        <is>
          <t>Cause 3</t>
        </is>
      </c>
      <c r="E50" s="361" t="inlineStr">
        <is>
          <t>Cause 4</t>
        </is>
      </c>
      <c r="F50" s="361" t="inlineStr">
        <is>
          <t>Cause 5</t>
        </is>
      </c>
    </row>
    <row r="51" ht="31.5" customHeight="1">
      <c r="A51" s="228" t="inlineStr">
        <is>
          <t>Win rate  for Z30</t>
        </is>
      </c>
      <c r="B51" s="278" t="inlineStr">
        <is>
          <t>Solo</t>
        </is>
      </c>
      <c r="C51" s="230" t="inlineStr">
        <is>
          <t>Specs favoring competition</t>
        </is>
      </c>
      <c r="D51" s="230" t="inlineStr">
        <is>
          <t>Price</t>
        </is>
      </c>
      <c r="E51" s="106" t="inlineStr">
        <is>
          <t>Brand Preference</t>
        </is>
      </c>
      <c r="F51" s="230" t="inlineStr">
        <is>
          <t>Others</t>
        </is>
      </c>
    </row>
    <row r="52" ht="31.5" customHeight="1">
      <c r="A52" s="229" t="inlineStr">
        <is>
          <t>% impact on KPI gap</t>
        </is>
      </c>
      <c r="B52" s="106" t="n">
        <v>0.4</v>
      </c>
      <c r="C52" s="106" t="n">
        <v>0.22</v>
      </c>
      <c r="D52" s="106" t="n">
        <v>0.12</v>
      </c>
      <c r="E52" s="106" t="n">
        <v>0.12</v>
      </c>
      <c r="F52" s="106" t="n">
        <v>0.14</v>
      </c>
    </row>
    <row r="53" ht="31.5" customHeight="1">
      <c r="A53" s="361" t="inlineStr">
        <is>
          <t>Red KPI</t>
        </is>
      </c>
      <c r="B53" s="361" t="inlineStr">
        <is>
          <t xml:space="preserve">Cause 1 </t>
        </is>
      </c>
      <c r="C53" s="361" t="inlineStr">
        <is>
          <t>Cause 2</t>
        </is>
      </c>
      <c r="D53" s="361" t="inlineStr">
        <is>
          <t>Cause 3</t>
        </is>
      </c>
      <c r="E53" s="361" t="inlineStr">
        <is>
          <t>Cause 4</t>
        </is>
      </c>
      <c r="F53" s="361" t="inlineStr">
        <is>
          <t>Cause 5</t>
        </is>
      </c>
    </row>
    <row r="54" ht="31.5" customHeight="1">
      <c r="A54" s="228" t="inlineStr">
        <is>
          <t>Win rate  for Z10</t>
        </is>
      </c>
      <c r="B54" s="106" t="inlineStr">
        <is>
          <t>Price</t>
        </is>
      </c>
      <c r="C54" s="257" t="inlineStr">
        <is>
          <t>Solo</t>
        </is>
      </c>
      <c r="D54" s="278" t="inlineStr">
        <is>
          <t>Not a viable opportunity</t>
        </is>
      </c>
      <c r="E54" s="257" t="inlineStr">
        <is>
          <t>Specs favoring compeition</t>
        </is>
      </c>
      <c r="F54" s="230" t="inlineStr">
        <is>
          <t>Others</t>
        </is>
      </c>
    </row>
    <row r="55" ht="31.5" customHeight="1">
      <c r="A55" s="229" t="inlineStr">
        <is>
          <t>% impact on KPI gap</t>
        </is>
      </c>
      <c r="B55" s="106" t="n">
        <v>0.53</v>
      </c>
      <c r="C55" s="106" t="n">
        <v>0.22</v>
      </c>
      <c r="D55" s="106" t="n">
        <v>0.09</v>
      </c>
      <c r="E55" s="106" t="n">
        <v>0.07000000000000001</v>
      </c>
      <c r="F55" s="106" t="n">
        <v>0.09</v>
      </c>
    </row>
    <row r="56" ht="31.5" customHeight="1">
      <c r="A56" s="361" t="inlineStr">
        <is>
          <t>Red KPI</t>
        </is>
      </c>
      <c r="B56" s="361" t="inlineStr">
        <is>
          <t xml:space="preserve">Cause 1 </t>
        </is>
      </c>
      <c r="C56" s="361" t="inlineStr">
        <is>
          <t>Cause 2</t>
        </is>
      </c>
      <c r="D56" s="361" t="inlineStr">
        <is>
          <t>Cause 3</t>
        </is>
      </c>
      <c r="E56" s="361" t="inlineStr">
        <is>
          <t>Cause 4</t>
        </is>
      </c>
      <c r="F56" s="361" t="inlineStr">
        <is>
          <t>Cause 5</t>
        </is>
      </c>
    </row>
    <row r="57" ht="31.5" customHeight="1">
      <c r="A57" s="228" t="inlineStr">
        <is>
          <t>Dhruv  Commercial Launch</t>
        </is>
      </c>
      <c r="B57" s="257" t="inlineStr">
        <is>
          <t>Product Imagery &amp; AI Imagery</t>
        </is>
      </c>
      <c r="C57" s="257" t="inlineStr">
        <is>
          <t>Claims Study</t>
        </is>
      </c>
      <c r="D57" s="257" t="inlineStr">
        <is>
          <t>NAR Launch Plan creation</t>
        </is>
      </c>
      <c r="E57" s="230" t="inlineStr">
        <is>
          <t>Messaging</t>
        </is>
      </c>
      <c r="F57" s="230" t="inlineStr">
        <is>
          <t>Others</t>
        </is>
      </c>
    </row>
    <row r="58" ht="31.5" customHeight="1">
      <c r="A58" s="229" t="inlineStr">
        <is>
          <t>% impact on KPI gap</t>
        </is>
      </c>
      <c r="B58" s="106" t="n">
        <v>0.3</v>
      </c>
      <c r="C58" s="106" t="n">
        <v>0.22</v>
      </c>
      <c r="D58" s="106" t="n">
        <v>0.2</v>
      </c>
      <c r="E58" s="106" t="n">
        <v>0.14</v>
      </c>
      <c r="F58" s="106" t="n">
        <v>0.14</v>
      </c>
    </row>
    <row r="59" ht="19.5" customHeight="1">
      <c r="A59" s="361" t="inlineStr">
        <is>
          <t>Red KPI</t>
        </is>
      </c>
      <c r="B59" s="361" t="inlineStr">
        <is>
          <t xml:space="preserve">Cause 1 </t>
        </is>
      </c>
      <c r="C59" s="361" t="inlineStr">
        <is>
          <t>Cause 2</t>
        </is>
      </c>
      <c r="D59" s="361" t="inlineStr">
        <is>
          <t>Cause 3</t>
        </is>
      </c>
      <c r="E59" s="361" t="inlineStr">
        <is>
          <t>Cause 4</t>
        </is>
      </c>
      <c r="F59" s="361" t="inlineStr">
        <is>
          <t>Cause 5</t>
        </is>
      </c>
    </row>
    <row r="60" ht="30.75" customHeight="1">
      <c r="A60" s="279" t="n"/>
      <c r="B60" s="230" t="n"/>
      <c r="C60" s="230" t="n"/>
      <c r="D60" s="230" t="n"/>
      <c r="E60" s="230" t="n"/>
      <c r="F60" s="230" t="n"/>
    </row>
    <row r="61" ht="19.5" customHeight="1">
      <c r="A61" s="279" t="n"/>
      <c r="B61" s="106" t="n"/>
      <c r="C61" s="106" t="n"/>
      <c r="D61" s="106" t="n"/>
      <c r="E61" s="106" t="n"/>
      <c r="F61" s="106" t="n"/>
    </row>
    <row r="62" ht="19.5" customHeight="1">
      <c r="A62" s="361" t="inlineStr">
        <is>
          <t>Red KPI</t>
        </is>
      </c>
      <c r="B62" s="361" t="inlineStr">
        <is>
          <t xml:space="preserve">Cause 1 </t>
        </is>
      </c>
      <c r="C62" s="361" t="inlineStr">
        <is>
          <t>Cause 2</t>
        </is>
      </c>
      <c r="D62" s="361" t="inlineStr">
        <is>
          <t>Cause 3</t>
        </is>
      </c>
      <c r="E62" s="361" t="inlineStr">
        <is>
          <t>Cause 4</t>
        </is>
      </c>
      <c r="F62" s="361" t="inlineStr">
        <is>
          <t>Cause 5</t>
        </is>
      </c>
    </row>
    <row r="63" ht="19.5" customHeight="1">
      <c r="A63" s="279" t="n"/>
      <c r="B63" s="230" t="n"/>
      <c r="C63" s="230" t="n"/>
      <c r="D63" s="230" t="n"/>
      <c r="E63" s="230" t="n"/>
      <c r="F63" s="230" t="n"/>
    </row>
    <row r="64" ht="19.5" customHeight="1">
      <c r="A64" s="279" t="n"/>
      <c r="B64" s="106" t="n"/>
      <c r="C64" s="106" t="n"/>
      <c r="D64" s="106" t="n"/>
      <c r="E64" s="106" t="n"/>
      <c r="F64" s="106" t="n"/>
    </row>
    <row r="65" ht="19.5" customHeight="1">
      <c r="A65" s="104" t="inlineStr">
        <is>
          <t>Paretos for RCA</t>
        </is>
      </c>
      <c r="B65" s="53" t="n"/>
    </row>
    <row r="66" ht="19.5" customHeight="1">
      <c r="A66" s="52" t="n"/>
      <c r="B66" s="53" t="n"/>
    </row>
    <row r="67" ht="19.5" customHeight="1">
      <c r="A67" s="52" t="n"/>
      <c r="B67" s="53" t="n"/>
    </row>
    <row r="68">
      <c r="A68" s="52" t="n"/>
      <c r="B68" s="53" t="n"/>
    </row>
    <row r="69">
      <c r="A69" s="52" t="n"/>
      <c r="B69" s="53" t="n"/>
    </row>
    <row r="70">
      <c r="A70" s="52" t="n"/>
      <c r="B70" s="53" t="n"/>
    </row>
    <row r="71">
      <c r="A71" s="52" t="n"/>
      <c r="B71" s="53" t="n"/>
    </row>
    <row r="72">
      <c r="A72" s="52" t="n"/>
      <c r="B72" s="53" t="n"/>
    </row>
    <row r="73">
      <c r="A73" s="52" t="n"/>
      <c r="B73" s="53" t="n"/>
    </row>
    <row r="74">
      <c r="A74" s="52" t="n"/>
      <c r="B74" s="53" t="n"/>
    </row>
    <row r="75">
      <c r="A75" s="52" t="n"/>
      <c r="B75" s="53" t="n"/>
    </row>
    <row r="76">
      <c r="A76" s="52" t="n"/>
      <c r="B76" s="53" t="n"/>
    </row>
    <row r="77">
      <c r="A77" s="52" t="n"/>
      <c r="B77" s="53" t="n"/>
    </row>
    <row r="78">
      <c r="A78" s="52" t="n"/>
      <c r="B78" s="53" t="n"/>
    </row>
    <row r="79">
      <c r="A79" s="52" t="n"/>
      <c r="B79" s="53" t="n"/>
    </row>
    <row r="80" ht="15" customHeight="1" thickBot="1">
      <c r="A80" s="52" t="n"/>
      <c r="B80" s="53" t="n"/>
    </row>
    <row r="81" ht="18.95" customHeight="1" thickBot="1">
      <c r="A81" s="362" t="inlineStr">
        <is>
          <t>Action tracker</t>
        </is>
      </c>
      <c r="B81" s="696" t="n"/>
      <c r="C81" s="696" t="n"/>
      <c r="D81" s="696" t="n"/>
      <c r="E81" s="696" t="n"/>
      <c r="F81" s="696" t="n"/>
    </row>
    <row r="82" ht="18.95" customHeight="1" thickBot="1">
      <c r="A82" s="16" t="inlineStr">
        <is>
          <t>Red KPI</t>
        </is>
      </c>
      <c r="B82" s="17" t="inlineStr">
        <is>
          <t>Root cause description</t>
        </is>
      </c>
      <c r="C82" s="18" t="inlineStr">
        <is>
          <t>Corrective action</t>
        </is>
      </c>
      <c r="D82" s="19" t="inlineStr">
        <is>
          <t>Owner</t>
        </is>
      </c>
      <c r="E82" s="17" t="inlineStr">
        <is>
          <t>Due Date</t>
        </is>
      </c>
      <c r="F82" s="20" t="inlineStr">
        <is>
          <t>Status</t>
        </is>
      </c>
      <c r="H82" s="363" t="inlineStr">
        <is>
          <t>Handshake Escalations/Support required</t>
        </is>
      </c>
      <c r="I82" s="696" t="n"/>
      <c r="J82" s="696" t="n"/>
      <c r="K82" s="696" t="n"/>
      <c r="L82" s="696" t="n"/>
      <c r="M82" s="696" t="n"/>
      <c r="N82" s="696" t="n"/>
      <c r="O82" s="696" t="n"/>
    </row>
    <row r="83" hidden="1" ht="42" customFormat="1" customHeight="1" s="15">
      <c r="A83" s="364" t="inlineStr">
        <is>
          <t>Win rate for NPIs</t>
        </is>
      </c>
      <c r="B83" s="365" t="inlineStr">
        <is>
          <t xml:space="preserve">Zenition 10  is losing against low cost systems </t>
        </is>
      </c>
      <c r="C83" s="366" t="inlineStr">
        <is>
          <t>Webinar to counter the value prop of low value system like Cios Fit FD</t>
        </is>
      </c>
      <c r="D83" s="366" t="inlineStr">
        <is>
          <t>Nisha L</t>
        </is>
      </c>
      <c r="E83" s="367" t="n">
        <v>46122</v>
      </c>
      <c r="F83" s="371" t="n">
        <v>5</v>
      </c>
      <c r="G83" s="53" t="n"/>
      <c r="H83" s="21" t="inlineStr">
        <is>
          <t>KPI Name</t>
        </is>
      </c>
      <c r="I83" s="22" t="inlineStr">
        <is>
          <t>Key Dependency</t>
        </is>
      </c>
      <c r="J83" s="22" t="inlineStr">
        <is>
          <t>Function Name</t>
        </is>
      </c>
      <c r="K83" s="23" t="inlineStr">
        <is>
          <t>What action/s from
 Function is expected</t>
        </is>
      </c>
      <c r="L83" s="23" t="inlineStr">
        <is>
          <t>Success measure for
Action Closure</t>
        </is>
      </c>
      <c r="M83" s="24" t="inlineStr">
        <is>
          <t>Handshaked
(Yes or No)</t>
        </is>
      </c>
      <c r="N83" s="23" t="inlineStr">
        <is>
          <t>Open issue description</t>
        </is>
      </c>
      <c r="O83" s="36" t="inlineStr">
        <is>
          <t>Solutions to 
Open issues</t>
        </is>
      </c>
    </row>
    <row r="84" hidden="1" ht="16.5" customHeight="1">
      <c r="A84" s="732" t="n"/>
      <c r="B84" s="685" t="n"/>
      <c r="C84" s="685" t="n"/>
      <c r="D84" s="685" t="n"/>
      <c r="E84" s="685" t="n"/>
      <c r="F84" s="733" t="n"/>
      <c r="H84" s="372" t="n"/>
      <c r="I84" s="369" t="n"/>
      <c r="J84" s="373" t="n"/>
      <c r="K84" s="369" t="n"/>
      <c r="L84" s="373" t="inlineStr">
        <is>
          <t>NDA signed</t>
        </is>
      </c>
      <c r="M84" s="368" t="n"/>
      <c r="N84" s="369" t="n"/>
      <c r="O84" s="370" t="n"/>
    </row>
    <row r="85" ht="18.75" customHeight="1">
      <c r="A85" s="364" t="inlineStr">
        <is>
          <t>Win rate for NPIs</t>
        </is>
      </c>
      <c r="B85" s="365" t="inlineStr">
        <is>
          <t xml:space="preserve">Total cost of ownership / Price cited as the major contributor for loss agains low cost systems  </t>
        </is>
      </c>
      <c r="C85" s="365" t="inlineStr">
        <is>
          <t>Inclusion of EW warrranty in catalogue. Catalog is set and priced. Will open for all regions in Q3 release cycle (August)</t>
        </is>
      </c>
      <c r="D85" s="366" t="inlineStr">
        <is>
          <t>Nisha L/Rohit</t>
        </is>
      </c>
      <c r="E85" s="367" t="n">
        <v>46258</v>
      </c>
      <c r="F85" s="371" t="n">
        <v>4</v>
      </c>
      <c r="H85" s="732" t="n"/>
      <c r="I85" s="685" t="n"/>
      <c r="J85" s="685" t="n"/>
      <c r="K85" s="685" t="n"/>
      <c r="L85" s="685" t="n"/>
      <c r="M85" s="685" t="n"/>
      <c r="N85" s="685" t="n"/>
      <c r="O85" s="733" t="n"/>
    </row>
    <row r="86" ht="29.25" customHeight="1">
      <c r="A86" s="732" t="n"/>
      <c r="B86" s="685" t="n"/>
      <c r="C86" s="685" t="n"/>
      <c r="D86" s="685" t="n"/>
      <c r="E86" s="685" t="n"/>
      <c r="F86" s="733" t="n"/>
      <c r="H86" s="372" t="n"/>
      <c r="I86" s="373" t="n"/>
      <c r="J86" s="373" t="n"/>
      <c r="K86" s="373" t="n"/>
      <c r="L86" s="373" t="n"/>
      <c r="M86" s="368" t="n"/>
      <c r="N86" s="373" t="n"/>
      <c r="O86" s="374" t="n"/>
    </row>
    <row r="87" hidden="1" ht="15.75" customHeight="1">
      <c r="A87" s="364" t="inlineStr">
        <is>
          <t>Win rate for NPIs</t>
        </is>
      </c>
      <c r="B87" s="375" t="inlineStr">
        <is>
          <t>Win rate for Z10/30 is dipping
Budget not available  for Growth Sales Campaign</t>
        </is>
      </c>
      <c r="C87" s="353" t="inlineStr">
        <is>
          <t>Drive volume and higher ASP through targeted sales competition to drive win rate for Z10/30/90</t>
        </is>
      </c>
      <c r="D87" s="352" t="inlineStr">
        <is>
          <t>Nisha L</t>
        </is>
      </c>
      <c r="E87" s="376" t="n">
        <v>46157</v>
      </c>
      <c r="F87" s="371" t="n">
        <v>5</v>
      </c>
      <c r="H87" s="732" t="n"/>
      <c r="I87" s="685" t="n"/>
      <c r="J87" s="685" t="n"/>
      <c r="K87" s="685" t="n"/>
      <c r="L87" s="685" t="n"/>
      <c r="M87" s="685" t="n"/>
      <c r="N87" s="685" t="n"/>
      <c r="O87" s="733" t="n"/>
    </row>
    <row r="88" ht="17.1" customHeight="1">
      <c r="A88" s="732" t="n"/>
      <c r="B88" s="685" t="n"/>
      <c r="C88" s="685" t="n"/>
      <c r="D88" s="685" t="n"/>
      <c r="E88" s="685" t="n"/>
      <c r="F88" s="733" t="n"/>
      <c r="H88" s="372" t="n"/>
      <c r="I88" s="373" t="n"/>
      <c r="J88" s="373" t="n"/>
      <c r="K88" s="373" t="n"/>
      <c r="L88" s="373" t="n"/>
      <c r="M88" s="368" t="n"/>
      <c r="N88" s="373" t="n"/>
      <c r="O88" s="374" t="n"/>
    </row>
    <row r="89" ht="32.65" customHeight="1">
      <c r="A89" s="364" t="inlineStr">
        <is>
          <t>Win rate for NPIs</t>
        </is>
      </c>
      <c r="B89" s="378" t="inlineStr">
        <is>
          <t>Solo is the main reason for loss in Z30 segment</t>
        </is>
      </c>
      <c r="C89" s="353" t="inlineStr">
        <is>
          <t>Problem solving Session with MT ( Rohit et al) on the Z30 positioning against Solo and counters effectiveness. Analysis is completed and call to be set up with MT members based on availability.</t>
        </is>
      </c>
      <c r="D89" s="352" t="inlineStr">
        <is>
          <t>Nisha L</t>
        </is>
      </c>
      <c r="E89" s="367" t="n">
        <v>46228</v>
      </c>
      <c r="F89" s="371" t="n">
        <v>3</v>
      </c>
      <c r="H89" s="501" t="n"/>
      <c r="I89" s="373" t="n"/>
      <c r="J89" s="373" t="n"/>
      <c r="K89" s="373" t="n"/>
      <c r="L89" s="373" t="n"/>
      <c r="M89" s="373" t="n"/>
      <c r="N89" s="373" t="n"/>
      <c r="O89" s="373" t="n"/>
    </row>
    <row r="90" ht="38.1" customHeight="1">
      <c r="A90" s="732" t="n"/>
      <c r="B90" s="685" t="n"/>
      <c r="C90" s="685" t="n"/>
      <c r="D90" s="685" t="n"/>
      <c r="E90" s="685" t="n"/>
      <c r="F90" s="733" t="n"/>
      <c r="H90" s="372" t="n"/>
      <c r="I90" s="373" t="n"/>
      <c r="J90" s="373" t="n"/>
      <c r="K90" s="373" t="n"/>
      <c r="L90" s="373" t="n"/>
      <c r="M90" s="368" t="n"/>
      <c r="N90" s="373" t="n"/>
      <c r="O90" s="374" t="n"/>
    </row>
    <row r="91" ht="36.6" customHeight="1">
      <c r="A91" s="364" t="inlineStr">
        <is>
          <t>Win rate for NPIs</t>
        </is>
      </c>
      <c r="B91" s="377" t="inlineStr">
        <is>
          <t xml:space="preserve">Zenition 30 - Losing against GE, and Siemens </t>
        </is>
      </c>
      <c r="C91" s="353" t="inlineStr">
        <is>
          <t xml:space="preserve">Sales team trained on Jul-10 through webinar on Z30 competition on latest landmines against GE OEC One, Siemens Cios Flow.Neo </t>
        </is>
      </c>
      <c r="D91" s="352" t="inlineStr">
        <is>
          <t>Nisha L</t>
        </is>
      </c>
      <c r="E91" s="367" t="n">
        <v>46213</v>
      </c>
      <c r="F91" s="371" t="n">
        <v>5</v>
      </c>
      <c r="H91" s="732" t="n"/>
      <c r="I91" s="685" t="n"/>
      <c r="J91" s="685" t="n"/>
      <c r="K91" s="685" t="n"/>
      <c r="L91" s="685" t="n"/>
      <c r="M91" s="685" t="n"/>
      <c r="N91" s="685" t="n"/>
      <c r="O91" s="733" t="n"/>
    </row>
    <row r="92" ht="16.5" customHeight="1">
      <c r="A92" s="732" t="n"/>
      <c r="B92" s="685" t="n"/>
      <c r="C92" s="685" t="n"/>
      <c r="D92" s="685" t="n"/>
      <c r="E92" s="685" t="n"/>
      <c r="F92" s="733" t="n"/>
      <c r="H92" s="372" t="n"/>
      <c r="I92" s="373" t="n"/>
      <c r="J92" s="373" t="n"/>
      <c r="K92" s="381" t="n"/>
      <c r="L92" s="373" t="n"/>
      <c r="M92" s="368" t="n"/>
      <c r="N92" s="369" t="n"/>
      <c r="O92" s="370" t="n"/>
    </row>
    <row r="93" ht="28.5" customHeight="1">
      <c r="A93" s="382" t="inlineStr">
        <is>
          <t>Win rate for NPIs</t>
        </is>
      </c>
      <c r="B93" s="407" t="inlineStr">
        <is>
          <t xml:space="preserve">Z10/30 losing on pricing </t>
        </is>
      </c>
      <c r="C93" s="387" t="inlineStr">
        <is>
          <t xml:space="preserve">
Short term - Proposal being worked on country-wise target price to win more in Growth region. Awaiting Mahmut's confirmation on proposal shared.
Long term - Bom cost analysis and reduction strategy for Zenition 10</t>
        </is>
      </c>
      <c r="D93" s="388" t="inlineStr">
        <is>
          <t>Nisha L/Mahmut</t>
        </is>
      </c>
      <c r="E93" s="379" t="n">
        <v>46218</v>
      </c>
      <c r="F93" s="380" t="n">
        <v>3</v>
      </c>
      <c r="H93" s="732" t="n"/>
      <c r="I93" s="685" t="n"/>
      <c r="J93" s="685" t="n"/>
      <c r="K93" s="685" t="n"/>
      <c r="L93" s="685" t="n"/>
      <c r="M93" s="685" t="n"/>
      <c r="N93" s="685" t="n"/>
      <c r="O93" s="733" t="n"/>
    </row>
    <row r="94" ht="49.5" customFormat="1" customHeight="1" s="15">
      <c r="A94" s="671" t="n"/>
      <c r="B94" s="671" t="n"/>
      <c r="C94" s="671" t="n"/>
      <c r="D94" s="671" t="n"/>
      <c r="E94" s="671" t="n"/>
      <c r="F94" s="671" t="n"/>
      <c r="G94" s="53" t="n"/>
      <c r="H94" s="372" t="n"/>
      <c r="I94" s="373" t="n"/>
      <c r="J94" s="373" t="n"/>
      <c r="K94" s="369" t="n"/>
      <c r="L94" s="373" t="n"/>
      <c r="M94" s="368" t="n"/>
      <c r="N94" s="373" t="n"/>
      <c r="O94" s="374" t="n"/>
    </row>
    <row r="95" hidden="1" ht="25.5" customFormat="1" customHeight="1" s="15">
      <c r="A95" s="382" t="inlineStr">
        <is>
          <t>Win rate for NPIs</t>
        </is>
      </c>
      <c r="B95" s="386" t="inlineStr">
        <is>
          <t>Z30/10 losing on pricing and vs Solo</t>
        </is>
      </c>
      <c r="C95" s="387" t="inlineStr">
        <is>
          <t xml:space="preserve">Sales competition campaign to be introduced to maximise win for Z10/30 in Growth and EU and get the mindshare of the account managers - Budget not approved </t>
        </is>
      </c>
      <c r="D95" s="388" t="inlineStr">
        <is>
          <t>Nisha L/Ketan</t>
        </is>
      </c>
      <c r="E95" s="379" t="n">
        <v>46210</v>
      </c>
      <c r="F95" s="380" t="n">
        <v>5</v>
      </c>
      <c r="G95" s="53" t="n"/>
      <c r="H95" s="732" t="n"/>
      <c r="I95" s="685" t="n"/>
      <c r="J95" s="685" t="n"/>
      <c r="K95" s="685" t="n"/>
      <c r="L95" s="685" t="n"/>
      <c r="M95" s="685" t="n"/>
      <c r="N95" s="685" t="n"/>
      <c r="O95" s="733" t="n"/>
    </row>
    <row r="96" hidden="1" ht="26.65" customFormat="1" customHeight="1" s="15">
      <c r="A96" s="671" t="n"/>
      <c r="B96" s="671" t="n"/>
      <c r="C96" s="671" t="n"/>
      <c r="D96" s="671" t="n"/>
      <c r="E96" s="671" t="n"/>
      <c r="F96" s="671" t="n"/>
      <c r="G96" s="53" t="n"/>
      <c r="H96" s="177" t="n"/>
      <c r="I96" s="177" t="n"/>
      <c r="J96" s="177" t="n"/>
      <c r="K96" s="177" t="n"/>
      <c r="L96" s="177" t="n"/>
      <c r="N96" s="177" t="n"/>
      <c r="O96" s="177" t="n"/>
    </row>
    <row r="97" hidden="1" ht="23.65" customFormat="1" customHeight="1" s="15">
      <c r="A97" s="382" t="inlineStr">
        <is>
          <t>Dhruv  Commercial Launch</t>
        </is>
      </c>
      <c r="B97" s="383" t="inlineStr">
        <is>
          <t xml:space="preserve">NDA with J&amp;J behind schedule </t>
        </is>
      </c>
      <c r="C97" s="384" t="inlineStr">
        <is>
          <t xml:space="preserve">Help required from Geoff DeCosta--&gt; NDA has been signed </t>
        </is>
      </c>
      <c r="D97" s="385" t="inlineStr">
        <is>
          <t>Shomik M</t>
        </is>
      </c>
      <c r="E97" s="379" t="n">
        <v>46129</v>
      </c>
      <c r="F97" s="380" t="n">
        <v>5</v>
      </c>
      <c r="G97" s="53" t="n"/>
      <c r="H97" s="177" t="n"/>
      <c r="I97" s="177" t="n"/>
      <c r="J97" s="177" t="n"/>
      <c r="K97" s="177" t="n"/>
      <c r="L97" s="177" t="n"/>
      <c r="N97" s="177" t="n"/>
      <c r="O97" s="177" t="n"/>
    </row>
    <row r="98" hidden="1" ht="16.5" customHeight="1">
      <c r="A98" s="671" t="n"/>
      <c r="B98" s="671" t="n"/>
      <c r="C98" s="671" t="n"/>
      <c r="D98" s="671" t="n"/>
      <c r="E98" s="671" t="n"/>
      <c r="F98" s="671" t="n"/>
      <c r="H98" s="177" t="n"/>
      <c r="I98" s="177" t="n"/>
      <c r="J98" s="177" t="n"/>
      <c r="K98" s="177" t="n"/>
      <c r="L98" s="177" t="n"/>
      <c r="M98" s="15" t="n"/>
      <c r="N98" s="177" t="n"/>
      <c r="O98" s="177" t="n"/>
    </row>
    <row r="99" ht="97.15000000000001" customHeight="1">
      <c r="A99" s="382" t="inlineStr">
        <is>
          <t>Dhruv  Commercial Launch</t>
        </is>
      </c>
      <c r="B99" s="386" t="inlineStr">
        <is>
          <t xml:space="preserve">Readiness for commercial success of Dhruv </t>
        </is>
      </c>
      <c r="C99" s="387" t="inlineStr">
        <is>
          <t>Product imagery delayed
MVS files revised. Added 1 week delay. C-Stand files are still undergoing revision. Total delay of about 10 weeks.
WK29 input will be considered as final design. If any significant changes happen, we will evaluate its impact.</t>
        </is>
      </c>
      <c r="D99" s="388" t="inlineStr">
        <is>
          <t>Shomik M/Anshuman</t>
        </is>
      </c>
      <c r="E99" s="379" t="inlineStr">
        <is>
          <t>5/15/2026
6/15/2026</t>
        </is>
      </c>
      <c r="F99" s="380" t="n">
        <v>4</v>
      </c>
      <c r="H99" s="177" t="n"/>
      <c r="I99" s="177" t="n"/>
      <c r="J99" s="177" t="n"/>
      <c r="K99" s="177" t="n"/>
      <c r="L99" s="177" t="n"/>
      <c r="M99" s="15" t="n"/>
      <c r="N99" s="177" t="n"/>
      <c r="O99" s="177" t="n"/>
    </row>
    <row r="100" ht="81" customHeight="1">
      <c r="A100" s="671" t="n"/>
      <c r="B100" s="671" t="n"/>
      <c r="C100" s="671" t="n"/>
      <c r="D100" s="671" t="n"/>
      <c r="E100" s="671" t="n"/>
      <c r="F100" s="671" t="n"/>
      <c r="H100" s="177" t="n"/>
      <c r="I100" s="177" t="n"/>
      <c r="J100" s="177" t="n"/>
      <c r="K100" s="177" t="n"/>
      <c r="L100" s="177" t="n"/>
      <c r="M100" s="15" t="n"/>
      <c r="N100" s="177" t="n"/>
      <c r="O100" s="177" t="n"/>
    </row>
    <row r="101" ht="119.65" customHeight="1">
      <c r="A101" s="382" t="inlineStr">
        <is>
          <t>Dhruv  Commercial Launch</t>
        </is>
      </c>
      <c r="B101" s="387" t="inlineStr">
        <is>
          <t>Readiness for commercial success of Dhruv</t>
        </is>
      </c>
      <c r="C101" s="580" t="inlineStr">
        <is>
          <t>Vendor finalization pending for Formative &amp; Claims Study
Final quotes recieved from both vendors in WK27(30Jun26). Procurement tasks and PO generation activity underway. Expecting vendor finalization by 24July26.
Will explore exclusion of Claims in first set of Marketing assets(510K pending stage), if there is no impact to OIT and Sales and impact to marketing budget is acceptable.</t>
        </is>
      </c>
      <c r="D101" s="388" t="inlineStr">
        <is>
          <t>Shomik M / Anshuman / Ashish S</t>
        </is>
      </c>
      <c r="E101" s="379" t="inlineStr">
        <is>
          <t>5/22/2026
6/19/2026</t>
        </is>
      </c>
      <c r="F101" s="380" t="n">
        <v>3</v>
      </c>
      <c r="H101" s="177" t="n"/>
      <c r="I101" s="177" t="n"/>
      <c r="J101" s="177" t="n"/>
      <c r="K101" s="177" t="n"/>
      <c r="L101" s="177" t="n"/>
      <c r="M101" s="15" t="n"/>
      <c r="N101" s="177" t="n"/>
      <c r="O101" s="177" t="n"/>
    </row>
    <row r="102" ht="91.5" customHeight="1">
      <c r="A102" s="671" t="n"/>
      <c r="B102" s="671" t="n"/>
      <c r="C102" s="671" t="n"/>
      <c r="D102" s="671" t="n"/>
      <c r="E102" s="671" t="n"/>
      <c r="F102" s="671" t="n"/>
      <c r="H102" s="177" t="n"/>
      <c r="I102" s="177" t="n"/>
      <c r="J102" s="177" t="n"/>
      <c r="K102" s="177" t="n"/>
      <c r="L102" s="177" t="n"/>
      <c r="M102" s="15" t="n"/>
      <c r="N102" s="177" t="n"/>
      <c r="O102" s="177" t="n"/>
    </row>
    <row r="103" hidden="1" ht="51.75" customHeight="1">
      <c r="A103" s="382" t="inlineStr">
        <is>
          <t>%CTP</t>
        </is>
      </c>
      <c r="B103" s="387" t="inlineStr">
        <is>
          <t>Zenition lite configuration was contributing to a less richer configuration</t>
        </is>
      </c>
      <c r="C103" s="388" t="inlineStr">
        <is>
          <t>Closure of Zenition Lite configs in catalogue</t>
        </is>
      </c>
      <c r="D103" s="388" t="inlineStr">
        <is>
          <t xml:space="preserve">Intekhab </t>
        </is>
      </c>
      <c r="E103" s="379" t="n">
        <v>46068</v>
      </c>
      <c r="F103" s="380" t="n">
        <v>5</v>
      </c>
      <c r="H103" s="177" t="n"/>
      <c r="I103" s="177" t="n"/>
      <c r="J103" s="177" t="n"/>
      <c r="K103" s="177" t="n"/>
      <c r="L103" s="177" t="n"/>
      <c r="M103" s="15" t="n"/>
      <c r="N103" s="177" t="n"/>
      <c r="O103" s="177" t="n"/>
    </row>
    <row r="104" hidden="1" ht="17.25" customHeight="1">
      <c r="A104" s="671" t="n"/>
      <c r="B104" s="671" t="n"/>
      <c r="C104" s="671" t="n"/>
      <c r="D104" s="671" t="n"/>
      <c r="E104" s="671" t="n"/>
      <c r="F104" s="671" t="n"/>
    </row>
    <row r="105" ht="67.15000000000001" customHeight="1">
      <c r="A105" s="382" t="inlineStr">
        <is>
          <t>Dhruv  Commercial Launch</t>
        </is>
      </c>
      <c r="B105" s="387" t="inlineStr">
        <is>
          <t>Readiness for commercial success of Dhruv</t>
        </is>
      </c>
      <c r="C105" s="387" t="inlineStr">
        <is>
          <t>NAR Launch plan creation running late
Resumed this workstream with NAR, and running 1 month late. Initial discussion done, expecting plan creation by 26WK29.
Prep ongoing, expected completion: 26WK31. Plans being made for NASS-2026 as a NDA roadshow and Launch is preferred at NASS 2027 as it is a Spine Show. AAOS has too much of ortho-activity going on and we can get lost.</t>
        </is>
      </c>
      <c r="D105" s="388" t="inlineStr">
        <is>
          <t>Shomik, Jason</t>
        </is>
      </c>
      <c r="E105" s="379" t="n">
        <v>46220</v>
      </c>
      <c r="F105" s="380" t="n">
        <v>3</v>
      </c>
    </row>
    <row r="106" ht="57.6" customHeight="1">
      <c r="A106" s="671" t="n"/>
      <c r="B106" s="671" t="n"/>
      <c r="C106" s="671" t="n"/>
      <c r="D106" s="671" t="n"/>
      <c r="E106" s="671" t="n"/>
      <c r="F106" s="671" t="n"/>
    </row>
    <row r="107" ht="44.1" customHeight="1">
      <c r="A107" s="382" t="inlineStr">
        <is>
          <t>Dhruv  Commercial Launch</t>
        </is>
      </c>
      <c r="B107" s="387" t="inlineStr">
        <is>
          <t>Messaging input finalization running late</t>
        </is>
      </c>
      <c r="C107" s="387" t="inlineStr">
        <is>
          <t>Final Product Messaging running late
Philips overall and IGTS have moved to Value Based Messaging. We learnt this mid-way of our messaging and are pivoting to 
Value Based Messaging. Initial discussions done with vendor. Internal workshop planned to identify the best plan to recover the delay.</t>
        </is>
      </c>
      <c r="D107" s="388" t="inlineStr">
        <is>
          <t>Shomik, Rohan</t>
        </is>
      </c>
      <c r="E107" s="379" t="n">
        <v>46234</v>
      </c>
      <c r="F107" s="380" t="n">
        <v>3</v>
      </c>
    </row>
    <row r="108" ht="44.1" customHeight="1">
      <c r="A108" s="671" t="n"/>
      <c r="B108" s="671" t="n"/>
      <c r="C108" s="671" t="n"/>
      <c r="D108" s="671" t="n"/>
      <c r="E108" s="671" t="n"/>
      <c r="F108" s="671" t="n"/>
    </row>
    <row r="109" hidden="1" ht="17.25" customHeight="1">
      <c r="A109" s="382" t="inlineStr">
        <is>
          <t xml:space="preserve">% CTP </t>
        </is>
      </c>
      <c r="B109" s="388" t="inlineStr">
        <is>
          <t>84.2% Customer Target Price (CTP) realisation in CEE &amp; UK for Zenition portfolio for YTD 2026. It was 92% CTP realisation for same period in 2025</t>
        </is>
      </c>
      <c r="C109" s="388" t="inlineStr">
        <is>
          <t>Z70 discounting control for Europe. Zone CP escalation threshold changed from standard delegation to -7%. 3% indexation planned for July.</t>
        </is>
      </c>
      <c r="D109" s="388" t="inlineStr">
        <is>
          <t>PMs and Intekhab</t>
        </is>
      </c>
      <c r="E109" s="379" t="n">
        <v>46217</v>
      </c>
      <c r="F109" s="380" t="n">
        <v>5</v>
      </c>
    </row>
    <row r="110" hidden="1" ht="34.5" customHeight="1">
      <c r="A110" s="671" t="n"/>
      <c r="B110" s="671" t="n"/>
      <c r="C110" s="671" t="n"/>
      <c r="D110" s="671" t="n"/>
      <c r="E110" s="671" t="n"/>
      <c r="F110" s="671" t="n"/>
    </row>
    <row r="111" ht="39.75" customHeight="1">
      <c r="A111" s="310" t="inlineStr">
        <is>
          <t xml:space="preserve">% CTP </t>
        </is>
      </c>
      <c r="B111" s="352" t="inlineStr">
        <is>
          <t xml:space="preserve">Driving up price of Z90 in US &amp; EU and in effect the pricing of portfolio is improved </t>
        </is>
      </c>
      <c r="C111" s="352" t="inlineStr">
        <is>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is>
      </c>
      <c r="D111" s="352" t="inlineStr">
        <is>
          <t>Pedro Sanches</t>
        </is>
      </c>
      <c r="E111" s="367" t="inlineStr">
        <is>
          <t>5/30/2026
2026</t>
        </is>
      </c>
      <c r="F111" s="371" t="n">
        <v>3</v>
      </c>
    </row>
    <row r="112" ht="123.75" customHeight="1" thickBot="1">
      <c r="A112" s="311" t="n"/>
      <c r="B112" s="685" t="n"/>
      <c r="C112" s="685" t="n"/>
      <c r="D112" s="685" t="n"/>
      <c r="E112" s="685" t="n"/>
      <c r="F112" s="733" t="n"/>
    </row>
    <row r="113" hidden="1" ht="36" customHeight="1">
      <c r="A113" s="364" t="inlineStr">
        <is>
          <t xml:space="preserve">% CTP </t>
        </is>
      </c>
      <c r="B113" s="352" t="inlineStr">
        <is>
          <t>NAR contributes -ve Price realisation albeit  only -3%</t>
        </is>
      </c>
      <c r="C113" s="352" t="inlineStr">
        <is>
          <t xml:space="preserve">Reimbursement for EP procedures in ASC centers since Jan 2026. Webinar and asset release on Z90  value prop and positioning in  EP; Training completed for NAR </t>
        </is>
      </c>
      <c r="D113" s="352" t="inlineStr">
        <is>
          <t>Pedro Sanches</t>
        </is>
      </c>
      <c r="E113" s="367" t="n">
        <v>46157</v>
      </c>
      <c r="F113" s="371" t="n">
        <v>5</v>
      </c>
    </row>
    <row r="114" hidden="1" ht="36" customHeight="1">
      <c r="A114" s="732" t="n"/>
      <c r="B114" s="685" t="n"/>
      <c r="C114" s="685" t="n"/>
      <c r="D114" s="685" t="n"/>
      <c r="E114" s="685" t="n"/>
      <c r="F114" s="733" t="n"/>
    </row>
    <row r="115" hidden="1" ht="33" customHeight="1">
      <c r="A115" s="729" t="inlineStr">
        <is>
          <t>Sales Training</t>
        </is>
      </c>
      <c r="B115" s="388" t="inlineStr">
        <is>
          <t>Cancellation of Growth Training</t>
        </is>
      </c>
      <c r="C115" s="388" t="inlineStr">
        <is>
          <t>Sales Training planned for  LATAM and  Japan  in  April'26 and May '26 respectively</t>
        </is>
      </c>
      <c r="D115" s="388" t="inlineStr">
        <is>
          <t>Santosh Shivle</t>
        </is>
      </c>
      <c r="E115" s="379" t="n">
        <v>46172</v>
      </c>
      <c r="F115" s="700" t="n">
        <v>5</v>
      </c>
    </row>
    <row r="116" hidden="1" ht="25.5" customHeight="1" thickBot="1">
      <c r="A116" s="705" t="n"/>
      <c r="B116" s="671" t="n"/>
      <c r="C116" s="671" t="n"/>
      <c r="D116" s="671" t="n"/>
      <c r="E116" s="671" t="n"/>
      <c r="F116" s="672" t="n"/>
      <c r="G116" s="52" t="n"/>
    </row>
    <row r="117" ht="45" customHeight="1">
      <c r="A117" s="280" t="inlineStr">
        <is>
          <t>Action not assigned</t>
        </is>
      </c>
      <c r="B117" s="280" t="inlineStr">
        <is>
          <t>Action assigned</t>
        </is>
      </c>
      <c r="C117" s="281" t="inlineStr">
        <is>
          <t>Action started</t>
        </is>
      </c>
      <c r="D117" s="281" t="inlineStr">
        <is>
          <t>Action completed</t>
        </is>
      </c>
      <c r="E117" s="757" t="inlineStr">
        <is>
          <t>Resolution confirmed</t>
        </is>
      </c>
      <c r="F117" s="716" t="n"/>
      <c r="G117" s="52" t="n"/>
    </row>
    <row r="118" ht="21.75" customHeight="1">
      <c r="A118" s="52" t="n"/>
      <c r="C118" s="52" t="n"/>
      <c r="D118" s="52" t="n"/>
      <c r="E118" s="52" t="n"/>
      <c r="F118" s="52" t="n"/>
      <c r="G118" s="52" t="n"/>
    </row>
    <row r="119" ht="36" customHeight="1">
      <c r="G119" s="52" t="n"/>
    </row>
    <row r="120" ht="21.75" customHeight="1">
      <c r="G120" s="52" t="n"/>
    </row>
    <row r="121" ht="21.75" customHeight="1">
      <c r="G121" s="52" t="n"/>
    </row>
    <row r="122" ht="21.75" customHeight="1">
      <c r="G122" s="52" t="n"/>
    </row>
    <row r="123" ht="21.75" customHeight="1">
      <c r="G123" s="52" t="n"/>
    </row>
    <row r="124" ht="21.75" customHeight="1">
      <c r="G124" s="52" t="n"/>
      <c r="H124" s="52" t="n"/>
    </row>
    <row r="125" ht="21.75" customHeight="1">
      <c r="G125" s="52" t="n"/>
    </row>
    <row r="126" ht="21.75" customHeight="1">
      <c r="B126" s="52" t="inlineStr">
        <is>
          <t>Notes Rohan</t>
        </is>
      </c>
      <c r="G126" s="52" t="n"/>
    </row>
    <row r="127" ht="87" customHeight="1">
      <c r="B127" s="293" t="inlineStr">
        <is>
          <t xml:space="preserve">-IB asset is red due to service claims
-Product imagery / Application for FD17 is red due to delay of STP files of MUS (make up sheet)
</t>
        </is>
      </c>
      <c r="G127" s="52" t="n"/>
    </row>
    <row r="128" ht="21.75" customHeight="1">
      <c r="G128" s="52" t="n"/>
    </row>
    <row r="129" ht="21.75" customHeight="1">
      <c r="G129" s="52" t="n"/>
    </row>
    <row r="130">
      <c r="G130" s="52" t="n"/>
    </row>
  </sheetData>
  <mergeCells count="204">
    <mergeCell ref="E8:E9"/>
    <mergeCell ref="G8:G9"/>
    <mergeCell ref="D99:D100"/>
    <mergeCell ref="D22:D23"/>
    <mergeCell ref="F99:F100"/>
    <mergeCell ref="A16:A17"/>
    <mergeCell ref="A105:A106"/>
    <mergeCell ref="C10:C11"/>
    <mergeCell ref="F95:F96"/>
    <mergeCell ref="C16:C17"/>
    <mergeCell ref="E10:E11"/>
    <mergeCell ref="B101:B102"/>
    <mergeCell ref="B14:B15"/>
    <mergeCell ref="G10:G11"/>
    <mergeCell ref="F18:F19"/>
    <mergeCell ref="M90:M91"/>
    <mergeCell ref="D101:D102"/>
    <mergeCell ref="F101:F102"/>
    <mergeCell ref="E87:E88"/>
    <mergeCell ref="A99:A100"/>
    <mergeCell ref="K90:K91"/>
    <mergeCell ref="C93:C94"/>
    <mergeCell ref="D16:D17"/>
    <mergeCell ref="A91:A92"/>
    <mergeCell ref="D87:D88"/>
    <mergeCell ref="H94:H95"/>
    <mergeCell ref="A85:A86"/>
    <mergeCell ref="A113:A114"/>
    <mergeCell ref="B6:B7"/>
    <mergeCell ref="G18:G19"/>
    <mergeCell ref="E89:E90"/>
    <mergeCell ref="A81:F81"/>
    <mergeCell ref="H90:H91"/>
    <mergeCell ref="C105:C106"/>
    <mergeCell ref="E105:E106"/>
    <mergeCell ref="B103:B104"/>
    <mergeCell ref="A22:A23"/>
    <mergeCell ref="D18:D19"/>
    <mergeCell ref="J94:J95"/>
    <mergeCell ref="D103:D104"/>
    <mergeCell ref="E113:E114"/>
    <mergeCell ref="L94:L95"/>
    <mergeCell ref="D8:D9"/>
    <mergeCell ref="A20:A21"/>
    <mergeCell ref="N90:N91"/>
    <mergeCell ref="E101:E102"/>
    <mergeCell ref="E115:E116"/>
    <mergeCell ref="G22:G23"/>
    <mergeCell ref="I84:I85"/>
    <mergeCell ref="H92:H93"/>
    <mergeCell ref="D10:D11"/>
    <mergeCell ref="B91:B92"/>
    <mergeCell ref="C6:C7"/>
    <mergeCell ref="C111:C112"/>
    <mergeCell ref="E93:E94"/>
    <mergeCell ref="I86:I87"/>
    <mergeCell ref="F16:F17"/>
    <mergeCell ref="B97:B98"/>
    <mergeCell ref="C14:C15"/>
    <mergeCell ref="E14:E15"/>
    <mergeCell ref="K92:K93"/>
    <mergeCell ref="B93:B94"/>
    <mergeCell ref="E117:F117"/>
    <mergeCell ref="F83:F84"/>
    <mergeCell ref="A45:B45"/>
    <mergeCell ref="A103:A104"/>
    <mergeCell ref="C85:C86"/>
    <mergeCell ref="C97:C98"/>
    <mergeCell ref="K94:K95"/>
    <mergeCell ref="F20:F21"/>
    <mergeCell ref="O92:O93"/>
    <mergeCell ref="M94:M95"/>
    <mergeCell ref="F85:F86"/>
    <mergeCell ref="A87:A88"/>
    <mergeCell ref="C109:C110"/>
    <mergeCell ref="E103:E104"/>
    <mergeCell ref="N92:N93"/>
    <mergeCell ref="F22:F23"/>
    <mergeCell ref="A89:A90"/>
    <mergeCell ref="A8:A9"/>
    <mergeCell ref="L84:L85"/>
    <mergeCell ref="C95:C96"/>
    <mergeCell ref="C8:C9"/>
    <mergeCell ref="N84:N85"/>
    <mergeCell ref="E95:E96"/>
    <mergeCell ref="F109:F110"/>
    <mergeCell ref="E91:E92"/>
    <mergeCell ref="B95:B96"/>
    <mergeCell ref="A10:A11"/>
    <mergeCell ref="L86:L87"/>
    <mergeCell ref="A115:A116"/>
    <mergeCell ref="N86:N87"/>
    <mergeCell ref="F111:F112"/>
    <mergeCell ref="E97:E98"/>
    <mergeCell ref="C87:C88"/>
    <mergeCell ref="C83:C84"/>
    <mergeCell ref="E83:E84"/>
    <mergeCell ref="B16:B17"/>
    <mergeCell ref="M92:M93"/>
    <mergeCell ref="O86:O87"/>
    <mergeCell ref="A107:A108"/>
    <mergeCell ref="C18:C19"/>
    <mergeCell ref="F10:F11"/>
    <mergeCell ref="J92:J93"/>
    <mergeCell ref="N94:N95"/>
    <mergeCell ref="C101:C102"/>
    <mergeCell ref="C107:C108"/>
    <mergeCell ref="C103:C104"/>
    <mergeCell ref="H82:O82"/>
    <mergeCell ref="B18:B19"/>
    <mergeCell ref="C20:C21"/>
    <mergeCell ref="C113:C114"/>
    <mergeCell ref="E20:E21"/>
    <mergeCell ref="B8:B9"/>
    <mergeCell ref="B46:F46"/>
    <mergeCell ref="A6:A7"/>
    <mergeCell ref="F89:F90"/>
    <mergeCell ref="B105:B106"/>
    <mergeCell ref="C22:C23"/>
    <mergeCell ref="C115:C116"/>
    <mergeCell ref="D105:D106"/>
    <mergeCell ref="F8:F9"/>
    <mergeCell ref="F113:F114"/>
    <mergeCell ref="F91:F92"/>
    <mergeCell ref="E99:E100"/>
    <mergeCell ref="G6:G7"/>
    <mergeCell ref="B107:B108"/>
    <mergeCell ref="D107:D108"/>
    <mergeCell ref="A3:B3"/>
    <mergeCell ref="A14:A15"/>
    <mergeCell ref="F115:F116"/>
    <mergeCell ref="H84:H85"/>
    <mergeCell ref="F93:F94"/>
    <mergeCell ref="B83:B84"/>
    <mergeCell ref="F105:F106"/>
    <mergeCell ref="D83:D84"/>
    <mergeCell ref="A42:E42"/>
    <mergeCell ref="C91:C92"/>
    <mergeCell ref="J90:J91"/>
    <mergeCell ref="H86:H87"/>
    <mergeCell ref="B99:B100"/>
    <mergeCell ref="L90:L91"/>
    <mergeCell ref="B20:B21"/>
    <mergeCell ref="E16:E17"/>
    <mergeCell ref="A97:A98"/>
    <mergeCell ref="D20:D21"/>
    <mergeCell ref="G16:G17"/>
    <mergeCell ref="I94:I95"/>
    <mergeCell ref="D14:D15"/>
    <mergeCell ref="D93:D94"/>
    <mergeCell ref="D85:D86"/>
    <mergeCell ref="F14:F15"/>
    <mergeCell ref="I90:I91"/>
    <mergeCell ref="A93:A94"/>
    <mergeCell ref="B22:B23"/>
    <mergeCell ref="E18:E19"/>
    <mergeCell ref="A83:A84"/>
    <mergeCell ref="B85:B86"/>
    <mergeCell ref="O90:O91"/>
    <mergeCell ref="F87:F88"/>
    <mergeCell ref="D6:D7"/>
    <mergeCell ref="F6:F7"/>
    <mergeCell ref="B109:B110"/>
    <mergeCell ref="J84:J85"/>
    <mergeCell ref="D109:D110"/>
    <mergeCell ref="F103:F104"/>
    <mergeCell ref="C89:C90"/>
    <mergeCell ref="E107:E108"/>
    <mergeCell ref="B111:B112"/>
    <mergeCell ref="J86:J87"/>
    <mergeCell ref="D111:D112"/>
    <mergeCell ref="K84:K85"/>
    <mergeCell ref="M84:M85"/>
    <mergeCell ref="L92:L93"/>
    <mergeCell ref="O84:O85"/>
    <mergeCell ref="D95:D96"/>
    <mergeCell ref="D91:D92"/>
    <mergeCell ref="C99:C100"/>
    <mergeCell ref="I92:I93"/>
    <mergeCell ref="A95:A96"/>
    <mergeCell ref="E6:E7"/>
    <mergeCell ref="K86:K87"/>
    <mergeCell ref="B10:B11"/>
    <mergeCell ref="M86:M87"/>
    <mergeCell ref="A18:A19"/>
    <mergeCell ref="G20:G21"/>
    <mergeCell ref="D97:D98"/>
    <mergeCell ref="F97:F98"/>
    <mergeCell ref="G14:G15"/>
    <mergeCell ref="A101:A102"/>
    <mergeCell ref="B87:B88"/>
    <mergeCell ref="A109:A110"/>
    <mergeCell ref="E85:E86"/>
    <mergeCell ref="B89:B90"/>
    <mergeCell ref="O94:O95"/>
    <mergeCell ref="D89:D90"/>
    <mergeCell ref="E109:E110"/>
    <mergeCell ref="B113:B114"/>
    <mergeCell ref="D113:D114"/>
    <mergeCell ref="F107:F108"/>
    <mergeCell ref="E22:E23"/>
    <mergeCell ref="E111:E112"/>
    <mergeCell ref="B115:B116"/>
    <mergeCell ref="D115:D116"/>
  </mergeCells>
  <conditionalFormatting sqref="A16 A91:A111 A113:A116 C87:E87 H84:H95">
    <cfRule type="containsBlanks" priority="38" dxfId="3">
      <formula>LEN(TRIM(A16))=0</formula>
    </cfRule>
  </conditionalFormatting>
  <conditionalFormatting sqref="A83:A89">
    <cfRule type="containsBlanks" priority="11" dxfId="3">
      <formula>LEN(TRIM(A83))=0</formula>
    </cfRule>
  </conditionalFormatting>
  <conditionalFormatting sqref="A48:C48 A51 A54:C54 A57:C57 A60:B60 A63:F63 B49:F49 B52:F52 B55:F55 B58:C58 B61 B64:F64 C51:F51 C60:F61 D57:F58 E48:F48 E54:F54">
    <cfRule type="containsBlanks" priority="36" dxfId="3">
      <formula>LEN(TRIM(A48))=0</formula>
    </cfRule>
  </conditionalFormatting>
  <conditionalFormatting sqref="A6:G6 A8:G8">
    <cfRule type="containsBlanks" priority="49" dxfId="3">
      <formula>LEN(TRIM(A6))=0</formula>
    </cfRule>
  </conditionalFormatting>
  <conditionalFormatting sqref="A14:G14">
    <cfRule type="containsBlanks" priority="58" dxfId="3">
      <formula>LEN(TRIM(A14))=0</formula>
    </cfRule>
  </conditionalFormatting>
  <conditionalFormatting sqref="A18:G18">
    <cfRule type="containsBlanks" priority="44" dxfId="3">
      <formula>LEN(TRIM(A18))=0</formula>
    </cfRule>
  </conditionalFormatting>
  <conditionalFormatting sqref="A20:G20">
    <cfRule type="containsBlanks" priority="23" dxfId="3">
      <formula>LEN(TRIM(A20))=0</formula>
    </cfRule>
  </conditionalFormatting>
  <conditionalFormatting sqref="A22:G22">
    <cfRule type="containsBlanks" priority="46" dxfId="3">
      <formula>LEN(TRIM(A22))=0</formula>
    </cfRule>
  </conditionalFormatting>
  <conditionalFormatting sqref="B83:E83">
    <cfRule type="containsBlanks" priority="19" dxfId="3">
      <formula>LEN(TRIM(B83))=0</formula>
    </cfRule>
  </conditionalFormatting>
  <conditionalFormatting sqref="B85:E85">
    <cfRule type="containsBlanks" priority="18" dxfId="3">
      <formula>LEN(TRIM(B85))=0</formula>
    </cfRule>
  </conditionalFormatting>
  <conditionalFormatting sqref="B95:E95">
    <cfRule type="containsBlanks" priority="16" dxfId="3">
      <formula>LEN(TRIM(B95))=0</formula>
    </cfRule>
  </conditionalFormatting>
  <conditionalFormatting sqref="B97:E97">
    <cfRule type="containsBlanks" priority="26" dxfId="3">
      <formula>LEN(TRIM(B97))=0</formula>
    </cfRule>
  </conditionalFormatting>
  <conditionalFormatting sqref="B99:E99">
    <cfRule type="containsBlanks" priority="12" dxfId="3">
      <formula>LEN(TRIM(B99))=0</formula>
    </cfRule>
  </conditionalFormatting>
  <conditionalFormatting sqref="B101:E101">
    <cfRule type="containsBlanks" priority="13" dxfId="3">
      <formula>LEN(TRIM(B101))=0</formula>
    </cfRule>
  </conditionalFormatting>
  <conditionalFormatting sqref="B103:E103">
    <cfRule type="containsBlanks" priority="25" dxfId="3">
      <formula>LEN(TRIM(B103))=0</formula>
    </cfRule>
  </conditionalFormatting>
  <conditionalFormatting sqref="B105:E105">
    <cfRule type="containsBlanks" priority="1" dxfId="3">
      <formula>LEN(TRIM(B105))=0</formula>
    </cfRule>
  </conditionalFormatting>
  <conditionalFormatting sqref="B109:E109">
    <cfRule type="containsBlanks" priority="24" dxfId="3">
      <formula>LEN(TRIM(B109))=0</formula>
    </cfRule>
  </conditionalFormatting>
  <conditionalFormatting sqref="B111:E111">
    <cfRule type="containsBlanks" priority="22" dxfId="3">
      <formula>LEN(TRIM(B111))=0</formula>
    </cfRule>
  </conditionalFormatting>
  <conditionalFormatting sqref="B113:E113">
    <cfRule type="containsBlanks" priority="20" dxfId="3">
      <formula>LEN(TRIM(B113))=0</formula>
    </cfRule>
  </conditionalFormatting>
  <conditionalFormatting sqref="B115:E115">
    <cfRule type="containsBlanks" priority="21" dxfId="3">
      <formula>LEN(TRIM(B115))=0</formula>
    </cfRule>
  </conditionalFormatting>
  <conditionalFormatting sqref="C91:E91">
    <cfRule type="containsBlanks" priority="29" dxfId="3">
      <formula>LEN(TRIM(C91))=0</formula>
    </cfRule>
  </conditionalFormatting>
  <conditionalFormatting sqref="C93:E93">
    <cfRule type="containsBlanks" priority="17" dxfId="3">
      <formula>LEN(TRIM(C93))=0</formula>
    </cfRule>
  </conditionalFormatting>
  <conditionalFormatting sqref="C10:G10">
    <cfRule type="containsBlanks" priority="45" dxfId="3">
      <formula>LEN(TRIM(C10))=0</formula>
    </cfRule>
  </conditionalFormatting>
  <conditionalFormatting sqref="C16:G16">
    <cfRule type="containsBlanks" priority="47" dxfId="3">
      <formula>LEN(TRIM(C16))=0</formula>
    </cfRule>
  </conditionalFormatting>
  <conditionalFormatting sqref="D1 F1">
    <cfRule type="containsBlanks" priority="59" dxfId="3">
      <formula>LEN(TRIM(D1))=0</formula>
    </cfRule>
  </conditionalFormatting>
  <conditionalFormatting sqref="E89">
    <cfRule type="containsBlanks" priority="10" dxfId="3">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priority="65" dxfId="19">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priority="67" dxfId="19">
      <formula>AND(#REF!&lt;&gt;"",E85&lt;TODAY(),F85&lt;4)</formula>
    </cfRule>
  </conditionalFormatting>
  <conditionalFormatting sqref="F87">
    <cfRule type="expression" priority="33" dxfId="19">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priority="9" dxfId="1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priority="31" dxfId="19">
      <formula>AND(#REF!&lt;&gt;"",E91&lt;TODAY(),F91&lt;4)</formula>
    </cfRule>
  </conditionalFormatting>
  <conditionalFormatting sqref="F97 F99 F103 F109 F111 F113">
    <cfRule type="expression" priority="69" dxfId="19">
      <formula>AND(#REF!&lt;&gt;"",E97&lt;TODAY(),F97&lt;4)</formula>
    </cfRule>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priority="15" dxfId="19">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priority="7" dxfId="19">
      <formula>AND(#REF!&lt;&gt;"",E105&lt;TODAY(),F105&lt;4)</formula>
    </cfRule>
  </conditionalFormatting>
  <conditionalFormatting sqref="F107">
    <cfRule type="expression" priority="3" dxfId="19">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priority="28" dxfId="19">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priority="37" dxfId="3">
      <formula>LEN(TRIM(I84))=0</formula>
    </cfRule>
  </conditionalFormatting>
  <conditionalFormatting sqref="I7:T7 I9:T9 I11:T11">
    <cfRule type="containsBlanks" priority="39" dxfId="3">
      <formula>LEN(TRIM(I7))=0</formula>
    </cfRule>
  </conditionalFormatting>
  <conditionalFormatting sqref="I7:T7 I9:T9 I17:T17 I19:T19 I21:T21 I23:T23">
    <cfRule type="expression" priority="52" dxfId="0">
      <formula>AND(OR($F6="Higher the better", $F6="Higher the Better"), I7&lt;I6)</formula>
    </cfRule>
    <cfRule type="expression" priority="51" dxfId="1">
      <formula>AND(OR($F6="Lower the better", $F6="Lower the Better"), I7&lt;=I6)</formula>
    </cfRule>
    <cfRule type="expression" priority="53" dxfId="1" stopIfTrue="1">
      <formula>AND(OR($F6="Higher the better", $F6="Higher the Better"), I7&gt;=I6)</formula>
    </cfRule>
    <cfRule type="expression" priority="50" dxfId="0">
      <formula>AND(OR($F6="Lower the better", $F6="Lower the Better"), I7&gt;I6)</formula>
    </cfRule>
  </conditionalFormatting>
  <conditionalFormatting sqref="I11:T11">
    <cfRule type="expression" priority="40" dxfId="0">
      <formula>AND(OR($F10="Lower the better", $F10="Lower the Better"), I11&gt;I10)</formula>
    </cfRule>
    <cfRule type="expression" priority="61" dxfId="0">
      <formula>AND(OR($F9="Higher the better", $F9="Higher the Better"), I11&lt;I9)</formula>
    </cfRule>
    <cfRule type="expression" priority="63" dxfId="0">
      <formula>AND(OR($F9="Lower the better", $F9="Lower the Better"), I11&gt;I9)</formula>
    </cfRule>
    <cfRule type="expression" priority="41" dxfId="1">
      <formula>AND(OR($F10="Lower the better", $F10="Lower the Better"), I11&lt;=I10)</formula>
    </cfRule>
    <cfRule type="expression" priority="62" dxfId="1" stopIfTrue="1">
      <formula>AND(OR($F9="Higher the better", $F9="Higher the Better"), I11&gt;=I9)</formula>
    </cfRule>
    <cfRule type="expression" priority="42" dxfId="0">
      <formula>AND(OR($F10="Higher the better", $F10="Higher the Better"), I11&lt;I10)</formula>
    </cfRule>
    <cfRule type="expression" priority="43" dxfId="1" stopIfTrue="1">
      <formula>AND(OR($F10="Higher the better", $F10="Higher the Better"), I11&gt;=I10)</formula>
    </cfRule>
    <cfRule type="expression" priority="60" dxfId="1">
      <formula>AND(OR($F9="Lower the better", $F9="Lower the Better"), I11&lt;=I9)</formula>
    </cfRule>
  </conditionalFormatting>
  <conditionalFormatting sqref="I15:T15 I17:T17 I19:T19 I21:T21 I23:T23">
    <cfRule type="containsBlanks" priority="48" dxfId="3">
      <formula>LEN(TRIM(I15))=0</formula>
    </cfRule>
  </conditionalFormatting>
  <conditionalFormatting sqref="I15:T15">
    <cfRule type="expression" priority="56" dxfId="0">
      <formula>AND(OR($F14="Higher the better", $F14="Higher the Better"), I15&lt;I14)</formula>
    </cfRule>
    <cfRule type="expression" priority="57" dxfId="1" stopIfTrue="1">
      <formula>AND(OR($F14="Higher the better", $F14="Higher the Better"), I15&gt;=I14)</formula>
    </cfRule>
    <cfRule type="expression" priority="54" dxfId="0">
      <formula>AND(OR($F14="Lower the better", $F14="Lower the Better"), I15&gt;I14)</formula>
    </cfRule>
    <cfRule type="expression" priority="55" dxfId="1">
      <formula>AND(OR($F14="Lower the better", $F14="Lower the Better"), I15&lt;=I14)</formula>
    </cfRule>
  </conditionalFormatting>
  <conditionalFormatting sqref="M84:M88 M90:M103">
    <cfRule type="containsText" priority="35" operator="containsText" dxfId="5" text="Yes">
      <formula>NOT(ISERROR(SEARCH("Yes",M84)))</formula>
    </cfRule>
    <cfRule type="containsText" priority="34" operator="containsText" dxfId="6" text="No">
      <formula>NOT(ISERROR(SEARCH("No",M84)))</formula>
    </cfRule>
  </conditionalFormatting>
  <dataValidations count="7">
    <dataValidation sqref="E6:E11 E14:E23" showDropDown="0" showInputMessage="1" showErrorMessage="1" allowBlank="1" type="list">
      <formula1>"%, Mn, No., "</formula1>
    </dataValidation>
    <dataValidation sqref="B1:B2" showDropDown="0" showInputMessage="1" showErrorMessage="1" allowBlank="1" type="list">
      <formula1>"Jan-2026, Feb-2026, Mar-2026, Apr-2026, May-2026, Jun-2026, Jul-2026, Aug-2026, Sep-2026, Oct-2026, Nov-2026, Dec-2026"</formula1>
    </dataValidation>
    <dataValidation sqref="C6:C11 C14:C23" showDropDown="0" showInputMessage="1" showErrorMessage="1" allowBlank="1" type="list">
      <formula1>"&gt;, &lt;, &gt;=, &lt;=, ="</formula1>
    </dataValidation>
    <dataValidation sqref="G6:G11 G14:G23" showDropDown="0" showInputMessage="1" showErrorMessage="1" allowBlank="1" type="list">
      <formula1>"Monthly, Quarterly, Half yearly"</formula1>
    </dataValidation>
    <dataValidation sqref="F6:F11 F14:F23" showDropDown="0" showInputMessage="1" showErrorMessage="1" allowBlank="1" type="list">
      <formula1>"Higher the better, Lower the better"</formula1>
    </dataValidation>
    <dataValidation sqref="M84 M86 M88 M90 M92 M94" showDropDown="0" showInputMessage="1" showErrorMessage="1" allowBlank="1" type="list">
      <formula1>"Yes, No"</formula1>
    </dataValidation>
    <dataValidation sqref="F83 F85 F87 F89 F91 F93 F95 F97 F99 F101 F103 F105 F107 F109 F111 F113 F115 G84 G86 G88 G90 G98" showDropDown="0" showInputMessage="1" showErrorMessage="1" allowBlank="1" type="list">
      <formula1>"1,2,3,4,5"</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codeName="Sheet9">
    <outlinePr summaryBelow="1" summaryRight="1"/>
    <pageSetUpPr/>
  </sheetPr>
  <dimension ref="A1:AI156"/>
  <sheetViews>
    <sheetView topLeftCell="G1" zoomScale="80" zoomScaleNormal="80" workbookViewId="0">
      <selection activeCell="Q15" sqref="Q15"/>
    </sheetView>
  </sheetViews>
  <sheetFormatPr baseColWidth="8" defaultRowHeight="14.45"/>
  <cols>
    <col width="21" customWidth="1" min="1" max="1"/>
    <col width="27.42578125" customWidth="1" style="639" min="2" max="2"/>
    <col width="31" customWidth="1" min="3" max="3"/>
    <col width="23.28515625" bestFit="1" customWidth="1" min="4" max="4"/>
    <col width="11.85546875" customWidth="1" min="5" max="5"/>
    <col width="11.5703125" customWidth="1" min="6" max="6"/>
    <col width="12" customWidth="1" min="7" max="7"/>
    <col width="18.5703125" bestFit="1" customWidth="1" min="8" max="8"/>
    <col width="11.42578125" customWidth="1" min="9" max="9"/>
    <col width="13" customWidth="1" min="10" max="10"/>
    <col width="13.7109375" customWidth="1" min="11" max="11"/>
    <col width="13.5703125" customWidth="1" min="12" max="12"/>
    <col width="15.5703125" customWidth="1" min="13" max="13"/>
    <col width="16" customWidth="1" min="14" max="14"/>
    <col width="13.42578125" customWidth="1" min="15" max="15"/>
    <col width="17.5703125" customWidth="1" min="16" max="16"/>
    <col width="14.5703125" customWidth="1" min="17" max="17"/>
    <col width="14.42578125" customWidth="1" min="18" max="18"/>
    <col width="14.5703125" customWidth="1" min="19" max="19"/>
    <col width="14.42578125" customWidth="1" min="20" max="20"/>
    <col width="13.5703125" customWidth="1" min="21" max="21"/>
    <col width="17.42578125" customWidth="1" min="22" max="22"/>
    <col hidden="1" width="8.5703125" customWidth="1" min="23" max="24"/>
    <col hidden="1" width="14.42578125" customWidth="1" min="25" max="25"/>
    <col hidden="1" width="8.5703125" customWidth="1" min="26" max="35"/>
    <col width="8.5703125" customWidth="1" min="36" max="49"/>
  </cols>
  <sheetData>
    <row r="1" ht="19.35" customHeight="1">
      <c r="A1" s="12" t="inlineStr">
        <is>
          <t>Month</t>
        </is>
      </c>
      <c r="B1" s="666" t="n">
        <v>46023</v>
      </c>
      <c r="C1" s="12" t="inlineStr">
        <is>
          <t xml:space="preserve">MT Owner: </t>
        </is>
      </c>
      <c r="D1" s="12" t="inlineStr">
        <is>
          <t>Sangram T</t>
        </is>
      </c>
      <c r="E1" s="12" t="inlineStr">
        <is>
          <t>MT Delegate:</t>
        </is>
      </c>
      <c r="F1" s="39" t="inlineStr">
        <is>
          <t>Abhishek C</t>
        </is>
      </c>
      <c r="W1" t="inlineStr">
        <is>
          <t>Actual green</t>
        </is>
      </c>
      <c r="X1">
        <f>IF(IF($F14="Higher the better",IF(I15&gt;=I14,I15,NA()),IF(I15&lt;=I14,I15,NA()))&lt;&gt;"",IF($F14="Higher the better",IF(I15&gt;=I14,I15,NA()),IF(I15&lt;=I14,I15,NA())),NA())</f>
        <v/>
      </c>
      <c r="Y1">
        <f>IF(IF($F14="Higher the better",IF(J15&gt;=J14,J15,NA()),IF(J15&lt;=J14,J15,NA()))&lt;&gt;"",IF($F14="Higher the better",IF(J15&gt;=J14,J15,NA()),IF(J15&lt;=J14,J15,NA())),NA())</f>
        <v/>
      </c>
      <c r="Z1">
        <f>IF(IF($F14="Higher the better",IF(K15&gt;=K14,K15,NA()),IF(K15&lt;=K14,K15,NA()))&lt;&gt;"",IF($F14="Higher the better",IF(K15&gt;=K14,K15,NA()),IF(K15&lt;=K14,K15,NA())),NA())</f>
        <v/>
      </c>
      <c r="AA1">
        <f>IF(IF($F14="Higher the better",IF(L15&gt;=L14,L15,NA()),IF(L15&lt;=L14,L15,NA()))&lt;&gt;"",IF($F14="Higher the better",IF(L15&gt;=L14,L15,NA()),IF(L15&lt;=L14,L15,NA())),NA())</f>
        <v/>
      </c>
      <c r="AB1">
        <f>IF(IF($F14="Higher the better",IF(M15&gt;=M14,M15,NA()),IF(M15&lt;=M14,M15,NA()))&lt;&gt;"",IF($F14="Higher the better",IF(M15&gt;=M14,M15,NA()),IF(M15&lt;=M14,M15,NA())),NA())</f>
        <v/>
      </c>
      <c r="AC1">
        <f>IF(IF($F14="Higher the better",IF(N15&gt;=N14,N15,NA()),IF(N15&lt;=N14,N15,NA()))&lt;&gt;"",IF($F14="Higher the better",IF(N15&gt;=N14,N15,NA()),IF(N15&lt;=N14,N15,NA())),NA())</f>
        <v/>
      </c>
      <c r="AD1">
        <f>IF(IF($F14="Higher the better",IF(O15&gt;=O14,O15,NA()),IF(O15&lt;=O14,O15,NA()))&lt;&gt;"",IF($F14="Higher the better",IF(O15&gt;=O14,O15,NA()),IF(O15&lt;=O14,O15,NA())),NA())</f>
        <v/>
      </c>
      <c r="AE1">
        <f>IF(IF($F14="Higher the better",IF(P15&gt;=P14,P15,NA()),IF(P15&lt;=P14,P15,NA()))&lt;&gt;"",IF($F14="Higher the better",IF(P15&gt;=P14,P15,NA()),IF(P15&lt;=P14,P15,NA())),NA())</f>
        <v/>
      </c>
      <c r="AF1">
        <f>IF(IF($F14="Higher the better",IF(Q15&gt;=Q14,Q15,NA()),IF(Q15&lt;=Q14,Q15,NA()))&lt;&gt;"",IF($F14="Higher the better",IF(Q15&gt;=Q14,Q15,NA()),IF(Q15&lt;=Q14,Q15,NA())),NA())</f>
        <v/>
      </c>
      <c r="AG1">
        <f>IF(IF($F14="Higher the better",IF(R15&gt;=R14,R15,NA()),IF(R15&lt;=R14,R15,NA()))&lt;&gt;"",IF($F14="Higher the better",IF(R15&gt;=R14,R15,NA()),IF(R15&lt;=R14,R15,NA())),NA())</f>
        <v/>
      </c>
      <c r="AH1">
        <f>IF(IF($F14="Higher the better",IF(S15&gt;=S14,S15,NA()),IF(S15&lt;=S14,S15,NA()))&lt;&gt;"",IF($F14="Higher the better",IF(S15&gt;=S14,S15,NA()),IF(S15&lt;=S14,S15,NA())),NA())</f>
        <v/>
      </c>
      <c r="AI1">
        <f>IF(IF($F14="Higher the better",IF(T15&gt;=T14,T15,NA()),IF(T15&lt;=T14,T15,NA()))&lt;&gt;"",IF($F14="Higher the better",IF(T15&gt;=T14,T15,NA()),IF(T15&lt;=T14,T15,NA())),NA())</f>
        <v/>
      </c>
    </row>
    <row r="2" ht="19.35" customHeight="1">
      <c r="A2" s="13" t="n"/>
      <c r="B2" s="683" t="n"/>
      <c r="D2" s="13" t="n"/>
      <c r="E2" s="13" t="n"/>
      <c r="W2" t="inlineStr">
        <is>
          <t>Actual red</t>
        </is>
      </c>
      <c r="X2">
        <f>IF(IF($F14="Higher the better",IF(I15&lt;I14,I15,NA()),IF(I15&gt;I14,I15,NA()))&lt;&gt;"",IF($F14="Higher the better",IF(I15&lt;I14,I15,NA()),IF(I15&gt;I14,I15,NA())),NA())</f>
        <v/>
      </c>
      <c r="Y2">
        <f>IF(IF($F14="Higher the better",IF(J15&lt;J14,J15,NA()),IF(J15&gt;J14,J15,NA()))&lt;&gt;"",IF($F14="Higher the better",IF(J15&lt;J14,J15,NA()),IF(J15&gt;J14,J15,NA())),NA())</f>
        <v/>
      </c>
      <c r="Z2">
        <f>IF(IF($F14="Higher the better",IF(K15&lt;K14,K15,NA()),IF(K15&gt;K14,K15,NA()))&lt;&gt;"",IF($F14="Higher the better",IF(K15&lt;K14,K15,NA()),IF(K15&gt;K14,K15,NA())),NA())</f>
        <v/>
      </c>
      <c r="AA2">
        <f>IF(IF($F14="Higher the better",IF(L15&lt;L14,L15,NA()),IF(L15&gt;L14,L15,NA()))&lt;&gt;"",IF($F14="Higher the better",IF(L15&lt;L14,L15,NA()),IF(L15&gt;L14,L15,NA())),NA())</f>
        <v/>
      </c>
      <c r="AB2">
        <f>IF(IF($F14="Higher the better",IF(M15&lt;M14,M15,NA()),IF(M15&gt;M14,M15,NA()))&lt;&gt;"",IF($F14="Higher the better",IF(M15&lt;M14,M15,NA()),IF(M15&gt;M14,M15,NA())),NA())</f>
        <v/>
      </c>
      <c r="AC2">
        <f>IF(IF($F14="Higher the better",IF(N15&lt;N14,N15,NA()),IF(N15&gt;N14,N15,NA()))&lt;&gt;"",IF($F14="Higher the better",IF(N15&lt;N14,N15,NA()),IF(N15&gt;N14,N15,NA())),NA())</f>
        <v/>
      </c>
      <c r="AD2">
        <f>IF(IF($F14="Higher the better",IF(O15&lt;O14,O15,NA()),IF(O15&gt;O14,O15,NA()))&lt;&gt;"",IF($F14="Higher the better",IF(O15&lt;O14,O15,NA()),IF(O15&gt;O14,O15,NA())),NA())</f>
        <v/>
      </c>
      <c r="AE2">
        <f>IF(IF($F14="Higher the better",IF(P15&lt;P14,P15,NA()),IF(P15&gt;P14,P15,NA()))&lt;&gt;"",IF($F14="Higher the better",IF(P15&lt;P14,P15,NA()),IF(P15&gt;P14,P15,NA())),NA())</f>
        <v/>
      </c>
      <c r="AF2">
        <f>IF(IF($F14="Higher the better",IF(Q15&lt;Q14,Q15,NA()),IF(Q15&gt;Q14,Q15,NA()))&lt;&gt;"",IF($F14="Higher the better",IF(Q15&lt;Q14,Q15,NA()),IF(Q15&gt;Q14,Q15,NA())),NA())</f>
        <v/>
      </c>
      <c r="AG2">
        <f>IF(IF($F14="Higher the better",IF(R15&lt;R14,R15,NA()),IF(R15&gt;R14,R15,NA()))&lt;&gt;"",IF($F14="Higher the better",IF(R15&lt;R14,R15,NA()),IF(R15&gt;R14,R15,NA())),NA())</f>
        <v/>
      </c>
      <c r="AH2">
        <f>IF(IF($F14="Higher the better",IF(S15&lt;S14,S15,NA()),IF(S15&gt;S14,S15,NA()))&lt;&gt;"",IF($F14="Higher the better",IF(S15&lt;S14,S15,NA()),IF(S15&gt;S14,S15,NA())),NA())</f>
        <v/>
      </c>
      <c r="AI2">
        <f>IF(IF($F14="Higher the better",IF(T15&lt;T14,T15,NA()),IF(T15&gt;T14,T15,NA()))&lt;&gt;"",IF($F14="Higher the better",IF(T15&lt;T14,T15,NA()),IF(T15&gt;T14,T15,NA())),NA())</f>
        <v/>
      </c>
    </row>
    <row r="3" ht="20.1" customHeight="1">
      <c r="A3" s="449" t="inlineStr">
        <is>
          <t>Customer Service DMB</t>
        </is>
      </c>
      <c r="W3" t="inlineStr">
        <is>
          <t>Actual green</t>
        </is>
      </c>
      <c r="X3">
        <f>IF(IF($F16="Higher the better",IF(I17&gt;=I16,I17,NA()),IF(I17&lt;=I16,I17,NA()))&lt;&gt;"",IF($F16="Higher the better",IF(I17&gt;=I16,I17,NA()),IF(I17&lt;=I16,I17,NA())),NA())</f>
        <v/>
      </c>
      <c r="Y3">
        <f>IF(IF($F16="Higher the better",IF(J17&gt;=J16,J17,NA()),IF(J17&lt;=J16,J17,NA()))&lt;&gt;"",IF($F16="Higher the better",IF(J17&gt;=J16,J17,NA()),IF(J17&lt;=J16,J17,NA())),NA())</f>
        <v/>
      </c>
      <c r="Z3">
        <f>IF(IF($F16="Higher the better",IF(K17&gt;=K16,K17,NA()),IF(K17&lt;=K16,K17,NA()))&lt;&gt;"",IF($F16="Higher the better",IF(K17&gt;=K16,K17,NA()),IF(K17&lt;=K16,K17,NA())),NA())</f>
        <v/>
      </c>
      <c r="AA3">
        <f>IF(IF($F16="Higher the better",IF(L17&gt;=L16,L17,NA()),IF(L17&lt;=L16,L17,NA()))&lt;&gt;"",IF($F16="Higher the better",IF(L17&gt;=L16,L17,NA()),IF(L17&lt;=L16,L17,NA())),NA())</f>
        <v/>
      </c>
      <c r="AB3">
        <f>IF(IF($F16="Higher the better",IF(M17&gt;=M16,M17,NA()),IF(M17&lt;=M16,M17,NA()))&lt;&gt;"",IF($F16="Higher the better",IF(M17&gt;=M16,M17,NA()),IF(M17&lt;=M16,M17,NA())),NA())</f>
        <v/>
      </c>
      <c r="AC3">
        <f>IF(IF($F16="Higher the better",IF(N17&gt;=N16,N17,NA()),IF(N17&lt;=N16,N17,NA()))&lt;&gt;"",IF($F16="Higher the better",IF(N17&gt;=N16,N17,NA()),IF(N17&lt;=N16,N17,NA())),NA())</f>
        <v/>
      </c>
      <c r="AD3">
        <f>IF(IF($F16="Higher the better",IF(O17&gt;=O16,O17,NA()),IF(O17&lt;=O16,O17,NA()))&lt;&gt;"",IF($F16="Higher the better",IF(O17&gt;=O16,O17,NA()),IF(O17&lt;=O16,O17,NA())),NA())</f>
        <v/>
      </c>
      <c r="AE3">
        <f>IF(IF($F16="Higher the better",IF(P17&gt;=P16,P17,NA()),IF(P17&lt;=P16,P17,NA()))&lt;&gt;"",IF($F16="Higher the better",IF(P17&gt;=P16,P17,NA()),IF(P17&lt;=P16,P17,NA())),NA())</f>
        <v/>
      </c>
      <c r="AF3">
        <f>IF(IF($F16="Higher the better",IF(Q17&gt;=Q16,Q17,NA()),IF(Q17&lt;=Q16,Q17,NA()))&lt;&gt;"",IF($F16="Higher the better",IF(Q17&gt;=Q16,Q17,NA()),IF(Q17&lt;=Q16,Q17,NA())),NA())</f>
        <v/>
      </c>
      <c r="AG3">
        <f>IF(IF($F16="Higher the better",IF(R17&gt;=R16,R17,NA()),IF(R17&lt;=R16,R17,NA()))&lt;&gt;"",IF($F16="Higher the better",IF(R17&gt;=R16,R17,NA()),IF(R17&lt;=R16,R17,NA())),NA())</f>
        <v/>
      </c>
      <c r="AH3">
        <f>IF(IF($F16="Higher the better",IF(S17&gt;=S16,S17,NA()),IF(S17&lt;=S16,S17,NA()))&lt;&gt;"",IF($F16="Higher the better",IF(S17&gt;=S16,S17,NA()),IF(S17&lt;=S16,S17,NA())),NA())</f>
        <v/>
      </c>
      <c r="AI3">
        <f>IF(IF($F16="Higher the better",IF(T17&gt;=T16,T17,NA()),IF(T17&lt;=T16,T17,NA()))&lt;&gt;"",IF($F16="Higher the better",IF(T17&gt;=T16,T17,NA()),IF(T17&lt;=T16,T17,NA())),NA())</f>
        <v/>
      </c>
    </row>
    <row r="4" ht="18.6" customHeight="1">
      <c r="A4" s="11" t="inlineStr">
        <is>
          <t>Mandatory Outcome KPI's (1-3)</t>
        </is>
      </c>
      <c r="B4" s="11" t="n"/>
      <c r="W4" t="inlineStr">
        <is>
          <t>Actual red</t>
        </is>
      </c>
      <c r="X4">
        <f>IF(IF($F16="Higher the better",IF(I17&lt;I16,I17,NA()),IF(I17&gt;I16,I17,NA()))&lt;&gt;"",IF($F16="Higher the better",IF(I17&lt;I16,I17,NA()),IF(I17&gt;I16,I17,NA())),NA())</f>
        <v/>
      </c>
      <c r="Y4">
        <f>IF(IF($F16="Higher the better",IF(J17&lt;J16,J17,NA()),IF(J17&gt;J16,J17,NA()))&lt;&gt;"",IF($F16="Higher the better",IF(J17&lt;J16,J17,NA()),IF(J17&gt;J16,J17,NA())),NA())</f>
        <v/>
      </c>
      <c r="Z4">
        <f>IF(IF($F16="Higher the better",IF(K17&lt;K16,K17,NA()),IF(K17&gt;K16,K17,NA()))&lt;&gt;"",IF($F16="Higher the better",IF(K17&lt;K16,K17,NA()),IF(K17&gt;K16,K17,NA())),NA())</f>
        <v/>
      </c>
      <c r="AA4">
        <f>IF(IF($F16="Higher the better",IF(L17&lt;L16,L17,NA()),IF(L17&gt;L16,L17,NA()))&lt;&gt;"",IF($F16="Higher the better",IF(L17&lt;L16,L17,NA()),IF(L17&gt;L16,L17,NA())),NA())</f>
        <v/>
      </c>
      <c r="AB4">
        <f>IF(IF($F16="Higher the better",IF(M17&lt;M16,M17,NA()),IF(M17&gt;M16,M17,NA()))&lt;&gt;"",IF($F16="Higher the better",IF(M17&lt;M16,M17,NA()),IF(M17&gt;M16,M17,NA())),NA())</f>
        <v/>
      </c>
      <c r="AC4">
        <f>IF(IF($F16="Higher the better",IF(N17&lt;N16,N17,NA()),IF(N17&gt;N16,N17,NA()))&lt;&gt;"",IF($F16="Higher the better",IF(N17&lt;N16,N17,NA()),IF(N17&gt;N16,N17,NA())),NA())</f>
        <v/>
      </c>
      <c r="AD4">
        <f>IF(IF($F16="Higher the better",IF(O17&lt;O16,O17,NA()),IF(O17&gt;O16,O17,NA()))&lt;&gt;"",IF($F16="Higher the better",IF(O17&lt;O16,O17,NA()),IF(O17&gt;O16,O17,NA())),NA())</f>
        <v/>
      </c>
      <c r="AE4">
        <f>IF(IF($F16="Higher the better",IF(P17&lt;P16,P17,NA()),IF(P17&gt;P16,P17,NA()))&lt;&gt;"",IF($F16="Higher the better",IF(P17&lt;P16,P17,NA()),IF(P17&gt;P16,P17,NA())),NA())</f>
        <v/>
      </c>
      <c r="AF4">
        <f>IF(IF($F16="Higher the better",IF(Q17&lt;Q16,Q17,NA()),IF(Q17&gt;Q16,Q17,NA()))&lt;&gt;"",IF($F16="Higher the better",IF(Q17&lt;Q16,Q17,NA()),IF(Q17&gt;Q16,Q17,NA())),NA())</f>
        <v/>
      </c>
      <c r="AG4">
        <f>IF(IF($F16="Higher the better",IF(R17&lt;R16,R17,NA()),IF(R17&gt;R16,R17,NA()))&lt;&gt;"",IF($F16="Higher the better",IF(R17&lt;R16,R17,NA()),IF(R17&gt;R16,R17,NA())),NA())</f>
        <v/>
      </c>
      <c r="AH4">
        <f>IF(IF($F16="Higher the better",IF(S17&lt;S16,S17,NA()),IF(S17&gt;S16,S17,NA()))&lt;&gt;"",IF($F16="Higher the better",IF(S17&lt;S16,S17,NA()),IF(S17&gt;S16,S17,NA())),NA())</f>
        <v/>
      </c>
      <c r="AI4">
        <f>IF(IF($F16="Higher the better",IF(T17&lt;T16,T17,NA()),IF(T17&gt;T16,T17,NA()))&lt;&gt;"",IF($F16="Higher the better",IF(T17&lt;T16,T17,NA()),IF(T17&gt;T16,T17,NA())),NA())</f>
        <v/>
      </c>
    </row>
    <row r="5" ht="29.1"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t="inlineStr">
        <is>
          <t>Actual green</t>
        </is>
      </c>
      <c r="X5">
        <f>IF(IF($F18="Higher the better",IF(I19&gt;=I18,I19,NA()),IF(I19&lt;=I18,I19,NA()))&lt;&gt;"",IF($F18="Higher the better",IF(I19&gt;=I18,I19,NA()),IF(I19&lt;=I18,I19,NA())),NA())</f>
        <v/>
      </c>
      <c r="Y5">
        <f>IF(IF($F18="Higher the better",IF(J19&gt;=J18,J19,NA()),IF(J19&lt;=J18,J19,NA()))&lt;&gt;"",IF($F18="Higher the better",IF(J19&gt;=J18,J19,NA()),IF(J19&lt;=J18,J19,NA())),NA())</f>
        <v/>
      </c>
      <c r="Z5">
        <f>IF(IF($F18="Higher the better",IF(K19&gt;=K18,K19,NA()),IF(K19&lt;=K18,K19,NA()))&lt;&gt;"",IF($F18="Higher the better",IF(K19&gt;=K18,K19,NA()),IF(K19&lt;=K18,K19,NA())),NA())</f>
        <v/>
      </c>
      <c r="AA5">
        <f>IF(IF($F18="Higher the better",IF(L19&gt;=L18,L19,NA()),IF(L19&lt;=L18,L19,NA()))&lt;&gt;"",IF($F18="Higher the better",IF(L19&gt;=L18,L19,NA()),IF(L19&lt;=L18,L19,NA())),NA())</f>
        <v/>
      </c>
      <c r="AB5">
        <f>IF(IF($F18="Higher the better",IF(M19&gt;=M18,M19,NA()),IF(M19&lt;=M18,M19,NA()))&lt;&gt;"",IF($F18="Higher the better",IF(M19&gt;=M18,M19,NA()),IF(M19&lt;=M18,M19,NA())),NA())</f>
        <v/>
      </c>
      <c r="AC5">
        <f>IF(IF($F18="Higher the better",IF(N19&gt;=N18,N19,NA()),IF(N19&lt;=N18,N19,NA()))&lt;&gt;"",IF($F18="Higher the better",IF(N19&gt;=N18,N19,NA()),IF(N19&lt;=N18,N19,NA())),NA())</f>
        <v/>
      </c>
      <c r="AD5">
        <f>IF(IF($F18="Higher the better",IF(O19&gt;=O18,O19,NA()),IF(O19&lt;=O18,O19,NA()))&lt;&gt;"",IF($F18="Higher the better",IF(O19&gt;=O18,O19,NA()),IF(O19&lt;=O18,O19,NA())),NA())</f>
        <v/>
      </c>
      <c r="AE5">
        <f>IF(IF($F18="Higher the better",IF(P19&gt;=P18,P19,NA()),IF(P19&lt;=P18,P19,NA()))&lt;&gt;"",IF($F18="Higher the better",IF(P19&gt;=P18,P19,NA()),IF(P19&lt;=P18,P19,NA())),NA())</f>
        <v/>
      </c>
      <c r="AF5">
        <f>IF(IF($F18="Higher the better",IF(Q19&gt;=Q18,Q19,NA()),IF(Q19&lt;=Q18,Q19,NA()))&lt;&gt;"",IF($F18="Higher the better",IF(Q19&gt;=Q18,Q19,NA()),IF(Q19&lt;=Q18,Q19,NA())),NA())</f>
        <v/>
      </c>
      <c r="AG5">
        <f>IF(IF($F18="Higher the better",IF(R19&gt;=R18,R19,NA()),IF(R19&lt;=R18,R19,NA()))&lt;&gt;"",IF($F18="Higher the better",IF(R19&gt;=R18,R19,NA()),IF(R19&lt;=R18,R19,NA())),NA())</f>
        <v/>
      </c>
      <c r="AH5">
        <f>IF(IF($F18="Higher the better",IF(S19&gt;=S18,S19,NA()),IF(S19&lt;=S18,S19,NA()))&lt;&gt;"",IF($F18="Higher the better",IF(S19&gt;=S18,S19,NA()),IF(S19&lt;=S18,S19,NA())),NA())</f>
        <v/>
      </c>
      <c r="AI5">
        <f>IF(IF($F18="Higher the better",IF(T19&gt;=T18,T19,NA()),IF(T19&lt;=T18,T19,NA()))&lt;&gt;"",IF($F18="Higher the better",IF(T19&gt;=T18,T19,NA()),IF(T19&lt;=T18,T19,NA())),NA())</f>
        <v/>
      </c>
    </row>
    <row r="6">
      <c r="A6" s="427" t="inlineStr">
        <is>
          <t>Customer Satisfaction</t>
        </is>
      </c>
      <c r="B6" s="461" t="inlineStr">
        <is>
          <t>NPS</t>
        </is>
      </c>
      <c r="C6" s="230" t="inlineStr">
        <is>
          <t>&gt;=</t>
        </is>
      </c>
      <c r="D6" s="759" t="n">
        <v>0.79</v>
      </c>
      <c r="E6" s="230" t="inlineStr">
        <is>
          <t>%</t>
        </is>
      </c>
      <c r="F6" s="388" t="inlineStr">
        <is>
          <t>Higher the better</t>
        </is>
      </c>
      <c r="G6" s="230" t="inlineStr">
        <is>
          <t>Quarterly</t>
        </is>
      </c>
      <c r="H6" s="14" t="inlineStr">
        <is>
          <t>Target</t>
        </is>
      </c>
      <c r="I6" s="51" t="n"/>
      <c r="J6" s="51" t="n"/>
      <c r="K6" s="51" t="n">
        <v>0.79</v>
      </c>
      <c r="L6" s="721" t="n"/>
      <c r="M6" s="51" t="n"/>
      <c r="N6" s="51" t="n">
        <v>0.79</v>
      </c>
      <c r="O6" s="51" t="n"/>
      <c r="P6" s="51" t="n"/>
      <c r="Q6" s="51" t="n">
        <v>0.79</v>
      </c>
      <c r="R6" s="51" t="n"/>
      <c r="S6" s="51" t="n"/>
      <c r="T6" s="51" t="n">
        <v>0.79</v>
      </c>
      <c r="W6" t="inlineStr">
        <is>
          <t>Actual red</t>
        </is>
      </c>
      <c r="X6">
        <f>IF(IF($F18="Higher the better",IF(I19&lt;I18,I19,NA()),IF(I19&gt;I18,I19,NA()))&lt;&gt;"",IF($F18="Higher the better",IF(I19&lt;I18,I19,NA()),IF(I19&gt;I18,I19,NA())),NA())</f>
        <v/>
      </c>
      <c r="Y6">
        <f>IF(IF($F18="Higher the better",IF(J19&lt;J18,J19,NA()),IF(J19&gt;J18,J19,NA()))&lt;&gt;"",IF($F18="Higher the better",IF(J19&lt;J18,J19,NA()),IF(J19&gt;J18,J19,NA())),NA())</f>
        <v/>
      </c>
      <c r="Z6">
        <f>IF(IF($F18="Higher the better",IF(K19&lt;K18,K19,NA()),IF(K19&gt;K18,K19,NA()))&lt;&gt;"",IF($F18="Higher the better",IF(K19&lt;K18,K19,NA()),IF(K19&gt;K18,K19,NA())),NA())</f>
        <v/>
      </c>
      <c r="AA6">
        <f>IF(IF($F18="Higher the better",IF(L19&lt;L18,L19,NA()),IF(L19&gt;L18,L19,NA()))&lt;&gt;"",IF($F18="Higher the better",IF(L19&lt;L18,L19,NA()),IF(L19&gt;L18,L19,NA())),NA())</f>
        <v/>
      </c>
      <c r="AB6">
        <f>IF(IF($F18="Higher the better",IF(M19&lt;M18,M19,NA()),IF(M19&gt;M18,M19,NA()))&lt;&gt;"",IF($F18="Higher the better",IF(M19&lt;M18,M19,NA()),IF(M19&gt;M18,M19,NA())),NA())</f>
        <v/>
      </c>
      <c r="AC6">
        <f>IF(IF($F18="Higher the better",IF(N19&lt;N18,N19,NA()),IF(N19&gt;N18,N19,NA()))&lt;&gt;"",IF($F18="Higher the better",IF(N19&lt;N18,N19,NA()),IF(N19&gt;N18,N19,NA())),NA())</f>
        <v/>
      </c>
      <c r="AD6">
        <f>IF(IF($F18="Higher the better",IF(O19&lt;O18,O19,NA()),IF(O19&gt;O18,O19,NA()))&lt;&gt;"",IF($F18="Higher the better",IF(O19&lt;O18,O19,NA()),IF(O19&gt;O18,O19,NA())),NA())</f>
        <v/>
      </c>
      <c r="AE6">
        <f>IF(IF($F18="Higher the better",IF(P19&lt;P18,P19,NA()),IF(P19&gt;P18,P19,NA()))&lt;&gt;"",IF($F18="Higher the better",IF(P19&lt;P18,P19,NA()),IF(P19&gt;P18,P19,NA())),NA())</f>
        <v/>
      </c>
      <c r="AF6">
        <f>IF(IF($F18="Higher the better",IF(Q19&lt;Q18,Q19,NA()),IF(Q19&gt;Q18,Q19,NA()))&lt;&gt;"",IF($F18="Higher the better",IF(Q19&lt;Q18,Q19,NA()),IF(Q19&gt;Q18,Q19,NA())),NA())</f>
        <v/>
      </c>
      <c r="AG6">
        <f>IF(IF($F18="Higher the better",IF(R19&lt;R18,R19,NA()),IF(R19&gt;R18,R19,NA()))&lt;&gt;"",IF($F18="Higher the better",IF(R19&lt;R18,R19,NA()),IF(R19&gt;R18,R19,NA())),NA())</f>
        <v/>
      </c>
      <c r="AH6">
        <f>IF(IF($F18="Higher the better",IF(S19&lt;S18,S19,NA()),IF(S19&gt;S18,S19,NA()))&lt;&gt;"",IF($F18="Higher the better",IF(S19&lt;S18,S19,NA()),IF(S19&gt;S18,S19,NA())),NA())</f>
        <v/>
      </c>
      <c r="AI6">
        <f>IF(IF($F18="Higher the better",IF(T19&lt;T18,T19,NA()),IF(T19&gt;T18,T19,NA()))&lt;&gt;"",IF($F18="Higher the better",IF(T19&lt;T18,T19,NA()),IF(T19&gt;T18,T19,NA())),NA())</f>
        <v/>
      </c>
    </row>
    <row r="7">
      <c r="A7" s="671" t="n"/>
      <c r="B7" s="671" t="n"/>
      <c r="C7" s="671" t="n"/>
      <c r="D7" s="671" t="n"/>
      <c r="E7" s="671" t="n"/>
      <c r="F7" s="671" t="n"/>
      <c r="G7" s="671" t="n"/>
      <c r="H7" s="14" t="inlineStr">
        <is>
          <t>Actual</t>
        </is>
      </c>
      <c r="I7" s="67" t="n"/>
      <c r="J7" s="67" t="n"/>
      <c r="K7" s="67" t="n">
        <v>0.92</v>
      </c>
      <c r="L7" s="686" t="n"/>
      <c r="M7" s="45" t="n"/>
      <c r="N7" s="5" t="n">
        <v>0.91</v>
      </c>
      <c r="O7" s="45" t="n"/>
      <c r="P7" s="45" t="n"/>
      <c r="Q7" s="67" t="n">
        <v>0.91</v>
      </c>
      <c r="R7" s="45" t="n"/>
      <c r="S7" s="45" t="n"/>
      <c r="T7" s="45" t="n"/>
      <c r="W7" t="inlineStr">
        <is>
          <t>Actual green</t>
        </is>
      </c>
      <c r="X7">
        <f>IF(IF($F20="Higher the better",IF(I21&gt;=I20,I21,NA()),IF(I21&lt;=I20,I21,NA()))&lt;&gt;"",IF($F20="Higher the better",IF(I21&gt;=I20,I21,NA()),IF(I21&lt;=I20,I21,NA())),NA())</f>
        <v/>
      </c>
      <c r="Y7">
        <f>IF(IF($F20="Higher the better",IF(J21&gt;=J20,J21,NA()),IF(J21&lt;=J20,J21,NA()))&lt;&gt;"",IF($F20="Higher the better",IF(J21&gt;=J20,J21,NA()),IF(J21&lt;=J20,J21,NA())),NA())</f>
        <v/>
      </c>
      <c r="Z7">
        <f>IF(IF($F20="Higher the better",IF(K21&gt;=K20,K21,NA()),IF(K21&lt;=K20,K21,NA()))&lt;&gt;"",IF($F20="Higher the better",IF(K21&gt;=K20,K21,NA()),IF(K21&lt;=K20,K21,NA())),NA())</f>
        <v/>
      </c>
      <c r="AA7">
        <f>IF(IF($F20="Higher the better",IF(L21&gt;=L20,L21,NA()),IF(L21&lt;=L20,L21,NA()))&lt;&gt;"",IF($F20="Higher the better",IF(L21&gt;=L20,L21,NA()),IF(L21&lt;=L20,L21,NA())),NA())</f>
        <v/>
      </c>
      <c r="AB7">
        <f>IF(IF($F20="Higher the better",IF(M21&gt;=M20,M21,NA()),IF(M21&lt;=M20,M21,NA()))&lt;&gt;"",IF($F20="Higher the better",IF(M21&gt;=M20,M21,NA()),IF(M21&lt;=M20,M21,NA())),NA())</f>
        <v/>
      </c>
      <c r="AC7">
        <f>IF(IF($F20="Higher the better",IF(N21&gt;=N20,N21,NA()),IF(N21&lt;=N20,N21,NA()))&lt;&gt;"",IF($F20="Higher the better",IF(N21&gt;=N20,N21,NA()),IF(N21&lt;=N20,N21,NA())),NA())</f>
        <v/>
      </c>
      <c r="AD7">
        <f>IF(IF($F20="Higher the better",IF(O21&gt;=O20,O21,NA()),IF(O21&lt;=O20,O21,NA()))&lt;&gt;"",IF($F20="Higher the better",IF(O21&gt;=O20,O21,NA()),IF(O21&lt;=O20,O21,NA())),NA())</f>
        <v/>
      </c>
      <c r="AE7">
        <f>IF(IF($F20="Higher the better",IF(P21&gt;=P20,P21,NA()),IF(P21&lt;=P20,P21,NA()))&lt;&gt;"",IF($F20="Higher the better",IF(P21&gt;=P20,P21,NA()),IF(P21&lt;=P20,P21,NA())),NA())</f>
        <v/>
      </c>
      <c r="AF7">
        <f>IF(IF($F20="Higher the better",IF(Q21&gt;=Q20,Q21,NA()),IF(Q21&lt;=Q20,Q21,NA()))&lt;&gt;"",IF($F20="Higher the better",IF(Q21&gt;=Q20,Q21,NA()),IF(Q21&lt;=Q20,Q21,NA())),NA())</f>
        <v/>
      </c>
      <c r="AG7">
        <f>IF(IF($F20="Higher the better",IF(R21&gt;=R20,R21,NA()),IF(R21&lt;=R20,R21,NA()))&lt;&gt;"",IF($F20="Higher the better",IF(R21&gt;=R20,R21,NA()),IF(R21&lt;=R20,R21,NA())),NA())</f>
        <v/>
      </c>
      <c r="AH7">
        <f>IF(IF($F20="Higher the better",IF(S21&gt;=S20,S21,NA()),IF(S21&lt;=S20,S21,NA()))&lt;&gt;"",IF($F20="Higher the better",IF(S21&gt;=S20,S21,NA()),IF(S21&lt;=S20,S21,NA())),NA())</f>
        <v/>
      </c>
      <c r="AI7">
        <f>IF(IF($F20="Higher the better",IF(T21&gt;=T20,T21,NA()),IF(T21&lt;=T20,T21,NA()))&lt;&gt;"",IF($F20="Higher the better",IF(T21&gt;=T20,T21,NA()),IF(T21&lt;=T20,T21,NA())),NA())</f>
        <v/>
      </c>
    </row>
    <row r="8" ht="13.5" customHeight="1">
      <c r="A8" s="427" t="inlineStr">
        <is>
          <t>CS Sales</t>
        </is>
      </c>
      <c r="B8" s="427" t="inlineStr">
        <is>
          <t>CS Revenue</t>
        </is>
      </c>
      <c r="C8" s="230" t="inlineStr">
        <is>
          <t>&gt;=</t>
        </is>
      </c>
      <c r="D8" s="230" t="n">
        <v>77.40000000000001</v>
      </c>
      <c r="E8" s="230" t="inlineStr">
        <is>
          <t>Mn</t>
        </is>
      </c>
      <c r="F8" s="388" t="inlineStr">
        <is>
          <t>Higher the better</t>
        </is>
      </c>
      <c r="G8" s="230" t="inlineStr">
        <is>
          <t>Monthly</t>
        </is>
      </c>
      <c r="H8" s="14" t="inlineStr">
        <is>
          <t>Target</t>
        </is>
      </c>
      <c r="I8" s="44" t="n">
        <v>5.87</v>
      </c>
      <c r="J8" s="44" t="n">
        <v>11.52</v>
      </c>
      <c r="K8" s="44" t="n">
        <v>18</v>
      </c>
      <c r="L8" s="44" t="n">
        <v>24.1</v>
      </c>
      <c r="M8" s="44" t="n">
        <v>30.33</v>
      </c>
      <c r="N8" s="44" t="n">
        <v>36.89</v>
      </c>
      <c r="O8" s="44" t="n">
        <v>43.25</v>
      </c>
      <c r="P8" s="44" t="n">
        <v>49.6</v>
      </c>
      <c r="Q8" s="44" t="n">
        <v>56.24</v>
      </c>
      <c r="R8" s="44" t="n"/>
      <c r="S8" s="44" t="n"/>
      <c r="T8" s="44" t="n"/>
      <c r="W8" t="inlineStr">
        <is>
          <t>Actual red</t>
        </is>
      </c>
      <c r="X8">
        <f>IF(IF($F20="Higher the better",IF(I21&lt;I20,I21,NA()),IF(I21&gt;I20,I21,NA()))&lt;&gt;"",IF($F20="Higher the better",IF(I21&lt;I20,I21,NA()),IF(I21&gt;I20,I21,NA())),NA())</f>
        <v/>
      </c>
      <c r="Y8">
        <f>IF(IF($F20="Higher the better",IF(J21&lt;J20,J21,NA()),IF(J21&gt;J20,J21,NA()))&lt;&gt;"",IF($F20="Higher the better",IF(J21&lt;J20,J21,NA()),IF(J21&gt;J20,J21,NA())),NA())</f>
        <v/>
      </c>
      <c r="Z8">
        <f>IF(IF($F20="Higher the better",IF(K21&lt;K20,K21,NA()),IF(K21&gt;K20,K21,NA()))&lt;&gt;"",IF($F20="Higher the better",IF(K21&lt;K20,K21,NA()),IF(K21&gt;K20,K21,NA())),NA())</f>
        <v/>
      </c>
      <c r="AA8">
        <f>IF(IF($F20="Higher the better",IF(L21&lt;L20,L21,NA()),IF(L21&gt;L20,L21,NA()))&lt;&gt;"",IF($F20="Higher the better",IF(L21&lt;L20,L21,NA()),IF(L21&gt;L20,L21,NA())),NA())</f>
        <v/>
      </c>
      <c r="AB8">
        <f>IF(IF($F20="Higher the better",IF(M21&lt;M20,M21,NA()),IF(M21&gt;M20,M21,NA()))&lt;&gt;"",IF($F20="Higher the better",IF(M21&lt;M20,M21,NA()),IF(M21&gt;M20,M21,NA())),NA())</f>
        <v/>
      </c>
      <c r="AC8">
        <f>IF(IF($F20="Higher the better",IF(N21&lt;N20,N21,NA()),IF(N21&gt;N20,N21,NA()))&lt;&gt;"",IF($F20="Higher the better",IF(N21&lt;N20,N21,NA()),IF(N21&gt;N20,N21,NA())),NA())</f>
        <v/>
      </c>
      <c r="AD8">
        <f>IF(IF($F20="Higher the better",IF(O21&lt;O20,O21,NA()),IF(O21&gt;O20,O21,NA()))&lt;&gt;"",IF($F20="Higher the better",IF(O21&lt;O20,O21,NA()),IF(O21&gt;O20,O21,NA())),NA())</f>
        <v/>
      </c>
      <c r="AE8">
        <f>IF(IF($F20="Higher the better",IF(P21&lt;P20,P21,NA()),IF(P21&gt;P20,P21,NA()))&lt;&gt;"",IF($F20="Higher the better",IF(P21&lt;P20,P21,NA()),IF(P21&gt;P20,P21,NA())),NA())</f>
        <v/>
      </c>
      <c r="AF8">
        <f>IF(IF($F20="Higher the better",IF(Q21&lt;Q20,Q21,NA()),IF(Q21&gt;Q20,Q21,NA()))&lt;&gt;"",IF($F20="Higher the better",IF(Q21&lt;Q20,Q21,NA()),IF(Q21&gt;Q20,Q21,NA())),NA())</f>
        <v/>
      </c>
      <c r="AG8">
        <f>IF(IF($F20="Higher the better",IF(R21&lt;R20,R21,NA()),IF(R21&gt;R20,R21,NA()))&lt;&gt;"",IF($F20="Higher the better",IF(R21&lt;R20,R21,NA()),IF(R21&gt;R20,R21,NA())),NA())</f>
        <v/>
      </c>
      <c r="AH8">
        <f>IF(IF($F20="Higher the better",IF(S21&lt;S20,S21,NA()),IF(S21&gt;S20,S21,NA()))&lt;&gt;"",IF($F20="Higher the better",IF(S21&lt;S20,S21,NA()),IF(S21&gt;S20,S21,NA())),NA())</f>
        <v/>
      </c>
      <c r="AI8">
        <f>IF(IF($F20="Higher the better",IF(T21&lt;T20,T21,NA()),IF(T21&gt;T20,T21,NA()))&lt;&gt;"",IF($F20="Higher the better",IF(T21&lt;T20,T21,NA()),IF(T21&gt;T20,T21,NA())),NA())</f>
        <v/>
      </c>
    </row>
    <row r="9">
      <c r="A9" s="671" t="n"/>
      <c r="B9" s="671" t="n"/>
      <c r="C9" s="671" t="n"/>
      <c r="D9" s="671" t="n"/>
      <c r="E9" s="671" t="n"/>
      <c r="F9" s="671" t="n"/>
      <c r="G9" s="671" t="n"/>
      <c r="H9" s="14" t="inlineStr">
        <is>
          <t>Actual</t>
        </is>
      </c>
      <c r="I9" s="45" t="n">
        <v>5.77</v>
      </c>
      <c r="J9" s="45" t="n">
        <v>11.29</v>
      </c>
      <c r="K9" s="45" t="n">
        <v>17.7</v>
      </c>
      <c r="L9" s="760" t="n">
        <v>23.77</v>
      </c>
      <c r="M9" s="45" t="n">
        <v>29.8</v>
      </c>
      <c r="N9" s="45" t="n">
        <v>36.26</v>
      </c>
      <c r="O9" s="45" t="n">
        <v>42.54</v>
      </c>
      <c r="P9" s="45" t="n">
        <v>48.8</v>
      </c>
      <c r="Q9" s="45" t="n">
        <v>55.4</v>
      </c>
      <c r="R9" s="45" t="n"/>
      <c r="S9" s="45" t="n"/>
      <c r="T9" s="45" t="n"/>
      <c r="W9" t="inlineStr">
        <is>
          <t>Actual green</t>
        </is>
      </c>
      <c r="X9">
        <f>IF(IF($F22="Higher the better",IF(I23&gt;=I22,I23,NA()),IF(I23&lt;=I22,I23,NA()))&lt;&gt;"",IF($F22="Higher the better",IF(I23&gt;=I22,I23,NA()),IF(I23&lt;=I22,I23,NA())),NA())</f>
        <v/>
      </c>
      <c r="Y9">
        <f>IF(IF($F22="Higher the better",IF(J23&gt;=J22,J23,NA()),IF(J23&lt;=J22,J23,NA()))&lt;&gt;"",IF($F22="Higher the better",IF(J23&gt;=J22,J23,NA()),IF(J23&lt;=J22,J23,NA())),NA())</f>
        <v/>
      </c>
      <c r="Z9">
        <f>IF(IF($F22="Higher the better",IF(K23&gt;=K22,K23,NA()),IF(K23&lt;=K22,K23,NA()))&lt;&gt;"",IF($F22="Higher the better",IF(K23&gt;=K22,K23,NA()),IF(K23&lt;=K22,K23,NA())),NA())</f>
        <v/>
      </c>
      <c r="AA9">
        <f>IF(IF($F22="Higher the better",IF(L23&gt;=L22,L23,NA()),IF(L23&lt;=L22,L23,NA()))&lt;&gt;"",IF($F22="Higher the better",IF(L23&gt;=L22,L23,NA()),IF(L23&lt;=L22,L23,NA())),NA())</f>
        <v/>
      </c>
      <c r="AB9">
        <f>IF(IF($F22="Higher the better",IF(M23&gt;=M22,M23,NA()),IF(M23&lt;=M22,M23,NA()))&lt;&gt;"",IF($F22="Higher the better",IF(M23&gt;=M22,M23,NA()),IF(M23&lt;=M22,M23,NA())),NA())</f>
        <v/>
      </c>
      <c r="AC9">
        <f>IF(IF($F22="Higher the better",IF(N23&gt;=N22,N23,NA()),IF(N23&lt;=N22,N23,NA()))&lt;&gt;"",IF($F22="Higher the better",IF(N23&gt;=N22,N23,NA()),IF(N23&lt;=N22,N23,NA())),NA())</f>
        <v/>
      </c>
      <c r="AD9">
        <f>IF(IF($F22="Higher the better",IF(O23&gt;=O22,O23,NA()),IF(O23&lt;=O22,O23,NA()))&lt;&gt;"",IF($F22="Higher the better",IF(O23&gt;=O22,O23,NA()),IF(O23&lt;=O22,O23,NA())),NA())</f>
        <v/>
      </c>
      <c r="AE9">
        <f>IF(IF($F22="Higher the better",IF(P23&gt;=P22,P23,NA()),IF(P23&lt;=P22,P23,NA()))&lt;&gt;"",IF($F22="Higher the better",IF(P23&gt;=P22,P23,NA()),IF(P23&lt;=P22,P23,NA())),NA())</f>
        <v/>
      </c>
      <c r="AF9">
        <f>IF(IF($F22="Higher the better",IF(Q23&gt;=Q22,Q23,NA()),IF(Q23&lt;=Q22,Q23,NA()))&lt;&gt;"",IF($F22="Higher the better",IF(Q23&gt;=Q22,Q23,NA()),IF(Q23&lt;=Q22,Q23,NA())),NA())</f>
        <v/>
      </c>
      <c r="AG9">
        <f>IF(IF($F22="Higher the better",IF(R23&gt;=R22,R23,NA()),IF(R23&lt;=R22,R23,NA()))&lt;&gt;"",IF($F22="Higher the better",IF(R23&gt;=R22,R23,NA()),IF(R23&lt;=R22,R23,NA())),NA())</f>
        <v/>
      </c>
      <c r="AH9">
        <f>IF(IF($F22="Higher the better",IF(S23&gt;=S22,S23,NA()),IF(S23&lt;=S22,S23,NA()))&lt;&gt;"",IF($F22="Higher the better",IF(S23&gt;=S22,S23,NA()),IF(S23&lt;=S22,S23,NA())),NA())</f>
        <v/>
      </c>
      <c r="AI9">
        <f>IF(IF($F22="Higher the better",IF(T23&gt;=T22,T23,NA()),IF(T23&lt;=T22,T23,NA()))&lt;&gt;"",IF($F22="Higher the better",IF(T23&gt;=T22,T23,NA()),IF(T23&lt;=T22,T23,NA())),NA())</f>
        <v/>
      </c>
    </row>
    <row r="10">
      <c r="A10" s="427" t="inlineStr">
        <is>
          <t>CS Profitability</t>
        </is>
      </c>
      <c r="B10" s="427" t="inlineStr">
        <is>
          <t>Margins IGM%</t>
        </is>
      </c>
      <c r="C10" s="230" t="inlineStr">
        <is>
          <t>&gt;=</t>
        </is>
      </c>
      <c r="D10" s="761" t="n">
        <v>0.527</v>
      </c>
      <c r="E10" s="230" t="inlineStr">
        <is>
          <t>%</t>
        </is>
      </c>
      <c r="F10" s="388" t="inlineStr">
        <is>
          <t>Higher the better</t>
        </is>
      </c>
      <c r="G10" s="230" t="inlineStr">
        <is>
          <t>Monthly</t>
        </is>
      </c>
      <c r="H10" s="14" t="inlineStr">
        <is>
          <t>Target</t>
        </is>
      </c>
      <c r="I10" s="51" t="n">
        <v>0.453</v>
      </c>
      <c r="J10" s="51" t="n">
        <v>0.464</v>
      </c>
      <c r="K10" s="51" t="n">
        <v>0.493</v>
      </c>
      <c r="L10" s="721" t="n">
        <v>0.491</v>
      </c>
      <c r="M10" s="51" t="n">
        <v>0.488</v>
      </c>
      <c r="N10" s="51" t="n">
        <v>0.492</v>
      </c>
      <c r="O10" s="51" t="n">
        <v>0.492</v>
      </c>
      <c r="P10" s="51" t="n">
        <v>0.495</v>
      </c>
      <c r="Q10" s="51" t="n">
        <v>0.495</v>
      </c>
      <c r="R10" s="51" t="n">
        <v>0.498</v>
      </c>
      <c r="S10" s="51" t="n">
        <v>0.498</v>
      </c>
      <c r="T10" s="51" t="n">
        <v>0.507</v>
      </c>
      <c r="W10" t="inlineStr">
        <is>
          <t>Actual red</t>
        </is>
      </c>
      <c r="X10">
        <f>IF(IF($F22="Higher the better",IF(I23&lt;I22,I23,NA()),IF(I23&gt;I22,I23,NA()))&lt;&gt;"",IF($F22="Higher the better",IF(I23&lt;I22,I23,NA()),IF(I23&gt;I22,I23,NA())),NA())</f>
        <v/>
      </c>
      <c r="Y10">
        <f>IF(IF($F22="Higher the better",IF(J23&lt;J22,J23,NA()),IF(J23&gt;J22,J23,NA()))&lt;&gt;"",IF($F22="Higher the better",IF(J23&lt;J22,J23,NA()),IF(J23&gt;J22,J23,NA())),NA())</f>
        <v/>
      </c>
      <c r="Z10">
        <f>IF(IF($F22="Higher the better",IF(K23&lt;K22,K23,NA()),IF(K23&gt;K22,K23,NA()))&lt;&gt;"",IF($F22="Higher the better",IF(K23&lt;K22,K23,NA()),IF(K23&gt;K22,K23,NA())),NA())</f>
        <v/>
      </c>
      <c r="AA10">
        <f>IF(IF($F22="Higher the better",IF(L23&lt;L22,L23,NA()),IF(L23&gt;L22,L23,NA()))&lt;&gt;"",IF($F22="Higher the better",IF(L23&lt;L22,L23,NA()),IF(L23&gt;L22,L23,NA())),NA())</f>
        <v/>
      </c>
      <c r="AB10">
        <f>IF(IF($F22="Higher the better",IF(M23&lt;M22,M23,NA()),IF(M23&gt;M22,M23,NA()))&lt;&gt;"",IF($F22="Higher the better",IF(M23&lt;M22,M23,NA()),IF(M23&gt;M22,M23,NA())),NA())</f>
        <v/>
      </c>
      <c r="AC10">
        <f>IF(IF($F22="Higher the better",IF(N23&lt;N22,N23,NA()),IF(N23&gt;N22,N23,NA()))&lt;&gt;"",IF($F22="Higher the better",IF(N23&lt;N22,N23,NA()),IF(N23&gt;N22,N23,NA())),NA())</f>
        <v/>
      </c>
      <c r="AD10">
        <f>IF(IF($F22="Higher the better",IF(O23&lt;O22,O23,NA()),IF(O23&gt;O22,O23,NA()))&lt;&gt;"",IF($F22="Higher the better",IF(O23&lt;O22,O23,NA()),IF(O23&gt;O22,O23,NA())),NA())</f>
        <v/>
      </c>
      <c r="AE10">
        <f>IF(IF($F22="Higher the better",IF(P23&lt;P22,P23,NA()),IF(P23&gt;P22,P23,NA()))&lt;&gt;"",IF($F22="Higher the better",IF(P23&lt;P22,P23,NA()),IF(P23&gt;P22,P23,NA())),NA())</f>
        <v/>
      </c>
      <c r="AF10">
        <f>IF(IF($F22="Higher the better",IF(Q23&lt;Q22,Q23,NA()),IF(Q23&gt;Q22,Q23,NA()))&lt;&gt;"",IF($F22="Higher the better",IF(Q23&lt;Q22,Q23,NA()),IF(Q23&gt;Q22,Q23,NA())),NA())</f>
        <v/>
      </c>
      <c r="AG10">
        <f>IF(IF($F22="Higher the better",IF(R23&lt;R22,R23,NA()),IF(R23&gt;R22,R23,NA()))&lt;&gt;"",IF($F22="Higher the better",IF(R23&lt;R22,R23,NA()),IF(R23&gt;R22,R23,NA())),NA())</f>
        <v/>
      </c>
      <c r="AH10">
        <f>IF(IF($F22="Higher the better",IF(S23&lt;S22,S23,NA()),IF(S23&gt;S22,S23,NA()))&lt;&gt;"",IF($F22="Higher the better",IF(S23&lt;S22,S23,NA()),IF(S23&gt;S22,S23,NA())),NA())</f>
        <v/>
      </c>
      <c r="AI10">
        <f>IF(IF($F22="Higher the better",IF(T23&lt;T22,T23,NA()),IF(T23&gt;T22,T23,NA()))&lt;&gt;"",IF($F22="Higher the better",IF(T23&lt;T22,T23,NA()),IF(T23&gt;T22,T23,NA())),NA())</f>
        <v/>
      </c>
    </row>
    <row r="11">
      <c r="A11" s="671" t="n"/>
      <c r="B11" s="671" t="n"/>
      <c r="C11" s="671" t="n"/>
      <c r="D11" s="671" t="n"/>
      <c r="E11" s="671" t="n"/>
      <c r="F11" s="671" t="n"/>
      <c r="G11" s="671" t="n"/>
      <c r="H11" s="14" t="inlineStr">
        <is>
          <t>Actual</t>
        </is>
      </c>
      <c r="I11" s="67" t="n">
        <v>0.403</v>
      </c>
      <c r="J11" s="67" t="n">
        <v>0.402</v>
      </c>
      <c r="K11" s="67" t="n">
        <v>0.424</v>
      </c>
      <c r="L11" s="686" t="n">
        <v>0.428</v>
      </c>
      <c r="M11" s="5" t="n">
        <v>0.43</v>
      </c>
      <c r="N11" s="5" t="n">
        <v>0.45</v>
      </c>
      <c r="O11" s="67" t="n">
        <v>0.447</v>
      </c>
      <c r="P11" s="67" t="n">
        <v>0.444</v>
      </c>
      <c r="Q11" s="67" t="n">
        <v>0.454</v>
      </c>
      <c r="R11" s="45" t="n"/>
      <c r="S11" s="45" t="n"/>
      <c r="T11" s="45" t="n"/>
      <c r="W11" t="inlineStr">
        <is>
          <t>Actual green</t>
        </is>
      </c>
      <c r="X11">
        <f>IF(IF($F24="Higher the better",IF(I25&gt;=I24,I25,NA()),IF(I25&lt;=I24,I25,NA()))&lt;&gt;"",IF($F24="Higher the better",IF(I25&gt;=I24,I25,NA()),IF(I25&lt;=I24,I25,NA())),NA())</f>
        <v/>
      </c>
      <c r="Y11">
        <f>IF(IF($F24="Higher the better",IF(J25&gt;=J24,J25,NA()),IF(J25&lt;=J24,J25,NA()))&lt;&gt;"",IF($F24="Higher the better",IF(J25&gt;=J24,J25,NA()),IF(J25&lt;=J24,J25,NA())),NA())</f>
        <v/>
      </c>
      <c r="Z11">
        <f>IF(IF($F24="Higher the better",IF(K25&gt;=K24,K25,NA()),IF(K25&lt;=K24,K25,NA()))&lt;&gt;"",IF($F24="Higher the better",IF(K25&gt;=K24,K25,NA()),IF(K25&lt;=K24,K25,NA())),NA())</f>
        <v/>
      </c>
      <c r="AA11">
        <f>IF(IF($F24="Higher the better",IF(L25&gt;=L24,L25,NA()),IF(L25&lt;=L24,L25,NA()))&lt;&gt;"",IF($F24="Higher the better",IF(L25&gt;=L24,L25,NA()),IF(L25&lt;=L24,L25,NA())),NA())</f>
        <v/>
      </c>
      <c r="AB11">
        <f>IF(IF($F24="Higher the better",IF(M25&gt;=M24,M25,NA()),IF(M25&lt;=M24,M25,NA()))&lt;&gt;"",IF($F24="Higher the better",IF(M25&gt;=M24,M25,NA()),IF(M25&lt;=M24,M25,NA())),NA())</f>
        <v/>
      </c>
      <c r="AC11">
        <f>IF(IF($F24="Higher the better",IF(N25&gt;=N24,N25,NA()),IF(N25&lt;=N24,N25,NA()))&lt;&gt;"",IF($F24="Higher the better",IF(N25&gt;=N24,N25,NA()),IF(N25&lt;=N24,N25,NA())),NA())</f>
        <v/>
      </c>
      <c r="AD11">
        <f>IF(IF($F24="Higher the better",IF(O25&gt;=O24,O25,NA()),IF(O25&lt;=O24,O25,NA()))&lt;&gt;"",IF($F24="Higher the better",IF(O25&gt;=O24,O25,NA()),IF(O25&lt;=O24,O25,NA())),NA())</f>
        <v/>
      </c>
      <c r="AE11">
        <f>IF(IF($F24="Higher the better",IF(P25&gt;=P24,P25,NA()),IF(P25&lt;=P24,P25,NA()))&lt;&gt;"",IF($F24="Higher the better",IF(P25&gt;=P24,P25,NA()),IF(P25&lt;=P24,P25,NA())),NA())</f>
        <v/>
      </c>
      <c r="AF11">
        <f>IF(IF($F24="Higher the better",IF(Q25&gt;=Q24,Q25,NA()),IF(Q25&lt;=Q24,Q25,NA()))&lt;&gt;"",IF($F24="Higher the better",IF(Q25&gt;=Q24,Q25,NA()),IF(Q25&lt;=Q24,Q25,NA())),NA())</f>
        <v/>
      </c>
      <c r="AG11">
        <f>IF(IF($F24="Higher the better",IF(R25&gt;=R24,R25,NA()),IF(R25&lt;=R24,R25,NA()))&lt;&gt;"",IF($F24="Higher the better",IF(R25&gt;=R24,R25,NA()),IF(R25&lt;=R24,R25,NA())),NA())</f>
        <v/>
      </c>
      <c r="AH11">
        <f>IF(IF($F24="Higher the better",IF(S25&gt;=S24,S25,NA()),IF(S25&lt;=S24,S25,NA()))&lt;&gt;"",IF($F24="Higher the better",IF(S25&gt;=S24,S25,NA()),IF(S25&lt;=S24,S25,NA())),NA())</f>
        <v/>
      </c>
      <c r="AI11">
        <f>IF(IF($F24="Higher the better",IF(T25&gt;=T24,T25,NA()),IF(T25&lt;=T24,T25,NA()))&lt;&gt;"",IF($F24="Higher the better",IF(T25&gt;=T24,T25,NA()),IF(T25&lt;=T24,T25,NA())),NA())</f>
        <v/>
      </c>
    </row>
    <row r="12" ht="18.6" customHeight="1">
      <c r="A12" s="31" t="inlineStr">
        <is>
          <t>Critical Enabling/Leading KPI's (3-5)</t>
        </is>
      </c>
      <c r="G12" s="38" t="n"/>
      <c r="I12" s="43" t="n"/>
      <c r="J12" s="43" t="n"/>
      <c r="K12" s="43" t="n"/>
      <c r="L12" s="43" t="n"/>
      <c r="M12" s="43" t="n"/>
      <c r="N12" s="43" t="n"/>
      <c r="O12" s="266" t="n"/>
      <c r="P12" s="43" t="n"/>
      <c r="Q12" s="43" t="n"/>
      <c r="R12" s="43" t="n"/>
      <c r="S12" s="43" t="n"/>
      <c r="T12" s="43" t="n"/>
      <c r="W12" t="inlineStr">
        <is>
          <t>Actual red</t>
        </is>
      </c>
      <c r="X12">
        <f>IF(IF($F24="Higher the better",IF(I25&lt;I24,I25,NA()),IF(I25&gt;I24,I25,NA()))&lt;&gt;"",IF($F24="Higher the better",IF(I25&lt;I24,I25,NA()),IF(I25&gt;I24,I25,NA())),NA())</f>
        <v/>
      </c>
      <c r="Y12">
        <f>IF(IF($F24="Higher the better",IF(J25&lt;J24,J25,NA()),IF(J25&gt;J24,J25,NA()))&lt;&gt;"",IF($F24="Higher the better",IF(J25&lt;J24,J25,NA()),IF(J25&gt;J24,J25,NA())),NA())</f>
        <v/>
      </c>
      <c r="Z12">
        <f>IF(IF($F24="Higher the better",IF(K25&lt;K24,K25,NA()),IF(K25&gt;K24,K25,NA()))&lt;&gt;"",IF($F24="Higher the better",IF(K25&lt;K24,K25,NA()),IF(K25&gt;K24,K25,NA())),NA())</f>
        <v/>
      </c>
      <c r="AA12">
        <f>IF(IF($F24="Higher the better",IF(L25&lt;L24,L25,NA()),IF(L25&gt;L24,L25,NA()))&lt;&gt;"",IF($F24="Higher the better",IF(L25&lt;L24,L25,NA()),IF(L25&gt;L24,L25,NA())),NA())</f>
        <v/>
      </c>
      <c r="AB12">
        <f>IF(IF($F24="Higher the better",IF(M25&lt;M24,M25,NA()),IF(M25&gt;M24,M25,NA()))&lt;&gt;"",IF($F24="Higher the better",IF(M25&lt;M24,M25,NA()),IF(M25&gt;M24,M25,NA())),NA())</f>
        <v/>
      </c>
      <c r="AC12">
        <f>IF(IF($F24="Higher the better",IF(N25&lt;N24,N25,NA()),IF(N25&gt;N24,N25,NA()))&lt;&gt;"",IF($F24="Higher the better",IF(N25&lt;N24,N25,NA()),IF(N25&gt;N24,N25,NA())),NA())</f>
        <v/>
      </c>
      <c r="AD12">
        <f>IF(IF($F24="Higher the better",IF(O25&lt;O24,O25,NA()),IF(O25&gt;O24,O25,NA()))&lt;&gt;"",IF($F24="Higher the better",IF(O25&lt;O24,O25,NA()),IF(O25&gt;O24,O25,NA())),NA())</f>
        <v/>
      </c>
      <c r="AE12">
        <f>IF(IF($F24="Higher the better",IF(P25&lt;P24,P25,NA()),IF(P25&gt;P24,P25,NA()))&lt;&gt;"",IF($F24="Higher the better",IF(P25&lt;P24,P25,NA()),IF(P25&gt;P24,P25,NA())),NA())</f>
        <v/>
      </c>
      <c r="AF12">
        <f>IF(IF($F24="Higher the better",IF(Q25&lt;Q24,Q25,NA()),IF(Q25&gt;Q24,Q25,NA()))&lt;&gt;"",IF($F24="Higher the better",IF(Q25&lt;Q24,Q25,NA()),IF(Q25&gt;Q24,Q25,NA())),NA())</f>
        <v/>
      </c>
      <c r="AG12">
        <f>IF(IF($F24="Higher the better",IF(R25&lt;R24,R25,NA()),IF(R25&gt;R24,R25,NA()))&lt;&gt;"",IF($F24="Higher the better",IF(R25&lt;R24,R25,NA()),IF(R25&gt;R24,R25,NA())),NA())</f>
        <v/>
      </c>
      <c r="AH12">
        <f>IF(IF($F24="Higher the better",IF(S25&lt;S24,S25,NA()),IF(S25&gt;S24,S25,NA()))&lt;&gt;"",IF($F24="Higher the better",IF(S25&lt;S24,S25,NA()),IF(S25&gt;S24,S25,NA())),NA())</f>
        <v/>
      </c>
      <c r="AI12">
        <f>IF(IF($F24="Higher the better",IF(T25&lt;T24,T25,NA()),IF(T25&gt;T24,T25,NA()))&lt;&gt;"",IF($F24="Higher the better",IF(T25&lt;T24,T25,NA()),IF(T25&gt;T24,T25,NA())),NA())</f>
        <v/>
      </c>
    </row>
    <row r="13" ht="27.6"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c r="W13" t="inlineStr">
        <is>
          <t>Actual green</t>
        </is>
      </c>
      <c r="X13">
        <f>IF(IF($F26="Higher the better",IF(I27&gt;=I26,I27,NA()),IF(I27&lt;=I26,I27,NA()))&lt;&gt;"",IF($F26="Higher the better",IF(I27&gt;=I26,I27,NA()),IF(I27&lt;=I26,I27,NA())),NA())</f>
        <v/>
      </c>
      <c r="Y13">
        <f>IF(IF($F26="Higher the better",IF(J27&gt;=J26,J27,NA()),IF(J27&lt;=J26,J27,NA()))&lt;&gt;"",IF($F26="Higher the better",IF(J27&gt;=J26,J27,NA()),IF(J27&lt;=J26,J27,NA())),NA())</f>
        <v/>
      </c>
      <c r="Z13">
        <f>IF(IF($F26="Higher the better",IF(K27&gt;=K26,K27,NA()),IF(K27&lt;=K26,K27,NA()))&lt;&gt;"",IF($F26="Higher the better",IF(K27&gt;=K26,K27,NA()),IF(K27&lt;=K26,K27,NA())),NA())</f>
        <v/>
      </c>
      <c r="AA13">
        <f>IF(IF($F26="Higher the better",IF(L27&gt;=L26,L27,NA()),IF(L27&lt;=L26,L27,NA()))&lt;&gt;"",IF($F26="Higher the better",IF(L27&gt;=L26,L27,NA()),IF(L27&lt;=L26,L27,NA())),NA())</f>
        <v/>
      </c>
      <c r="AB13">
        <f>IF(IF($F26="Higher the better",IF(M27&gt;=M26,M27,NA()),IF(M27&lt;=M26,M27,NA()))&lt;&gt;"",IF($F26="Higher the better",IF(M27&gt;=M26,M27,NA()),IF(M27&lt;=M26,M27,NA())),NA())</f>
        <v/>
      </c>
      <c r="AC13">
        <f>IF(IF($F26="Higher the better",IF(N27&gt;=N26,N27,NA()),IF(N27&lt;=N26,N27,NA()))&lt;&gt;"",IF($F26="Higher the better",IF(N27&gt;=N26,N27,NA()),IF(N27&lt;=N26,N27,NA())),NA())</f>
        <v/>
      </c>
      <c r="AD13">
        <f>IF(IF($F26="Higher the better",IF(O27&gt;=O26,O27,NA()),IF(O27&lt;=O26,O27,NA()))&lt;&gt;"",IF($F26="Higher the better",IF(O27&gt;=O26,O27,NA()),IF(O27&lt;=O26,O27,NA())),NA())</f>
        <v/>
      </c>
      <c r="AE13">
        <f>IF(IF($F26="Higher the better",IF(P27&gt;=P26,P27,NA()),IF(P27&lt;=P26,P27,NA()))&lt;&gt;"",IF($F26="Higher the better",IF(P27&gt;=P26,P27,NA()),IF(P27&lt;=P26,P27,NA())),NA())</f>
        <v/>
      </c>
      <c r="AF13">
        <f>IF(IF($F26="Higher the better",IF(Q27&gt;=Q26,Q27,NA()),IF(Q27&lt;=Q26,Q27,NA()))&lt;&gt;"",IF($F26="Higher the better",IF(Q27&gt;=Q26,Q27,NA()),IF(Q27&lt;=Q26,Q27,NA())),NA())</f>
        <v/>
      </c>
      <c r="AG13">
        <f>IF(IF($F26="Higher the better",IF(R27&gt;=R26,R27,NA()),IF(R27&lt;=R26,R27,NA()))&lt;&gt;"",IF($F26="Higher the better",IF(R27&gt;=R26,R27,NA()),IF(R27&lt;=R26,R27,NA())),NA())</f>
        <v/>
      </c>
      <c r="AH13">
        <f>IF(IF($F26="Higher the better",IF(S27&gt;=S26,S27,NA()),IF(S27&lt;=S26,S27,NA()))&lt;&gt;"",IF($F26="Higher the better",IF(S27&gt;=S26,S27,NA()),IF(S27&lt;=S26,S27,NA())),NA())</f>
        <v/>
      </c>
      <c r="AI13">
        <f>IF(IF($F26="Higher the better",IF(T27&gt;=T26,T27,NA()),IF(T27&lt;=T26,T27,NA()))&lt;&gt;"",IF($F26="Higher the better",IF(T27&gt;=T26,T27,NA()),IF(T27&lt;=T26,T27,NA())),NA())</f>
        <v/>
      </c>
    </row>
    <row r="14" ht="13.5" customHeight="1">
      <c r="A14" s="762" t="inlineStr">
        <is>
          <t>CP %</t>
        </is>
      </c>
      <c r="B14" s="387" t="inlineStr">
        <is>
          <t>Contract penetration Exc EOL/EOS System</t>
        </is>
      </c>
      <c r="C14" s="230" t="inlineStr">
        <is>
          <t>&gt;=</t>
        </is>
      </c>
      <c r="D14" s="388" t="n">
        <v>54.9</v>
      </c>
      <c r="E14" s="230" t="inlineStr">
        <is>
          <t>%</t>
        </is>
      </c>
      <c r="F14" s="388" t="inlineStr">
        <is>
          <t>Higher the better</t>
        </is>
      </c>
      <c r="G14" s="230" t="inlineStr">
        <is>
          <t>Monthly</t>
        </is>
      </c>
      <c r="H14" s="14" t="inlineStr">
        <is>
          <t>Target</t>
        </is>
      </c>
      <c r="I14" s="51" t="n">
        <v>0.536</v>
      </c>
      <c r="J14" s="51" t="n">
        <v>0.539</v>
      </c>
      <c r="K14" s="51" t="n">
        <v>0.541</v>
      </c>
      <c r="L14" s="51" t="n">
        <v>0.541</v>
      </c>
      <c r="M14" s="51" t="n">
        <v>0.543</v>
      </c>
      <c r="N14" s="51" t="n">
        <v>0.544</v>
      </c>
      <c r="O14" s="51" t="n">
        <v>0.544</v>
      </c>
      <c r="P14" s="51" t="n">
        <v>0.545</v>
      </c>
      <c r="Q14" s="51" t="n">
        <v>0.546</v>
      </c>
      <c r="R14" s="51" t="n">
        <v>0.547</v>
      </c>
      <c r="S14" s="51" t="n">
        <v>0.549</v>
      </c>
      <c r="T14" s="51" t="n">
        <v>0.549</v>
      </c>
      <c r="W14" t="inlineStr">
        <is>
          <t>Actual red</t>
        </is>
      </c>
      <c r="X14">
        <f>IF(IF($F26="Higher the better",IF(I27&lt;I26,I27,NA()),IF(I27&gt;I26,I27,NA()))&lt;&gt;"",IF($F26="Higher the better",IF(I27&lt;I26,I27,NA()),IF(I27&gt;I26,I27,NA())),NA())</f>
        <v/>
      </c>
      <c r="Y14">
        <f>IF(IF($F26="Higher the better",IF(J27&lt;J26,J27,NA()),IF(J27&gt;J26,J27,NA()))&lt;&gt;"",IF($F26="Higher the better",IF(J27&lt;J26,J27,NA()),IF(J27&gt;J26,J27,NA())),NA())</f>
        <v/>
      </c>
      <c r="Z14">
        <f>IF(IF($F26="Higher the better",IF(K27&lt;K26,K27,NA()),IF(K27&gt;K26,K27,NA()))&lt;&gt;"",IF($F26="Higher the better",IF(K27&lt;K26,K27,NA()),IF(K27&gt;K26,K27,NA())),NA())</f>
        <v/>
      </c>
      <c r="AA14">
        <f>IF(IF($F26="Higher the better",IF(L27&lt;L26,L27,NA()),IF(L27&gt;L26,L27,NA()))&lt;&gt;"",IF($F26="Higher the better",IF(L27&lt;L26,L27,NA()),IF(L27&gt;L26,L27,NA())),NA())</f>
        <v/>
      </c>
      <c r="AB14">
        <f>IF(IF($F26="Higher the better",IF(M27&lt;M26,M27,NA()),IF(M27&gt;M26,M27,NA()))&lt;&gt;"",IF($F26="Higher the better",IF(M27&lt;M26,M27,NA()),IF(M27&gt;M26,M27,NA())),NA())</f>
        <v/>
      </c>
      <c r="AC14">
        <f>IF(IF($F26="Higher the better",IF(N27&lt;N26,N27,NA()),IF(N27&gt;N26,N27,NA()))&lt;&gt;"",IF($F26="Higher the better",IF(N27&lt;N26,N27,NA()),IF(N27&gt;N26,N27,NA())),NA())</f>
        <v/>
      </c>
      <c r="AD14">
        <f>IF(IF($F26="Higher the better",IF(O27&lt;O26,O27,NA()),IF(O27&gt;O26,O27,NA()))&lt;&gt;"",IF($F26="Higher the better",IF(O27&lt;O26,O27,NA()),IF(O27&gt;O26,O27,NA())),NA())</f>
        <v/>
      </c>
      <c r="AE14">
        <f>IF(IF($F26="Higher the better",IF(P27&lt;P26,P27,NA()),IF(P27&gt;P26,P27,NA()))&lt;&gt;"",IF($F26="Higher the better",IF(P27&lt;P26,P27,NA()),IF(P27&gt;P26,P27,NA())),NA())</f>
        <v/>
      </c>
      <c r="AF14">
        <f>IF(IF($F26="Higher the better",IF(Q27&lt;Q26,Q27,NA()),IF(Q27&gt;Q26,Q27,NA()))&lt;&gt;"",IF($F26="Higher the better",IF(Q27&lt;Q26,Q27,NA()),IF(Q27&gt;Q26,Q27,NA())),NA())</f>
        <v/>
      </c>
      <c r="AG14">
        <f>IF(IF($F26="Higher the better",IF(R27&lt;R26,R27,NA()),IF(R27&gt;R26,R27,NA()))&lt;&gt;"",IF($F26="Higher the better",IF(R27&lt;R26,R27,NA()),IF(R27&gt;R26,R27,NA())),NA())</f>
        <v/>
      </c>
      <c r="AH14">
        <f>IF(IF($F26="Higher the better",IF(S27&lt;S26,S27,NA()),IF(S27&gt;S26,S27,NA()))&lt;&gt;"",IF($F26="Higher the better",IF(S27&lt;S26,S27,NA()),IF(S27&gt;S26,S27,NA())),NA())</f>
        <v/>
      </c>
      <c r="AI14">
        <f>IF(IF($F26="Higher the better",IF(T27&lt;T26,T27,NA()),IF(T27&gt;T26,T27,NA()))&lt;&gt;"",IF($F26="Higher the better",IF(T27&lt;T26,T27,NA()),IF(T27&gt;T26,T27,NA())),NA())</f>
        <v/>
      </c>
    </row>
    <row r="15" ht="14.85" customHeight="1">
      <c r="A15" s="671" t="n"/>
      <c r="B15" s="671" t="n"/>
      <c r="C15" s="671" t="n"/>
      <c r="D15" s="671" t="n"/>
      <c r="E15" s="671" t="n"/>
      <c r="F15" s="671" t="n"/>
      <c r="G15" s="671" t="n"/>
      <c r="H15" s="14" t="inlineStr">
        <is>
          <t>Actual</t>
        </is>
      </c>
      <c r="I15" s="67" t="n">
        <v>0.519</v>
      </c>
      <c r="J15" s="67" t="n">
        <v>0.521</v>
      </c>
      <c r="K15" s="67" t="n">
        <v>0.531</v>
      </c>
      <c r="L15" s="686" t="n">
        <v>0.535</v>
      </c>
      <c r="M15" s="67" t="n">
        <v>0.536</v>
      </c>
      <c r="N15" s="67" t="n">
        <v>0.537</v>
      </c>
      <c r="O15" s="67" t="n">
        <v>0.536</v>
      </c>
      <c r="P15" s="67" t="n">
        <v>0.536</v>
      </c>
      <c r="Q15" s="67" t="n">
        <v>0.5375</v>
      </c>
      <c r="R15" s="45" t="n"/>
      <c r="S15" s="45" t="n"/>
      <c r="T15" s="45" t="n"/>
    </row>
    <row r="16">
      <c r="A16" s="427" t="inlineStr">
        <is>
          <t>POS Contract %</t>
        </is>
      </c>
      <c r="B16" s="446" t="inlineStr">
        <is>
          <t>Point of sale of service contract</t>
        </is>
      </c>
      <c r="C16" s="230" t="inlineStr">
        <is>
          <t>&gt;=</t>
        </is>
      </c>
      <c r="D16" s="388" t="n">
        <v>40</v>
      </c>
      <c r="E16" s="230" t="inlineStr">
        <is>
          <t>%</t>
        </is>
      </c>
      <c r="F16" s="388" t="inlineStr">
        <is>
          <t>Higher the better</t>
        </is>
      </c>
      <c r="G16" s="230" t="inlineStr">
        <is>
          <t>Monthly</t>
        </is>
      </c>
      <c r="H16" s="14" t="inlineStr">
        <is>
          <t>Target</t>
        </is>
      </c>
      <c r="I16" s="4" t="n">
        <v>0.4</v>
      </c>
      <c r="J16" s="4" t="n">
        <v>0.4</v>
      </c>
      <c r="K16" s="4" t="n">
        <v>0.4</v>
      </c>
      <c r="L16" s="4" t="n">
        <v>0.4</v>
      </c>
      <c r="M16" s="4" t="n">
        <v>0.4</v>
      </c>
      <c r="N16" s="4" t="n">
        <v>0.4</v>
      </c>
      <c r="O16" s="4" t="n">
        <v>0.4</v>
      </c>
      <c r="P16" s="4" t="n">
        <v>0.4</v>
      </c>
      <c r="Q16" s="4" t="n">
        <v>0.4</v>
      </c>
      <c r="R16" s="4" t="n">
        <v>0.4</v>
      </c>
      <c r="S16" s="4" t="n">
        <v>0.4</v>
      </c>
      <c r="T16" s="4" t="n">
        <v>0.4</v>
      </c>
    </row>
    <row r="17">
      <c r="A17" s="671" t="n"/>
      <c r="B17" s="671" t="n"/>
      <c r="C17" s="671" t="n"/>
      <c r="D17" s="671" t="n"/>
      <c r="E17" s="671" t="n"/>
      <c r="F17" s="671" t="n"/>
      <c r="G17" s="671" t="n"/>
      <c r="H17" s="14" t="inlineStr">
        <is>
          <t>Actual</t>
        </is>
      </c>
      <c r="I17" s="67" t="n">
        <v>0.217</v>
      </c>
      <c r="J17" s="67" t="n">
        <v>0.286</v>
      </c>
      <c r="K17" s="5" t="n">
        <v>0.31</v>
      </c>
      <c r="L17" s="5" t="n">
        <v>0.31</v>
      </c>
      <c r="M17" s="5" t="n">
        <v>0.32</v>
      </c>
      <c r="N17" s="5" t="n">
        <v>0.42</v>
      </c>
      <c r="O17" s="67" t="n">
        <v>0.414</v>
      </c>
      <c r="P17" s="67" t="n">
        <v>0.404</v>
      </c>
      <c r="Q17" s="67" t="n">
        <v>0.405</v>
      </c>
      <c r="R17" s="45" t="n"/>
      <c r="S17" s="45" t="n"/>
      <c r="T17" s="45" t="n"/>
    </row>
    <row r="18">
      <c r="A18" s="446" t="inlineStr">
        <is>
          <t>Contract price Improvement (M €)</t>
        </is>
      </c>
      <c r="B18" s="446" t="inlineStr">
        <is>
          <t>Contract target price realisation improvement</t>
        </is>
      </c>
      <c r="C18" s="230" t="inlineStr">
        <is>
          <t>&gt;=</t>
        </is>
      </c>
      <c r="D18" s="388" t="n">
        <v>0.6</v>
      </c>
      <c r="E18" s="230" t="inlineStr">
        <is>
          <t>Mn</t>
        </is>
      </c>
      <c r="F18" s="388" t="inlineStr">
        <is>
          <t>Higher the better</t>
        </is>
      </c>
      <c r="G18" s="230" t="inlineStr">
        <is>
          <t>Monthly</t>
        </is>
      </c>
      <c r="H18" s="14" t="inlineStr">
        <is>
          <t>Target</t>
        </is>
      </c>
      <c r="I18" s="44" t="n">
        <v>0.02</v>
      </c>
      <c r="J18" s="44" t="n">
        <v>0.05</v>
      </c>
      <c r="K18" s="44" t="n">
        <v>0.08</v>
      </c>
      <c r="L18" s="44" t="n">
        <v>0.11</v>
      </c>
      <c r="M18" s="44" t="n">
        <v>0.17</v>
      </c>
      <c r="N18" s="44" t="n">
        <v>0.23</v>
      </c>
      <c r="O18" s="44" t="n">
        <v>0.29</v>
      </c>
      <c r="P18" s="44" t="n">
        <v>0.37</v>
      </c>
      <c r="Q18" s="44" t="n">
        <v>0.45</v>
      </c>
      <c r="R18" s="44" t="n">
        <v>0.53</v>
      </c>
      <c r="S18" s="44" t="n">
        <v>0.61</v>
      </c>
      <c r="T18" s="44" t="n">
        <v>0.61</v>
      </c>
    </row>
    <row r="19">
      <c r="A19" s="671" t="n"/>
      <c r="B19" s="671" t="n"/>
      <c r="C19" s="671" t="n"/>
      <c r="D19" s="671" t="n"/>
      <c r="E19" s="671" t="n"/>
      <c r="F19" s="671" t="n"/>
      <c r="G19" s="671" t="n"/>
      <c r="H19" s="14" t="inlineStr">
        <is>
          <t>Actual</t>
        </is>
      </c>
      <c r="I19" s="326" t="n">
        <v>0.07000000000000001</v>
      </c>
      <c r="J19" s="326" t="n">
        <v>0.07000000000000001</v>
      </c>
      <c r="K19" s="326" t="n">
        <v>0.24</v>
      </c>
      <c r="L19" s="326" t="n">
        <v>0.32</v>
      </c>
      <c r="M19" s="326" t="n">
        <v>0.4</v>
      </c>
      <c r="N19" s="326" t="n">
        <v>0.53</v>
      </c>
      <c r="O19" s="326" t="n">
        <v>0.53</v>
      </c>
      <c r="P19" s="45" t="n">
        <v>0.6</v>
      </c>
      <c r="Q19" s="45" t="n">
        <v>0.9</v>
      </c>
      <c r="R19" s="45" t="n"/>
      <c r="S19" s="45" t="n"/>
      <c r="T19" s="45" t="n"/>
    </row>
    <row r="20">
      <c r="A20" s="446" t="inlineStr">
        <is>
          <t>Service Productivity</t>
        </is>
      </c>
      <c r="B20" s="446" t="inlineStr">
        <is>
          <t>Service Cost Savings</t>
        </is>
      </c>
      <c r="C20" s="230" t="inlineStr">
        <is>
          <t>&lt;=</t>
        </is>
      </c>
      <c r="D20" s="388" t="n">
        <v>1.3</v>
      </c>
      <c r="E20" s="230" t="inlineStr">
        <is>
          <t>Mn</t>
        </is>
      </c>
      <c r="F20" s="388" t="inlineStr">
        <is>
          <t>Higher the better</t>
        </is>
      </c>
      <c r="G20" s="230" t="inlineStr">
        <is>
          <t>Monthly</t>
        </is>
      </c>
      <c r="H20" s="14" t="inlineStr">
        <is>
          <t>Target</t>
        </is>
      </c>
      <c r="I20" s="211" t="n">
        <v>0</v>
      </c>
      <c r="J20" s="211" t="n">
        <v>0.03</v>
      </c>
      <c r="K20" s="211" t="n">
        <v>0.06</v>
      </c>
      <c r="L20" s="211" t="n">
        <v>0.13</v>
      </c>
      <c r="M20" s="211" t="n">
        <v>0.2</v>
      </c>
      <c r="N20" s="211" t="n">
        <v>0.27</v>
      </c>
      <c r="O20" s="211" t="n">
        <v>0.42</v>
      </c>
      <c r="P20" s="44" t="n">
        <v>0.5700000000000001</v>
      </c>
      <c r="Q20" s="44" t="n">
        <v>0.7300000000000001</v>
      </c>
      <c r="R20" s="44" t="n">
        <v>0.8900000000000001</v>
      </c>
      <c r="S20" s="44" t="n">
        <v>1.09</v>
      </c>
      <c r="T20" s="44" t="n">
        <v>1.3</v>
      </c>
    </row>
    <row r="21">
      <c r="A21" s="671" t="n"/>
      <c r="B21" s="671" t="n"/>
      <c r="C21" s="671" t="n"/>
      <c r="D21" s="671" t="n"/>
      <c r="E21" s="671" t="n"/>
      <c r="F21" s="671" t="n"/>
      <c r="G21" s="671" t="n"/>
      <c r="H21" s="14" t="inlineStr">
        <is>
          <t>Actual</t>
        </is>
      </c>
      <c r="I21" s="327" t="n">
        <v>0.01</v>
      </c>
      <c r="J21" s="327" t="n">
        <v>0.03</v>
      </c>
      <c r="K21" s="327" t="n">
        <v>0.08500000000000001</v>
      </c>
      <c r="L21" s="327" t="n">
        <v>0.16</v>
      </c>
      <c r="M21" s="327" t="n">
        <v>0.23</v>
      </c>
      <c r="N21" s="327" t="n">
        <v>0.3</v>
      </c>
      <c r="O21" s="327" t="n">
        <v>0.44</v>
      </c>
      <c r="P21" s="45" t="n">
        <v>0.575</v>
      </c>
      <c r="Q21" s="45" t="n">
        <v>0.75</v>
      </c>
      <c r="R21" s="45" t="n"/>
      <c r="S21" s="45" t="n"/>
      <c r="T21" s="45" t="n"/>
    </row>
    <row r="22">
      <c r="A22" s="427" t="inlineStr">
        <is>
          <t>Remote resolution</t>
        </is>
      </c>
      <c r="B22" s="446" t="inlineStr">
        <is>
          <t>Remote resolution cases %</t>
        </is>
      </c>
      <c r="C22" s="230" t="inlineStr">
        <is>
          <t>&gt;=</t>
        </is>
      </c>
      <c r="D22" s="763" t="n">
        <v>0.236</v>
      </c>
      <c r="E22" s="230" t="inlineStr">
        <is>
          <t>%</t>
        </is>
      </c>
      <c r="F22" s="388" t="inlineStr">
        <is>
          <t>Higher the better</t>
        </is>
      </c>
      <c r="G22" s="230" t="inlineStr">
        <is>
          <t>Monthly</t>
        </is>
      </c>
      <c r="H22" s="14" t="inlineStr">
        <is>
          <t>Target</t>
        </is>
      </c>
      <c r="I22" s="4" t="n">
        <v>0.2205389549796027</v>
      </c>
      <c r="J22" s="4" t="n">
        <v>0.2219802330410142</v>
      </c>
      <c r="K22" s="4" t="n">
        <v>0.2234215111024256</v>
      </c>
      <c r="L22" s="4" t="n">
        <v>0.224862789163837</v>
      </c>
      <c r="M22" s="4" t="n">
        <v>0.2263040672252485</v>
      </c>
      <c r="N22" s="4" t="n">
        <v>0.22774534528666</v>
      </c>
      <c r="O22" s="4" t="n">
        <v>0.2291866233480714</v>
      </c>
      <c r="P22" s="51" t="n">
        <v>0.2306279014094829</v>
      </c>
      <c r="Q22" s="51" t="n">
        <v>0.2320691794708943</v>
      </c>
      <c r="R22" s="51" t="n">
        <v>0.2335104575323058</v>
      </c>
      <c r="S22" s="51" t="n">
        <v>0.2349517355937172</v>
      </c>
      <c r="T22" s="51" t="n">
        <v>0.2363930136551286</v>
      </c>
    </row>
    <row r="23" ht="15.6" customHeight="1">
      <c r="A23" s="671" t="n"/>
      <c r="B23" s="671" t="n"/>
      <c r="C23" s="671" t="n"/>
      <c r="D23" s="671" t="n"/>
      <c r="E23" s="671" t="n"/>
      <c r="F23" s="671" t="n"/>
      <c r="G23" s="671" t="n"/>
      <c r="H23" s="14" t="inlineStr">
        <is>
          <t>Actual</t>
        </is>
      </c>
      <c r="I23" s="67" t="n">
        <v>0.215</v>
      </c>
      <c r="J23" s="67" t="n">
        <v>0.213</v>
      </c>
      <c r="K23" s="5" t="n">
        <v>0.212</v>
      </c>
      <c r="L23" s="5" t="n">
        <v>0.221</v>
      </c>
      <c r="M23" s="5" t="n">
        <v>0.227</v>
      </c>
      <c r="N23" s="5" t="n">
        <v>0.2204</v>
      </c>
      <c r="O23" s="67" t="n">
        <v>0.24</v>
      </c>
      <c r="P23" s="5" t="n">
        <v>0.24</v>
      </c>
      <c r="Q23" s="5" t="n">
        <v>0.24</v>
      </c>
      <c r="R23" s="45" t="n"/>
      <c r="S23" s="45" t="n"/>
      <c r="T23" s="45" t="n"/>
    </row>
    <row r="24">
      <c r="A24" s="427" t="inlineStr">
        <is>
          <t>OPF%</t>
        </is>
      </c>
      <c r="B24" s="427" t="inlineStr">
        <is>
          <t>One part Fix %</t>
        </is>
      </c>
      <c r="C24" s="230" t="inlineStr">
        <is>
          <t>&gt;=</t>
        </is>
      </c>
      <c r="D24" s="763" t="n">
        <v>0.8159999999999999</v>
      </c>
      <c r="E24" s="230" t="inlineStr">
        <is>
          <t>%</t>
        </is>
      </c>
      <c r="F24" s="388" t="inlineStr">
        <is>
          <t>Higher the better</t>
        </is>
      </c>
      <c r="G24" s="230" t="inlineStr">
        <is>
          <t>Monthly</t>
        </is>
      </c>
      <c r="H24" s="14" t="inlineStr">
        <is>
          <t>Target</t>
        </is>
      </c>
      <c r="I24" s="4" t="n">
        <v>0.804</v>
      </c>
      <c r="J24" s="4" t="n">
        <v>0.805</v>
      </c>
      <c r="K24" s="4" t="n">
        <v>0.806</v>
      </c>
      <c r="L24" s="4" t="n">
        <v>0.8070000000000001</v>
      </c>
      <c r="M24" s="4" t="n">
        <v>0.8080000000000001</v>
      </c>
      <c r="N24" s="4" t="n">
        <v>0.8090000000000001</v>
      </c>
      <c r="O24" s="4" t="n">
        <v>0.8100000000000001</v>
      </c>
      <c r="P24" s="51" t="n">
        <v>0.8110000000000001</v>
      </c>
      <c r="Q24" s="51" t="n">
        <v>0.8120000000000001</v>
      </c>
      <c r="R24" s="51" t="n">
        <v>0.8139999999999999</v>
      </c>
      <c r="S24" s="51" t="n">
        <v>0.8149999999999999</v>
      </c>
      <c r="T24" s="51" t="n">
        <v>0.8159999999999999</v>
      </c>
    </row>
    <row r="25" ht="13.5" customHeight="1">
      <c r="A25" s="671" t="n"/>
      <c r="B25" s="671" t="n"/>
      <c r="C25" s="671" t="n"/>
      <c r="D25" s="671" t="n"/>
      <c r="E25" s="671" t="n"/>
      <c r="F25" s="671" t="n"/>
      <c r="G25" s="671" t="n"/>
      <c r="H25" s="14" t="inlineStr">
        <is>
          <t>Actual</t>
        </is>
      </c>
      <c r="I25" s="67" t="n">
        <v>0.8188</v>
      </c>
      <c r="J25" s="67" t="n">
        <v>0.8139999999999999</v>
      </c>
      <c r="K25" s="5" t="n">
        <v>0.8</v>
      </c>
      <c r="L25" s="5" t="n">
        <v>0.802</v>
      </c>
      <c r="M25" s="5" t="n">
        <v>0.804</v>
      </c>
      <c r="N25" s="5" t="n">
        <v>0.8056</v>
      </c>
      <c r="O25" s="67" t="n">
        <v>0.8100000000000001</v>
      </c>
      <c r="P25" s="67" t="n">
        <v>0.8120000000000001</v>
      </c>
      <c r="Q25" s="67" t="n">
        <v>0.8120000000000001</v>
      </c>
      <c r="R25" s="45" t="n"/>
      <c r="S25" s="45" t="n"/>
      <c r="T25" s="45" t="n"/>
    </row>
    <row r="26">
      <c r="A26" s="427" t="inlineStr">
        <is>
          <t>First Vist Fix (Parts)</t>
        </is>
      </c>
      <c r="B26" s="427" t="inlineStr">
        <is>
          <t>Customer Satisfaction -on resolution</t>
        </is>
      </c>
      <c r="C26" s="230" t="inlineStr">
        <is>
          <t>&lt;=</t>
        </is>
      </c>
      <c r="D26" s="257" t="n">
        <v>0.709</v>
      </c>
      <c r="E26" s="230" t="inlineStr">
        <is>
          <t>%</t>
        </is>
      </c>
      <c r="F26" s="388" t="inlineStr">
        <is>
          <t>Higher the better</t>
        </is>
      </c>
      <c r="G26" s="230" t="inlineStr">
        <is>
          <t>Monthly</t>
        </is>
      </c>
      <c r="H26" s="14" t="inlineStr">
        <is>
          <t>Target</t>
        </is>
      </c>
      <c r="I26" s="4" t="n">
        <v>0.7</v>
      </c>
      <c r="J26" s="4" t="n">
        <v>0.7</v>
      </c>
      <c r="K26" s="4" t="n">
        <v>0.7</v>
      </c>
      <c r="L26" s="4" t="n">
        <v>0.7</v>
      </c>
      <c r="M26" s="4" t="n">
        <v>0.7</v>
      </c>
      <c r="N26" s="4" t="n">
        <v>0.7</v>
      </c>
      <c r="O26" s="4" t="n">
        <v>0.7</v>
      </c>
      <c r="P26" s="4" t="n">
        <v>0.7</v>
      </c>
      <c r="Q26" s="4" t="n">
        <v>0.7</v>
      </c>
      <c r="R26" s="4" t="n">
        <v>0.7</v>
      </c>
      <c r="S26" s="4" t="n">
        <v>0.7</v>
      </c>
      <c r="T26" s="4" t="n">
        <v>0.7</v>
      </c>
    </row>
    <row r="27" ht="13.5" customHeight="1">
      <c r="A27" s="671" t="n"/>
      <c r="B27" s="671" t="n"/>
      <c r="C27" s="671" t="n"/>
      <c r="D27" s="671" t="n"/>
      <c r="E27" s="671" t="n"/>
      <c r="F27" s="671" t="n"/>
      <c r="G27" s="671" t="n"/>
      <c r="H27" s="14" t="inlineStr">
        <is>
          <t>Actual</t>
        </is>
      </c>
      <c r="I27" s="67" t="n">
        <v>0.695</v>
      </c>
      <c r="J27" s="67" t="n">
        <v>0.648</v>
      </c>
      <c r="K27" s="5" t="n">
        <v>0.681</v>
      </c>
      <c r="L27" s="5" t="n">
        <v>0.695</v>
      </c>
      <c r="M27" s="5" t="n">
        <v>0.7</v>
      </c>
      <c r="N27" s="5" t="n">
        <v>0.7</v>
      </c>
      <c r="O27" s="67" t="n">
        <v>0.697</v>
      </c>
      <c r="P27" s="5" t="n">
        <v>0.7</v>
      </c>
      <c r="Q27" s="67" t="n">
        <v>0.701</v>
      </c>
      <c r="R27" s="45" t="n"/>
      <c r="S27" s="45" t="n"/>
      <c r="T27" s="45" t="n"/>
    </row>
    <row r="28" ht="15" customHeight="1">
      <c r="E28" s="32" t="inlineStr">
        <is>
          <t xml:space="preserve">
</t>
        </is>
      </c>
      <c r="H28" s="33">
        <f>IF(OR($F15="Lower the better",$F15="Lower the Better"),
    IF(I15&gt;I14,$A14,""),
    IF(OR($F15="Higher the better",$F15="Higher the Better"),
       IF(I15&lt;I14,$A14,""),
       ""
    )
)</f>
        <v/>
      </c>
    </row>
    <row r="29" ht="21" customHeight="1">
      <c r="A29" s="10" t="inlineStr">
        <is>
          <t>Trends-</t>
        </is>
      </c>
    </row>
    <row r="30">
      <c r="A30" s="639" t="n"/>
    </row>
    <row r="31">
      <c r="A31" s="639" t="n"/>
    </row>
    <row r="32">
      <c r="A32" s="639" t="n"/>
    </row>
    <row r="33">
      <c r="A33" s="639" t="n"/>
    </row>
    <row r="34">
      <c r="A34" s="639" t="n"/>
    </row>
    <row r="35">
      <c r="A35" s="639" t="n"/>
    </row>
    <row r="36">
      <c r="A36" s="639" t="n"/>
    </row>
    <row r="37">
      <c r="A37" s="639" t="n"/>
    </row>
    <row r="38">
      <c r="A38" s="639" t="n"/>
    </row>
    <row r="39">
      <c r="A39" s="639" t="n"/>
    </row>
    <row r="40">
      <c r="A40" s="639" t="n"/>
    </row>
    <row r="41">
      <c r="A41" s="639" t="n"/>
    </row>
    <row r="42">
      <c r="A42" s="639" t="n"/>
    </row>
    <row r="43">
      <c r="A43" s="639" t="n"/>
    </row>
    <row r="44">
      <c r="A44" s="639" t="n"/>
    </row>
    <row r="45">
      <c r="A45" s="639" t="n"/>
    </row>
    <row r="46" ht="21" customHeight="1">
      <c r="A46" s="500" t="inlineStr">
        <is>
          <t>If the KPI is reported Red, fill all the details as mentioned below for analysis &amp; actions:</t>
        </is>
      </c>
    </row>
    <row r="47">
      <c r="A47" s="639" t="n"/>
    </row>
    <row r="48" ht="21" customHeight="1">
      <c r="A48" s="449" t="inlineStr">
        <is>
          <t>Root Cause Analysis-</t>
        </is>
      </c>
    </row>
    <row r="49" ht="20.1" customHeight="1">
      <c r="A49" s="466" t="inlineStr">
        <is>
          <t xml:space="preserve"> Red KPI</t>
        </is>
      </c>
      <c r="B49" s="361" t="inlineStr">
        <is>
          <t xml:space="preserve">Top  Causes </t>
        </is>
      </c>
      <c r="C49" s="693" t="n"/>
      <c r="D49" s="693" t="n"/>
      <c r="E49" s="693" t="n"/>
      <c r="F49" s="692" t="n"/>
    </row>
    <row r="50" ht="15" customHeight="1">
      <c r="A50" s="694" t="n"/>
      <c r="B50" s="361" t="inlineStr">
        <is>
          <t xml:space="preserve">Cause 1 </t>
        </is>
      </c>
      <c r="C50" s="361" t="inlineStr">
        <is>
          <t>Cause 2</t>
        </is>
      </c>
      <c r="D50" s="361" t="inlineStr">
        <is>
          <t>Cause 3</t>
        </is>
      </c>
      <c r="E50" s="361" t="inlineStr">
        <is>
          <t>Cause 4</t>
        </is>
      </c>
      <c r="F50" s="361" t="inlineStr">
        <is>
          <t>Cause 5</t>
        </is>
      </c>
    </row>
    <row r="51" ht="19.35" customHeight="1">
      <c r="A51" s="40" t="inlineStr">
        <is>
          <t>CS Sales</t>
        </is>
      </c>
      <c r="B51" s="210" t="inlineStr">
        <is>
          <t>NAR GAP (CLV+ Winback) -0.55M</t>
        </is>
      </c>
      <c r="C51" s="41" t="inlineStr">
        <is>
          <t>META Contract Delay -0.2M</t>
        </is>
      </c>
      <c r="D51" s="41" t="inlineStr">
        <is>
          <t>CP% gap VS AOP -0.1M</t>
        </is>
      </c>
      <c r="E51" s="41" t="n"/>
      <c r="F51" s="41" t="n"/>
    </row>
    <row r="52" ht="19.35" customHeight="1">
      <c r="A52" s="27" t="inlineStr">
        <is>
          <t>% impact on KPI gap</t>
        </is>
      </c>
      <c r="B52" s="42" t="n">
        <v>0.65</v>
      </c>
      <c r="C52" s="42" t="n">
        <v>0.3</v>
      </c>
      <c r="D52" s="42" t="n">
        <v>0.05</v>
      </c>
      <c r="E52" s="42" t="n"/>
      <c r="F52" s="42" t="n"/>
    </row>
    <row r="53" ht="19.35" customHeight="1">
      <c r="A53" s="361" t="inlineStr">
        <is>
          <t>Red KPI</t>
        </is>
      </c>
      <c r="B53" s="361" t="inlineStr">
        <is>
          <t xml:space="preserve">Cause 1 </t>
        </is>
      </c>
      <c r="C53" s="361" t="inlineStr">
        <is>
          <t>Cause 2</t>
        </is>
      </c>
      <c r="D53" s="361" t="inlineStr">
        <is>
          <t>Cause 3</t>
        </is>
      </c>
      <c r="E53" s="361" t="inlineStr">
        <is>
          <t>Cause 4</t>
        </is>
      </c>
      <c r="F53" s="361" t="inlineStr">
        <is>
          <t>Cause 5</t>
        </is>
      </c>
    </row>
    <row r="54" ht="19.35" customHeight="1">
      <c r="A54" s="40" t="inlineStr">
        <is>
          <t>CS Profitability</t>
        </is>
      </c>
      <c r="B54" s="210" t="inlineStr">
        <is>
          <t>Central costs allocation</t>
        </is>
      </c>
      <c r="C54" s="41" t="inlineStr">
        <is>
          <t>Recoveries GAP (NAR Installations)</t>
        </is>
      </c>
      <c r="D54" s="41" t="inlineStr">
        <is>
          <t>Latam/META (FOREX Inflation)</t>
        </is>
      </c>
      <c r="E54" s="41" t="inlineStr">
        <is>
          <t>Tariff</t>
        </is>
      </c>
      <c r="F54" s="41" t="inlineStr">
        <is>
          <t>Sales GAP</t>
        </is>
      </c>
      <c r="I54" s="259" t="n"/>
    </row>
    <row r="55" ht="19.35" customHeight="1">
      <c r="A55" s="27" t="inlineStr">
        <is>
          <t>% impact on KPI gap</t>
        </is>
      </c>
      <c r="B55" s="42" t="n">
        <v>0.45</v>
      </c>
      <c r="C55" s="42" t="n">
        <v>0.25</v>
      </c>
      <c r="D55" s="42" t="n">
        <v>0.2</v>
      </c>
      <c r="E55" s="42" t="n">
        <v>0.05</v>
      </c>
      <c r="F55" s="42" t="n">
        <v>0.05</v>
      </c>
      <c r="G55" s="328" t="n"/>
      <c r="I55" s="259" t="n"/>
    </row>
    <row r="56" ht="19.35" customHeight="1">
      <c r="A56" s="361" t="inlineStr">
        <is>
          <t>Red KPI</t>
        </is>
      </c>
      <c r="B56" s="361" t="inlineStr">
        <is>
          <t xml:space="preserve">Cause 1 </t>
        </is>
      </c>
      <c r="C56" s="361" t="inlineStr">
        <is>
          <t>Cause 2</t>
        </is>
      </c>
      <c r="D56" s="361" t="inlineStr">
        <is>
          <t>Cause 3</t>
        </is>
      </c>
      <c r="E56" s="361" t="inlineStr">
        <is>
          <t>Cause 4</t>
        </is>
      </c>
      <c r="F56" s="361" t="inlineStr">
        <is>
          <t>Cause 5</t>
        </is>
      </c>
      <c r="I56" s="259" t="n"/>
    </row>
    <row r="57" ht="19.35" customHeight="1">
      <c r="A57" s="27" t="inlineStr">
        <is>
          <t>CP%</t>
        </is>
      </c>
      <c r="B57" s="41" t="inlineStr">
        <is>
          <t>META Contract Renewal GAP</t>
        </is>
      </c>
      <c r="C57" s="41" t="inlineStr">
        <is>
          <t>GRC CP drop</t>
        </is>
      </c>
      <c r="D57" s="41" t="inlineStr">
        <is>
          <t>EOL / EOS Impact</t>
        </is>
      </c>
      <c r="E57" s="41" t="inlineStr">
        <is>
          <t>Pending delayed renewal (Global)</t>
        </is>
      </c>
      <c r="F57" s="41" t="n"/>
      <c r="I57" s="259" t="n"/>
    </row>
    <row r="58" ht="19.35" customHeight="1">
      <c r="A58" s="27" t="inlineStr">
        <is>
          <t>% impact on KPI gap</t>
        </is>
      </c>
      <c r="B58" s="42" t="n">
        <v>0.4</v>
      </c>
      <c r="C58" s="42" t="n">
        <v>0.3</v>
      </c>
      <c r="D58" s="42" t="n">
        <v>0.2</v>
      </c>
      <c r="E58" s="42" t="n">
        <v>0.1</v>
      </c>
      <c r="F58" s="42" t="n"/>
      <c r="I58" s="259" t="n"/>
    </row>
    <row r="59" ht="19.35" customHeight="1">
      <c r="A59" s="361" t="inlineStr">
        <is>
          <t>Red KPI</t>
        </is>
      </c>
      <c r="B59" s="361" t="inlineStr">
        <is>
          <t xml:space="preserve">Cause 1 </t>
        </is>
      </c>
      <c r="C59" s="361" t="inlineStr">
        <is>
          <t>Cause 2</t>
        </is>
      </c>
      <c r="D59" s="361" t="inlineStr">
        <is>
          <t>Cause 3</t>
        </is>
      </c>
      <c r="E59" s="361" t="inlineStr">
        <is>
          <t>Cause 4</t>
        </is>
      </c>
      <c r="F59" s="361" t="inlineStr">
        <is>
          <t>Cause 5</t>
        </is>
      </c>
      <c r="I59" s="259" t="n"/>
    </row>
    <row r="60" ht="19.35" customHeight="1">
      <c r="A60" s="27" t="n"/>
      <c r="B60" s="41" t="n"/>
      <c r="C60" s="41" t="n"/>
      <c r="D60" s="41" t="n"/>
      <c r="E60" s="41" t="n"/>
      <c r="F60" s="41" t="n"/>
      <c r="I60" s="259" t="n"/>
    </row>
    <row r="61" ht="19.35" customHeight="1">
      <c r="A61" s="27" t="n"/>
      <c r="B61" s="42" t="n"/>
      <c r="C61" s="42" t="n"/>
      <c r="D61" s="42" t="n"/>
      <c r="E61" s="42" t="n"/>
      <c r="F61" s="42" t="n"/>
      <c r="I61" s="259" t="n"/>
    </row>
    <row r="62" ht="19.35" customHeight="1">
      <c r="A62" s="361" t="inlineStr">
        <is>
          <t>Red KPI</t>
        </is>
      </c>
      <c r="B62" s="361" t="inlineStr">
        <is>
          <t xml:space="preserve">Cause 1 </t>
        </is>
      </c>
      <c r="C62" s="361" t="inlineStr">
        <is>
          <t>Cause 2</t>
        </is>
      </c>
      <c r="D62" s="361" t="inlineStr">
        <is>
          <t>Cause 3</t>
        </is>
      </c>
      <c r="E62" s="361" t="inlineStr">
        <is>
          <t>Cause 4</t>
        </is>
      </c>
      <c r="F62" s="361" t="inlineStr">
        <is>
          <t>Cause 5</t>
        </is>
      </c>
      <c r="I62" s="259" t="n"/>
    </row>
    <row r="63" ht="19.35" customHeight="1">
      <c r="A63" s="27" t="n"/>
      <c r="B63" s="41" t="n"/>
      <c r="C63" s="41" t="n"/>
      <c r="D63" s="41" t="n"/>
      <c r="E63" s="41" t="n"/>
      <c r="F63" s="41" t="n"/>
      <c r="I63" s="259" t="n"/>
    </row>
    <row r="64" ht="19.35" customHeight="1">
      <c r="A64" s="27" t="inlineStr">
        <is>
          <t>% impact on KPI gap</t>
        </is>
      </c>
      <c r="B64" s="42" t="n"/>
      <c r="C64" s="42" t="n"/>
      <c r="D64" s="42" t="n"/>
      <c r="E64" s="42" t="n"/>
      <c r="F64" s="42" t="n"/>
      <c r="I64" s="259" t="n"/>
    </row>
    <row r="65" ht="19.35" customHeight="1">
      <c r="A65" s="361" t="inlineStr">
        <is>
          <t>Red KPI</t>
        </is>
      </c>
      <c r="B65" s="361" t="inlineStr">
        <is>
          <t xml:space="preserve">Cause 1 </t>
        </is>
      </c>
      <c r="C65" s="361" t="inlineStr">
        <is>
          <t>Cause 2</t>
        </is>
      </c>
      <c r="D65" s="361" t="inlineStr">
        <is>
          <t>Cause 3</t>
        </is>
      </c>
      <c r="E65" s="361" t="inlineStr">
        <is>
          <t>Cause 4</t>
        </is>
      </c>
      <c r="F65" s="361" t="inlineStr">
        <is>
          <t>Cause 5</t>
        </is>
      </c>
      <c r="I65" s="260" t="n"/>
    </row>
    <row r="66" ht="19.35" customHeight="1">
      <c r="A66" s="27" t="n"/>
      <c r="B66" s="41" t="n"/>
      <c r="C66" s="41" t="n"/>
      <c r="D66" s="274" t="n"/>
      <c r="E66" s="41" t="n"/>
      <c r="F66" s="41" t="n"/>
    </row>
    <row r="67" ht="19.35" customHeight="1">
      <c r="A67" s="27" t="inlineStr">
        <is>
          <t>% impact on KPI gap</t>
        </is>
      </c>
      <c r="B67" s="42" t="n"/>
      <c r="C67" s="42" t="n"/>
      <c r="D67" s="42" t="n"/>
      <c r="E67" s="42" t="n"/>
      <c r="F67" s="42" t="n"/>
    </row>
    <row r="68" ht="19.35" customHeight="1">
      <c r="A68" s="361" t="inlineStr">
        <is>
          <t>Red KPI</t>
        </is>
      </c>
      <c r="B68" s="361" t="inlineStr">
        <is>
          <t xml:space="preserve">Cause 1 </t>
        </is>
      </c>
      <c r="C68" s="361" t="inlineStr">
        <is>
          <t>Cause 2</t>
        </is>
      </c>
      <c r="D68" s="361" t="inlineStr">
        <is>
          <t>Cause 3</t>
        </is>
      </c>
      <c r="E68" s="361" t="inlineStr">
        <is>
          <t>Cause 4</t>
        </is>
      </c>
      <c r="F68" s="361" t="inlineStr">
        <is>
          <t>Cause 5</t>
        </is>
      </c>
    </row>
    <row r="69" ht="19.35" customHeight="1">
      <c r="A69" s="27" t="n"/>
      <c r="B69" s="41" t="n"/>
      <c r="C69" s="41" t="n"/>
      <c r="D69" s="41" t="n"/>
      <c r="E69" s="41" t="n"/>
      <c r="F69" s="41" t="n"/>
    </row>
    <row r="70" ht="19.35" customHeight="1">
      <c r="A70" s="27" t="inlineStr">
        <is>
          <t>% impact on KPI gap</t>
        </is>
      </c>
      <c r="B70" s="42" t="n"/>
      <c r="C70" s="42" t="n"/>
      <c r="D70" s="42" t="n"/>
      <c r="E70" s="42" t="n"/>
      <c r="F70" s="42" t="n"/>
    </row>
    <row r="71" ht="21" customHeight="1">
      <c r="A71" s="10" t="inlineStr">
        <is>
          <t>Paretos for RCA</t>
        </is>
      </c>
    </row>
    <row r="72">
      <c r="A72" s="639" t="n"/>
    </row>
    <row r="73">
      <c r="A73" s="639" t="n"/>
    </row>
    <row r="74">
      <c r="A74" s="639" t="n"/>
    </row>
    <row r="75">
      <c r="A75" s="639" t="n"/>
    </row>
    <row r="76">
      <c r="A76" s="639" t="n"/>
    </row>
    <row r="77">
      <c r="A77" s="639" t="n"/>
    </row>
    <row r="78">
      <c r="A78" s="639" t="n"/>
    </row>
    <row r="79">
      <c r="A79" s="639" t="n"/>
    </row>
    <row r="80">
      <c r="A80" s="639" t="n"/>
    </row>
    <row r="81">
      <c r="A81" s="639" t="n"/>
    </row>
    <row r="82">
      <c r="A82" s="639" t="n"/>
    </row>
    <row r="83">
      <c r="A83" s="639" t="n"/>
    </row>
    <row r="84">
      <c r="A84" s="639" t="n"/>
    </row>
    <row r="85">
      <c r="A85" s="639" t="n"/>
    </row>
    <row r="86" ht="15" customHeight="1" thickBot="1">
      <c r="A86" s="639" t="n"/>
    </row>
    <row r="87" ht="18.95" customHeight="1" thickBot="1">
      <c r="A87" s="695" t="inlineStr">
        <is>
          <t>Action tracker</t>
        </is>
      </c>
      <c r="B87" s="696" t="n"/>
      <c r="C87" s="696" t="n"/>
      <c r="D87" s="696" t="n"/>
      <c r="E87" s="696" t="n"/>
      <c r="F87" s="697" t="n"/>
      <c r="H87" s="698" t="inlineStr">
        <is>
          <t>Handshake Escalations/Support required</t>
        </is>
      </c>
      <c r="I87" s="696" t="n"/>
      <c r="J87" s="696" t="n"/>
      <c r="K87" s="696" t="n"/>
      <c r="L87" s="696" t="n"/>
      <c r="M87" s="696" t="n"/>
      <c r="N87" s="696" t="n"/>
      <c r="O87" s="697" t="n"/>
    </row>
    <row r="88" ht="41.85" customFormat="1" customHeight="1" s="15">
      <c r="A88" s="16" t="inlineStr">
        <is>
          <t>Red KPI</t>
        </is>
      </c>
      <c r="B88" s="17" t="inlineStr">
        <is>
          <t>Root cause description</t>
        </is>
      </c>
      <c r="C88" s="18" t="inlineStr">
        <is>
          <t>Corrective action</t>
        </is>
      </c>
      <c r="D88" s="19" t="inlineStr">
        <is>
          <t>Owner</t>
        </is>
      </c>
      <c r="E88" s="17" t="inlineStr">
        <is>
          <t>Due Date</t>
        </is>
      </c>
      <c r="F88" s="20" t="inlineStr">
        <is>
          <t>Status</t>
        </is>
      </c>
      <c r="H88" s="21" t="inlineStr">
        <is>
          <t>KPI Name</t>
        </is>
      </c>
      <c r="I88" s="22" t="inlineStr">
        <is>
          <t>Key Dependency</t>
        </is>
      </c>
      <c r="J88" s="22" t="inlineStr">
        <is>
          <t>Function Name</t>
        </is>
      </c>
      <c r="K88" s="23" t="inlineStr">
        <is>
          <t>What action/s from
 Function is expected</t>
        </is>
      </c>
      <c r="L88" s="23" t="inlineStr">
        <is>
          <t>Success measure for
Action Closure</t>
        </is>
      </c>
      <c r="M88" s="24" t="inlineStr">
        <is>
          <t>Handshaked
(Yes or No)</t>
        </is>
      </c>
      <c r="N88" s="23" t="inlineStr">
        <is>
          <t>Open issue description</t>
        </is>
      </c>
      <c r="O88" s="36" t="inlineStr">
        <is>
          <t>Solutions to 
Open issues</t>
        </is>
      </c>
    </row>
    <row r="89" ht="16.5" customHeight="1">
      <c r="A89" s="699" t="inlineStr">
        <is>
          <t>IGM</t>
        </is>
      </c>
      <c r="B89" s="385" t="inlineStr">
        <is>
          <t>Wrong Booking (BEN)</t>
        </is>
      </c>
      <c r="C89" s="385" t="inlineStr">
        <is>
          <t>Reversal in Feb</t>
        </is>
      </c>
      <c r="D89" s="385" t="inlineStr">
        <is>
          <t>Nikhil</t>
        </is>
      </c>
      <c r="E89" s="379" t="n">
        <v>46112</v>
      </c>
      <c r="F89" s="700" t="n">
        <v>5</v>
      </c>
      <c r="H89" s="699" t="inlineStr">
        <is>
          <t>Sales</t>
        </is>
      </c>
      <c r="I89" s="701" t="inlineStr">
        <is>
          <t>CLV Projects delivery timeline Adherance</t>
        </is>
      </c>
      <c r="J89" s="701" t="inlineStr">
        <is>
          <t>R&amp;D PMO</t>
        </is>
      </c>
      <c r="K89" s="764" t="inlineStr">
        <is>
          <t>AVO - Q1 2026 ; Zenition Extention - Q3 2026</t>
        </is>
      </c>
      <c r="L89" s="701" t="inlineStr">
        <is>
          <t>Project adherence (To do ratio)</t>
        </is>
      </c>
      <c r="M89" s="703" t="inlineStr">
        <is>
          <t>Yes</t>
        </is>
      </c>
      <c r="N89" s="702" t="inlineStr">
        <is>
          <t>All Projects moved to 2027</t>
        </is>
      </c>
      <c r="O89" s="765" t="inlineStr">
        <is>
          <t>Alternate sales gap plan to be explored</t>
        </is>
      </c>
    </row>
    <row r="90" ht="18" customHeight="1">
      <c r="A90" s="705" t="n"/>
      <c r="B90" s="671" t="n"/>
      <c r="C90" s="671" t="n"/>
      <c r="D90" s="671" t="n"/>
      <c r="E90" s="671" t="n"/>
      <c r="F90" s="672" t="n"/>
      <c r="H90" s="705" t="n"/>
      <c r="I90" s="671" t="n"/>
      <c r="J90" s="671" t="n"/>
      <c r="K90" s="671" t="n"/>
      <c r="L90" s="671" t="n"/>
      <c r="M90" s="671" t="n"/>
      <c r="N90" s="671" t="n"/>
      <c r="O90" s="672" t="n"/>
    </row>
    <row r="91" ht="17.1" customHeight="1">
      <c r="A91" s="699" t="inlineStr">
        <is>
          <t>IGM</t>
        </is>
      </c>
      <c r="B91" s="388" t="inlineStr">
        <is>
          <t>#PM &gt;Runrate</t>
        </is>
      </c>
      <c r="C91" s="388" t="inlineStr">
        <is>
          <t>Normalise by Q1 (Monitor)</t>
        </is>
      </c>
      <c r="D91" s="388" t="inlineStr">
        <is>
          <t>Nikhil</t>
        </is>
      </c>
      <c r="E91" s="379" t="n">
        <v>46112</v>
      </c>
      <c r="F91" s="700" t="n">
        <v>5</v>
      </c>
      <c r="H91" s="699" t="inlineStr">
        <is>
          <t>Sales</t>
        </is>
      </c>
      <c r="I91" s="701" t="inlineStr">
        <is>
          <t>CLV Funnel</t>
        </is>
      </c>
      <c r="J91" s="701" t="inlineStr">
        <is>
          <t>Service RBL</t>
        </is>
      </c>
      <c r="K91" s="701" t="inlineStr">
        <is>
          <t>Closure on bundling for Pitching CLV proposals</t>
        </is>
      </c>
      <c r="L91" s="701" t="inlineStr">
        <is>
          <t>Funnel Velocity</t>
        </is>
      </c>
      <c r="M91" s="703" t="inlineStr">
        <is>
          <t>Yes</t>
        </is>
      </c>
      <c r="N91" s="701" t="n"/>
      <c r="O91" s="704" t="n"/>
    </row>
    <row r="92" ht="17.1" customHeight="1">
      <c r="A92" s="705" t="n"/>
      <c r="B92" s="671" t="n"/>
      <c r="C92" s="671" t="n"/>
      <c r="D92" s="671" t="n"/>
      <c r="E92" s="671" t="n"/>
      <c r="F92" s="672" t="n"/>
      <c r="H92" s="705" t="n"/>
      <c r="I92" s="671" t="n"/>
      <c r="J92" s="671" t="n"/>
      <c r="K92" s="671" t="n"/>
      <c r="L92" s="671" t="n"/>
      <c r="M92" s="671" t="n"/>
      <c r="N92" s="671" t="n"/>
      <c r="O92" s="672" t="n"/>
    </row>
    <row r="93" ht="17.1" customHeight="1">
      <c r="A93" s="699" t="inlineStr">
        <is>
          <t>Sales</t>
        </is>
      </c>
      <c r="B93" s="388" t="inlineStr">
        <is>
          <t>Sales Reversal</t>
        </is>
      </c>
      <c r="C93" s="388" t="inlineStr">
        <is>
          <t xml:space="preserve"> BNL team for details and reversal.</t>
        </is>
      </c>
      <c r="D93" s="388" t="inlineStr">
        <is>
          <t>Prasad</t>
        </is>
      </c>
      <c r="E93" s="379" t="n">
        <v>46081</v>
      </c>
      <c r="F93" s="700" t="n">
        <v>5</v>
      </c>
      <c r="H93" s="699" t="inlineStr">
        <is>
          <t>IGM</t>
        </is>
      </c>
      <c r="I93" s="702" t="inlineStr">
        <is>
          <t>No PPV Impact -NEGO Savings (0.3M)</t>
        </is>
      </c>
      <c r="J93" s="701" t="inlineStr">
        <is>
          <t>Procurement</t>
        </is>
      </c>
      <c r="K93" s="702" t="inlineStr">
        <is>
          <t>No PPV impact from price increase; Positive saving from Nego</t>
        </is>
      </c>
      <c r="L93" s="701" t="inlineStr">
        <is>
          <t>Nego Savings</t>
        </is>
      </c>
      <c r="M93" s="703" t="inlineStr">
        <is>
          <t>Yes</t>
        </is>
      </c>
      <c r="N93" s="702" t="inlineStr">
        <is>
          <t>Need underpinned actions and prjects for this handshake</t>
        </is>
      </c>
      <c r="O93" s="765" t="inlineStr">
        <is>
          <t>Warranty Claim increase/ Non repairable warranty claim without return process</t>
        </is>
      </c>
    </row>
    <row r="94" ht="26.45" customHeight="1">
      <c r="A94" s="705" t="n"/>
      <c r="B94" s="671" t="n"/>
      <c r="C94" s="671" t="n"/>
      <c r="D94" s="671" t="n"/>
      <c r="E94" s="671" t="n"/>
      <c r="F94" s="672" t="n"/>
      <c r="H94" s="705" t="n"/>
      <c r="I94" s="671" t="n"/>
      <c r="J94" s="671" t="n"/>
      <c r="K94" s="671" t="n"/>
      <c r="L94" s="671" t="n"/>
      <c r="M94" s="671" t="n"/>
      <c r="N94" s="671" t="n"/>
      <c r="O94" s="672" t="n"/>
    </row>
    <row r="95" ht="16.5" customHeight="1">
      <c r="A95" s="699" t="inlineStr">
        <is>
          <t>CP%</t>
        </is>
      </c>
      <c r="B95" s="388" t="inlineStr">
        <is>
          <t>Contract renewals, Warranty Conversion</t>
        </is>
      </c>
      <c r="C95" s="388" t="inlineStr">
        <is>
          <t>Regional funnel management on Renewals and Winrate</t>
        </is>
      </c>
      <c r="D95" s="388" t="inlineStr">
        <is>
          <t>Prasad</t>
        </is>
      </c>
      <c r="E95" s="379" t="inlineStr">
        <is>
          <t>Continuous</t>
        </is>
      </c>
      <c r="F95" s="700" t="n">
        <v>3</v>
      </c>
      <c r="H95" s="699" t="n"/>
      <c r="I95" s="701" t="n"/>
      <c r="J95" s="701" t="n"/>
      <c r="K95" s="701" t="n"/>
      <c r="L95" s="701" t="n"/>
      <c r="M95" s="703" t="n"/>
      <c r="N95" s="701" t="n"/>
      <c r="O95" s="704" t="n"/>
    </row>
    <row r="96" ht="16.5" customHeight="1">
      <c r="A96" s="705" t="n"/>
      <c r="B96" s="671" t="n"/>
      <c r="C96" s="671" t="n"/>
      <c r="D96" s="671" t="n"/>
      <c r="E96" s="671" t="n"/>
      <c r="F96" s="672" t="n"/>
      <c r="H96" s="705" t="n"/>
      <c r="I96" s="671" t="n"/>
      <c r="J96" s="671" t="n"/>
      <c r="K96" s="671" t="n"/>
      <c r="L96" s="671" t="n"/>
      <c r="M96" s="671" t="n"/>
      <c r="N96" s="671" t="n"/>
      <c r="O96" s="672" t="n"/>
    </row>
    <row r="97" ht="16.5" customHeight="1">
      <c r="A97" s="699" t="inlineStr">
        <is>
          <t>POS</t>
        </is>
      </c>
      <c r="B97" s="388" t="inlineStr">
        <is>
          <t>Low attachment in Growth / NAR</t>
        </is>
      </c>
      <c r="C97" s="388" t="inlineStr">
        <is>
          <t>Regional RBL support on POS 
NAR Campaign is ongoing
GROWTH Plan in progress</t>
        </is>
      </c>
      <c r="D97" s="388" t="inlineStr">
        <is>
          <t>RBL -  GROWTH, NAR</t>
        </is>
      </c>
      <c r="E97" s="379" t="n">
        <v>46233</v>
      </c>
      <c r="F97" s="700" t="n">
        <v>5</v>
      </c>
      <c r="H97" s="699" t="n"/>
      <c r="I97" s="701" t="n"/>
      <c r="J97" s="701" t="n"/>
      <c r="K97" s="701" t="n"/>
      <c r="L97" s="701" t="n"/>
      <c r="M97" s="703" t="n"/>
      <c r="N97" s="701" t="n"/>
      <c r="O97" s="704" t="n"/>
    </row>
    <row r="98" ht="16.5" customHeight="1">
      <c r="A98" s="705" t="n"/>
      <c r="B98" s="671" t="n"/>
      <c r="C98" s="671" t="n"/>
      <c r="D98" s="671" t="n"/>
      <c r="E98" s="671" t="n"/>
      <c r="F98" s="672" t="n"/>
      <c r="H98" s="705" t="n"/>
      <c r="I98" s="671" t="n"/>
      <c r="J98" s="671" t="n"/>
      <c r="K98" s="671" t="n"/>
      <c r="L98" s="671" t="n"/>
      <c r="M98" s="671" t="n"/>
      <c r="N98" s="671" t="n"/>
      <c r="O98" s="672" t="n"/>
    </row>
    <row r="99" ht="16.5" customHeight="1">
      <c r="A99" s="699" t="inlineStr">
        <is>
          <t>Sales</t>
        </is>
      </c>
      <c r="B99" s="388" t="inlineStr">
        <is>
          <t>T&amp;M</t>
        </is>
      </c>
      <c r="C99" s="385" t="inlineStr">
        <is>
          <t>- T&amp;M Revenue Opportunities</t>
        </is>
      </c>
      <c r="D99" s="388" t="inlineStr">
        <is>
          <t>Ketan</t>
        </is>
      </c>
      <c r="E99" s="379" t="n">
        <v>46203</v>
      </c>
      <c r="F99" s="700" t="n">
        <v>5</v>
      </c>
      <c r="H99" s="501" t="n"/>
      <c r="I99" s="701" t="n"/>
      <c r="J99" s="701" t="n"/>
      <c r="K99" s="701" t="n"/>
      <c r="L99" s="701" t="n"/>
      <c r="M99" s="703" t="n"/>
      <c r="N99" s="701" t="n"/>
      <c r="O99" s="704" t="n"/>
    </row>
    <row r="100" ht="16.5" customHeight="1">
      <c r="A100" s="705" t="n"/>
      <c r="B100" s="671" t="n"/>
      <c r="C100" s="671" t="n"/>
      <c r="D100" s="671" t="n"/>
      <c r="E100" s="671" t="n"/>
      <c r="F100" s="672" t="n"/>
      <c r="H100" s="501" t="n"/>
      <c r="I100" s="671" t="n"/>
      <c r="J100" s="671" t="n"/>
      <c r="K100" s="671" t="n"/>
      <c r="L100" s="671" t="n"/>
      <c r="M100" s="671" t="n"/>
      <c r="N100" s="671" t="n"/>
      <c r="O100" s="672" t="n"/>
    </row>
    <row r="101" ht="16.5" customHeight="1">
      <c r="A101" s="699" t="inlineStr">
        <is>
          <t>IGM</t>
        </is>
      </c>
      <c r="B101" s="388" t="inlineStr">
        <is>
          <t>SPS PPV</t>
        </is>
      </c>
      <c r="C101" s="388" t="inlineStr">
        <is>
          <t>Cost reversal at Qtr End</t>
        </is>
      </c>
      <c r="D101" s="388" t="inlineStr">
        <is>
          <t>Nikhil</t>
        </is>
      </c>
      <c r="E101" s="379" t="n">
        <v>46203</v>
      </c>
      <c r="F101" s="700" t="n">
        <v>5</v>
      </c>
      <c r="H101" s="709" t="n"/>
      <c r="I101" s="710" t="n"/>
      <c r="J101" s="710" t="n"/>
      <c r="K101" s="710" t="n"/>
      <c r="L101" s="710" t="n"/>
      <c r="M101" s="711" t="n"/>
      <c r="N101" s="710" t="n"/>
      <c r="O101" s="712" t="n"/>
    </row>
    <row r="102" ht="17.1" customHeight="1" thickBot="1">
      <c r="A102" s="705" t="n"/>
      <c r="B102" s="671" t="n"/>
      <c r="C102" s="671" t="n"/>
      <c r="D102" s="671" t="n"/>
      <c r="E102" s="671" t="n"/>
      <c r="F102" s="672" t="n"/>
      <c r="H102" s="714" t="n"/>
      <c r="I102" s="713" t="n"/>
      <c r="J102" s="713" t="n"/>
      <c r="K102" s="713" t="n"/>
      <c r="L102" s="713" t="n"/>
      <c r="M102" s="713" t="n"/>
      <c r="N102" s="713" t="n"/>
      <c r="O102" s="715" t="n"/>
    </row>
    <row r="103" ht="17.1" customHeight="1">
      <c r="A103" s="699" t="inlineStr">
        <is>
          <t>IGM</t>
        </is>
      </c>
      <c r="B103" s="388" t="inlineStr">
        <is>
          <t>T&amp;M Margin Bleeding</t>
        </is>
      </c>
      <c r="C103" s="388" t="inlineStr">
        <is>
          <t>Bleeding customer identification and working with regions to fix bleeding</t>
        </is>
      </c>
      <c r="D103" s="388" t="inlineStr">
        <is>
          <t>Nikhil</t>
        </is>
      </c>
      <c r="E103" s="379" t="inlineStr">
        <is>
          <t>Continuous</t>
        </is>
      </c>
      <c r="F103" s="700" t="n">
        <v>3</v>
      </c>
      <c r="J103" s="177" t="n"/>
      <c r="K103" s="177" t="n"/>
      <c r="L103" s="177" t="n"/>
      <c r="M103" s="15" t="n"/>
      <c r="N103" s="177" t="n"/>
      <c r="O103" s="177" t="n"/>
    </row>
    <row r="104" ht="17.1" customHeight="1">
      <c r="A104" s="705" t="n"/>
      <c r="B104" s="671" t="n"/>
      <c r="C104" s="671" t="n"/>
      <c r="D104" s="671" t="n"/>
      <c r="E104" s="671" t="n"/>
      <c r="F104" s="672" t="n"/>
      <c r="J104" s="177" t="n"/>
      <c r="K104" s="177" t="n"/>
      <c r="L104" s="177" t="n"/>
      <c r="M104" s="15" t="n"/>
      <c r="N104" s="177" t="n"/>
      <c r="O104" s="177" t="n"/>
    </row>
    <row r="105" ht="17.1" customHeight="1">
      <c r="A105" s="699" t="inlineStr">
        <is>
          <t>First Visit Fix (P)</t>
        </is>
      </c>
      <c r="B105" s="387" t="inlineStr">
        <is>
          <t>Lack of Remote Diagnostic
Market Awarenes</t>
        </is>
      </c>
      <c r="C105" s="766" t="inlineStr">
        <is>
          <t>1. Release of PSC10 for Remote Diagnostic
2. Follow-up with Markets</t>
        </is>
      </c>
      <c r="D105" s="388" t="inlineStr">
        <is>
          <t>Kanad B.</t>
        </is>
      </c>
      <c r="E105" s="379" t="n">
        <v>46295</v>
      </c>
      <c r="F105" s="700" t="n">
        <v>5</v>
      </c>
      <c r="J105" s="177" t="n"/>
      <c r="K105" s="177" t="n"/>
      <c r="L105" s="177" t="n"/>
      <c r="M105" s="15" t="n"/>
      <c r="N105" s="177" t="n"/>
      <c r="O105" s="177" t="n"/>
    </row>
    <row r="106" ht="17.1" customHeight="1">
      <c r="A106" s="705" t="n"/>
      <c r="B106" s="671" t="n"/>
      <c r="C106" s="671" t="n"/>
      <c r="D106" s="671" t="n"/>
      <c r="E106" s="671" t="n"/>
      <c r="F106" s="672" t="n"/>
      <c r="J106" s="177" t="n"/>
      <c r="K106" s="177" t="n"/>
      <c r="L106" s="177" t="n"/>
      <c r="M106" s="15" t="n"/>
      <c r="N106" s="177" t="n"/>
      <c r="O106" s="177" t="n"/>
    </row>
    <row r="107" ht="17.1" customHeight="1">
      <c r="A107" s="699" t="inlineStr">
        <is>
          <t>Remote Resolution</t>
        </is>
      </c>
      <c r="B107" s="388" t="inlineStr">
        <is>
          <t xml:space="preserve">PSC10 Release/ RSE Training/ Process Adherance </t>
        </is>
      </c>
      <c r="C107" s="766" t="inlineStr">
        <is>
          <t>1. Release PSC10 by Aug'26
2. Release RSE Training
3. Market Awareness</t>
        </is>
      </c>
      <c r="D107" s="388" t="inlineStr">
        <is>
          <t xml:space="preserve"> Kanad B.</t>
        </is>
      </c>
      <c r="E107" s="379" t="n">
        <v>46295</v>
      </c>
      <c r="F107" s="700" t="n">
        <v>5</v>
      </c>
      <c r="J107" s="177" t="n"/>
      <c r="K107" s="177" t="n"/>
      <c r="L107" s="177" t="n"/>
      <c r="M107" s="15" t="n"/>
      <c r="N107" s="177" t="n"/>
      <c r="O107" s="177" t="n"/>
    </row>
    <row r="108" ht="17.1" customHeight="1">
      <c r="A108" s="705" t="n"/>
      <c r="B108" s="671" t="n"/>
      <c r="C108" s="671" t="n"/>
      <c r="D108" s="671" t="n"/>
      <c r="E108" s="671" t="n"/>
      <c r="F108" s="672" t="n"/>
      <c r="J108" s="177" t="n"/>
      <c r="K108" s="177" t="n"/>
      <c r="L108" s="177" t="n"/>
      <c r="M108" s="15" t="n"/>
      <c r="N108" s="177" t="n"/>
      <c r="O108" s="177" t="n"/>
    </row>
    <row r="109" ht="14.85" customHeight="1">
      <c r="A109" s="699" t="inlineStr">
        <is>
          <t>OPF</t>
        </is>
      </c>
      <c r="B109" s="707" t="inlineStr">
        <is>
          <t>Set Usage</t>
        </is>
      </c>
      <c r="C109" s="707" t="inlineStr">
        <is>
          <t xml:space="preserve"> - Kitting of parts for identified pairs</t>
        </is>
      </c>
      <c r="D109" s="707" t="inlineStr">
        <is>
          <t>Kanad</t>
        </is>
      </c>
      <c r="E109" s="379" t="n">
        <v>46265</v>
      </c>
      <c r="F109" s="700" t="n">
        <v>4</v>
      </c>
      <c r="G109" s="639" t="n"/>
    </row>
    <row r="110" ht="21.6" customHeight="1" thickBot="1">
      <c r="A110" s="705" t="n"/>
      <c r="B110" s="713" t="n"/>
      <c r="C110" s="713" t="n"/>
      <c r="D110" s="713" t="n"/>
      <c r="E110" s="671" t="n"/>
      <c r="F110" s="672" t="n"/>
      <c r="G110" s="639" t="n"/>
    </row>
    <row r="111" ht="46.5" customHeight="1">
      <c r="A111" s="699" t="inlineStr">
        <is>
          <t>Sales</t>
        </is>
      </c>
      <c r="B111" s="767" t="inlineStr">
        <is>
          <t>NAR Lower Performance VS AOP (Contract, CLV)</t>
        </is>
      </c>
      <c r="C111" s="767" t="inlineStr">
        <is>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is>
      </c>
      <c r="D111" s="767" t="inlineStr">
        <is>
          <t>Ketan</t>
        </is>
      </c>
      <c r="E111" s="379" t="n">
        <v>46356</v>
      </c>
      <c r="F111" s="700" t="n">
        <v>3</v>
      </c>
      <c r="G111" s="639" t="n"/>
    </row>
    <row r="112" ht="53.1" customHeight="1" thickBot="1">
      <c r="A112" s="705" t="n"/>
      <c r="B112" s="713" t="n"/>
      <c r="C112" s="713" t="n"/>
      <c r="D112" s="713" t="n"/>
      <c r="E112" s="671" t="n"/>
      <c r="F112" s="672" t="n"/>
      <c r="G112" s="639" t="n"/>
    </row>
    <row r="113" ht="21.6" customHeight="1">
      <c r="A113" s="699" t="inlineStr">
        <is>
          <t>IGM</t>
        </is>
      </c>
      <c r="B113" s="767" t="inlineStr">
        <is>
          <t>Repair PPV GR/IR Impact</t>
        </is>
      </c>
      <c r="C113" s="767" t="inlineStr">
        <is>
          <t>Work on reversal (220K) - 80K impact reversed</t>
        </is>
      </c>
      <c r="D113" s="767" t="inlineStr">
        <is>
          <t>Nikhil</t>
        </is>
      </c>
      <c r="E113" s="379" t="n">
        <v>46173</v>
      </c>
      <c r="F113" s="700" t="n">
        <v>5</v>
      </c>
      <c r="G113" s="639" t="n"/>
    </row>
    <row r="114" ht="21.6" customHeight="1" thickBot="1">
      <c r="A114" s="705" t="n"/>
      <c r="B114" s="713" t="n"/>
      <c r="C114" s="713" t="n"/>
      <c r="D114" s="713" t="n"/>
      <c r="E114" s="671" t="n"/>
      <c r="F114" s="672" t="n"/>
      <c r="G114" s="639" t="n"/>
      <c r="H114" s="639" t="n"/>
    </row>
    <row r="115" ht="21.6" customHeight="1">
      <c r="A115" s="699" t="inlineStr">
        <is>
          <t>IGM</t>
        </is>
      </c>
      <c r="B115" s="767" t="inlineStr">
        <is>
          <t>Demo Cost Booking (UKI, NAR)</t>
        </is>
      </c>
      <c r="C115" s="767" t="inlineStr">
        <is>
          <t>160K Reversal Plan with regions</t>
        </is>
      </c>
      <c r="D115" s="767" t="inlineStr">
        <is>
          <t>Nikhil</t>
        </is>
      </c>
      <c r="E115" s="379" t="n">
        <v>46173</v>
      </c>
      <c r="F115" s="700" t="n">
        <v>5</v>
      </c>
      <c r="G115" s="639" t="n"/>
    </row>
    <row r="116" ht="21.6" customHeight="1" thickBot="1">
      <c r="A116" s="705" t="n"/>
      <c r="B116" s="713" t="n"/>
      <c r="C116" s="713" t="n"/>
      <c r="D116" s="713" t="n"/>
      <c r="E116" s="671" t="n"/>
      <c r="F116" s="672" t="n"/>
      <c r="G116" s="639" t="n"/>
    </row>
    <row r="117" ht="21.6" customHeight="1">
      <c r="A117" s="699" t="inlineStr">
        <is>
          <t>IGM</t>
        </is>
      </c>
      <c r="B117" s="767" t="inlineStr">
        <is>
          <t>Sales Zero - Cost Booking Impact 550K</t>
        </is>
      </c>
      <c r="C117" s="767" t="inlineStr">
        <is>
          <t>RCA in Progress. Work on Mitigation</t>
        </is>
      </c>
      <c r="D117" s="767" t="inlineStr">
        <is>
          <t>Nikhil</t>
        </is>
      </c>
      <c r="E117" s="379" t="inlineStr">
        <is>
          <t>Continuous</t>
        </is>
      </c>
      <c r="F117" s="700" t="n">
        <v>3</v>
      </c>
      <c r="G117" s="639" t="n"/>
    </row>
    <row r="118" ht="21.6" customHeight="1" thickBot="1">
      <c r="A118" s="705" t="n"/>
      <c r="B118" s="713" t="n"/>
      <c r="C118" s="713" t="n"/>
      <c r="D118" s="713" t="n"/>
      <c r="E118" s="671" t="n"/>
      <c r="F118" s="672" t="n"/>
      <c r="G118" s="639" t="n"/>
    </row>
    <row r="119" ht="32.85" customHeight="1">
      <c r="A119" s="699" t="inlineStr">
        <is>
          <t>CP</t>
        </is>
      </c>
      <c r="B119" s="707" t="inlineStr">
        <is>
          <t>Logic from COE still in discussion. Reporting # in Q?</t>
        </is>
      </c>
      <c r="C119" s="768" t="inlineStr">
        <is>
          <t>-Explore contract renewal as alternate KPI
-WIP for correct reporting logic. To be finalised by baseline definition. Decision to shift to LY vs CY comparision as AOP not HS</t>
        </is>
      </c>
      <c r="D119" s="707" t="inlineStr">
        <is>
          <t>Ketan</t>
        </is>
      </c>
      <c r="E119" s="379" t="n">
        <v>46233</v>
      </c>
      <c r="F119" s="700" t="n">
        <v>5</v>
      </c>
      <c r="G119" s="639" t="n"/>
    </row>
    <row r="120" ht="32.85" customHeight="1" thickBot="1">
      <c r="A120" s="705" t="n"/>
      <c r="B120" s="713" t="n"/>
      <c r="C120" s="713" t="n"/>
      <c r="D120" s="713" t="n"/>
      <c r="E120" s="671" t="n"/>
      <c r="F120" s="672" t="n"/>
      <c r="G120" s="639" t="n"/>
    </row>
    <row r="121" ht="32.85" customHeight="1">
      <c r="A121" s="699" t="inlineStr">
        <is>
          <t>IGM</t>
        </is>
      </c>
      <c r="B121" s="388" t="inlineStr">
        <is>
          <t>Cost to serve improvement in Turkey - META</t>
        </is>
      </c>
      <c r="C121" s="769" t="inlineStr">
        <is>
          <t xml:space="preserve"> - Log analysis and improving service delivery for Parts and Labor consumption -NO OUTCOME</t>
        </is>
      </c>
      <c r="D121" s="388" t="inlineStr">
        <is>
          <t>Nikhil</t>
        </is>
      </c>
      <c r="E121" s="379" t="n">
        <v>46233</v>
      </c>
      <c r="F121" s="700" t="n">
        <v>5</v>
      </c>
      <c r="G121" s="639" t="n"/>
    </row>
    <row r="122" ht="32.85" customHeight="1">
      <c r="A122" s="705" t="n"/>
      <c r="B122" s="671" t="n"/>
      <c r="C122" s="671" t="n"/>
      <c r="D122" s="671" t="n"/>
      <c r="E122" s="671" t="n"/>
      <c r="F122" s="672" t="n"/>
      <c r="G122" s="639" t="n"/>
    </row>
    <row r="123" ht="21.6" customHeight="1">
      <c r="A123" s="699" t="inlineStr">
        <is>
          <t>IGM</t>
        </is>
      </c>
      <c r="B123" s="388" t="inlineStr">
        <is>
          <t>E&amp;O Reversal</t>
        </is>
      </c>
      <c r="C123" s="769" t="inlineStr">
        <is>
          <t xml:space="preserve"> - E&amp;O impact reversal by adjusting EOD date - 300K impact</t>
        </is>
      </c>
      <c r="D123" s="388" t="inlineStr">
        <is>
          <t>Nikhil</t>
        </is>
      </c>
      <c r="E123" s="379" t="n">
        <v>46203</v>
      </c>
      <c r="F123" s="700" t="n">
        <v>5</v>
      </c>
      <c r="G123" s="639" t="n"/>
    </row>
    <row r="124" ht="21.6" customHeight="1">
      <c r="A124" s="705" t="n"/>
      <c r="B124" s="671" t="n"/>
      <c r="C124" s="671" t="n"/>
      <c r="D124" s="671" t="n"/>
      <c r="E124" s="671" t="n"/>
      <c r="F124" s="672" t="n"/>
      <c r="G124" s="639" t="n"/>
    </row>
    <row r="125" ht="21.6" customHeight="1">
      <c r="A125" s="699" t="inlineStr">
        <is>
          <t>IGM</t>
        </is>
      </c>
      <c r="B125" s="388" t="inlineStr">
        <is>
          <t>Warranty Recovery</t>
        </is>
      </c>
      <c r="C125" s="769" t="inlineStr">
        <is>
          <t xml:space="preserve"> - Warranty Recovery Pending META: 60K
 - Warranty Recovery Pending EU: 70L</t>
        </is>
      </c>
      <c r="D125" s="388" t="inlineStr">
        <is>
          <t>Nikhil</t>
        </is>
      </c>
      <c r="E125" s="379" t="n">
        <v>46341</v>
      </c>
      <c r="F125" s="700" t="n">
        <v>3</v>
      </c>
      <c r="G125" s="639" t="n"/>
    </row>
    <row r="126" ht="21.6" customHeight="1">
      <c r="A126" s="705" t="n"/>
      <c r="B126" s="671" t="n"/>
      <c r="C126" s="671" t="n"/>
      <c r="D126" s="671" t="n"/>
      <c r="E126" s="671" t="n"/>
      <c r="F126" s="672" t="n"/>
      <c r="G126" s="639" t="n"/>
    </row>
    <row r="127" ht="21.6" customHeight="1">
      <c r="A127" s="699" t="inlineStr">
        <is>
          <t>Sales</t>
        </is>
      </c>
      <c r="B127" s="385" t="inlineStr">
        <is>
          <t>- META War Situation leading to no Contract renewal</t>
        </is>
      </c>
      <c r="C127" s="769" t="inlineStr">
        <is>
          <t>- Mitigate from EU,through pushing CLV sale.
- Focus on LATAM delayed contract renewals</t>
        </is>
      </c>
      <c r="D127" s="388" t="inlineStr">
        <is>
          <t>Ketan</t>
        </is>
      </c>
      <c r="E127" s="379" t="n">
        <v>46341</v>
      </c>
      <c r="F127" s="700" t="n">
        <v>3</v>
      </c>
      <c r="G127" s="639" t="n"/>
    </row>
    <row r="128" ht="21.6" customHeight="1">
      <c r="A128" s="705" t="n"/>
      <c r="B128" s="671" t="n"/>
      <c r="C128" s="671" t="n"/>
      <c r="D128" s="671" t="n"/>
      <c r="E128" s="671" t="n"/>
      <c r="F128" s="672" t="n"/>
      <c r="G128" s="639" t="n"/>
    </row>
    <row r="129" ht="21.6" customHeight="1">
      <c r="A129" s="699" t="inlineStr">
        <is>
          <t>IGM</t>
        </is>
      </c>
      <c r="B129" s="385" t="inlineStr">
        <is>
          <t>- Higher central cost than planned AOP in NAR (0.6M) and EU (0.4M)</t>
        </is>
      </c>
      <c r="C129" s="769" t="inlineStr">
        <is>
          <t xml:space="preserve"> - Work with regional Finance and BU finance for re-allocation based on operational performance
- Meeting done - need Leadership support</t>
        </is>
      </c>
      <c r="D129" s="388" t="inlineStr">
        <is>
          <t>Nikhil</t>
        </is>
      </c>
      <c r="E129" s="379" t="n">
        <v>46341</v>
      </c>
      <c r="F129" s="700" t="n">
        <v>3</v>
      </c>
      <c r="G129" s="639" t="n"/>
    </row>
    <row r="130" ht="21.6" customHeight="1">
      <c r="A130" s="705" t="n"/>
      <c r="B130" s="671" t="n"/>
      <c r="C130" s="671" t="n"/>
      <c r="D130" s="671" t="n"/>
      <c r="E130" s="671" t="n"/>
      <c r="F130" s="672" t="n"/>
      <c r="G130" s="639" t="n"/>
    </row>
    <row r="131" ht="21.6" customHeight="1">
      <c r="A131" s="699" t="inlineStr">
        <is>
          <t>IGM</t>
        </is>
      </c>
      <c r="B131" s="385" t="inlineStr">
        <is>
          <t>Recoveries Focus for NAR</t>
        </is>
      </c>
      <c r="C131" s="769" t="inlineStr">
        <is>
          <t>- Track NAR EQ Installation for 4 Months to ensure recoveries are as per AOP</t>
        </is>
      </c>
      <c r="D131" s="388" t="inlineStr">
        <is>
          <t>Nikhil</t>
        </is>
      </c>
      <c r="E131" s="379" t="n">
        <v>46341</v>
      </c>
      <c r="F131" s="700" t="n">
        <v>3</v>
      </c>
      <c r="G131" s="639" t="n"/>
    </row>
    <row r="132" ht="21.6" customHeight="1" thickBot="1">
      <c r="A132" s="705" t="n"/>
      <c r="B132" s="671" t="n"/>
      <c r="C132" s="671" t="n"/>
      <c r="D132" s="671" t="n"/>
      <c r="E132" s="671" t="n"/>
      <c r="F132" s="672" t="n"/>
      <c r="G132" s="639" t="n"/>
    </row>
    <row r="133">
      <c r="A133" s="34" t="inlineStr">
        <is>
          <t>Action not assigned</t>
        </is>
      </c>
      <c r="B133" s="34" t="inlineStr">
        <is>
          <t>Action assigned</t>
        </is>
      </c>
      <c r="C133" s="35" t="inlineStr">
        <is>
          <t>Action started</t>
        </is>
      </c>
      <c r="D133" s="35" t="inlineStr">
        <is>
          <t>Action in progress</t>
        </is>
      </c>
      <c r="E133" s="165" t="inlineStr">
        <is>
          <t>Action completed</t>
        </is>
      </c>
      <c r="F133" s="716" t="n"/>
      <c r="G133" s="639" t="n"/>
    </row>
    <row r="134">
      <c r="A134" s="639" t="n"/>
      <c r="C134" s="639" t="n"/>
      <c r="D134" s="639" t="n"/>
      <c r="E134" s="639" t="n"/>
      <c r="F134" s="639" t="n"/>
    </row>
    <row r="135">
      <c r="C135" s="639" t="n"/>
      <c r="D135" s="639" t="n"/>
      <c r="E135" s="639" t="n"/>
      <c r="F135" s="639" t="n"/>
    </row>
    <row r="154">
      <c r="A154" s="762" t="inlineStr">
        <is>
          <t>CP %</t>
        </is>
      </c>
      <c r="B154" s="387" t="inlineStr">
        <is>
          <t>Contract penetration Exc EOL/EOS System</t>
        </is>
      </c>
      <c r="C154" s="230" t="inlineStr">
        <is>
          <t>&gt;=</t>
        </is>
      </c>
      <c r="D154" s="388" t="n">
        <v>54.9</v>
      </c>
      <c r="E154" s="230" t="inlineStr">
        <is>
          <t>%</t>
        </is>
      </c>
      <c r="F154" s="388" t="inlineStr">
        <is>
          <t>Higher the better</t>
        </is>
      </c>
      <c r="G154" s="230" t="inlineStr">
        <is>
          <t>Monthly</t>
        </is>
      </c>
      <c r="H154" s="14" t="inlineStr">
        <is>
          <t>Target</t>
        </is>
      </c>
      <c r="I154" s="51" t="n">
        <v>0.574</v>
      </c>
      <c r="J154" s="51" t="n">
        <v>0.577</v>
      </c>
      <c r="K154" s="51" t="n">
        <v>0.579</v>
      </c>
      <c r="L154" s="51" t="n">
        <v>0.58</v>
      </c>
      <c r="M154" s="51" t="n">
        <v>0.581</v>
      </c>
      <c r="N154" s="51" t="n">
        <v>0.582</v>
      </c>
      <c r="O154" s="51" t="n">
        <v>0.583</v>
      </c>
      <c r="P154" s="51" t="n">
        <v>0.584</v>
      </c>
      <c r="Q154" s="51" t="n">
        <v>0.585</v>
      </c>
      <c r="R154" s="51" t="n">
        <v>0.586</v>
      </c>
      <c r="S154" s="51" t="n">
        <v>0.587</v>
      </c>
      <c r="T154" s="51" t="n">
        <v>0.588</v>
      </c>
    </row>
    <row r="155">
      <c r="A155" s="671" t="n"/>
      <c r="B155" s="671" t="n"/>
      <c r="C155" s="671" t="n"/>
      <c r="D155" s="671" t="n"/>
      <c r="E155" s="671" t="n"/>
      <c r="F155" s="671" t="n"/>
      <c r="G155" s="671" t="n"/>
      <c r="H155" s="14" t="inlineStr">
        <is>
          <t>Actual</t>
        </is>
      </c>
      <c r="I155" s="67" t="n">
        <v>0.556</v>
      </c>
      <c r="J155" s="67" t="n">
        <v>0.5580000000000001</v>
      </c>
      <c r="K155" s="67" t="n">
        <v>0.5679999999999999</v>
      </c>
      <c r="L155" s="686" t="n">
        <v>0.572</v>
      </c>
      <c r="M155" s="67" t="n">
        <v>0.573</v>
      </c>
      <c r="N155" s="67" t="n">
        <v>0.574</v>
      </c>
      <c r="O155" s="67" t="n">
        <v>0.573</v>
      </c>
      <c r="P155" s="45" t="n"/>
      <c r="Q155" s="45" t="n"/>
      <c r="R155" s="45" t="n"/>
      <c r="S155" s="45" t="n"/>
      <c r="T155" s="45" t="n"/>
    </row>
    <row r="156">
      <c r="O156" s="324" t="n"/>
    </row>
  </sheetData>
  <autoFilter ref="A88:F88"/>
  <mergeCells count="272">
    <mergeCell ref="E8:E9"/>
    <mergeCell ref="L91:L92"/>
    <mergeCell ref="G8:G9"/>
    <mergeCell ref="F127:F128"/>
    <mergeCell ref="D99:D100"/>
    <mergeCell ref="I95:I96"/>
    <mergeCell ref="E131:E132"/>
    <mergeCell ref="F99:F100"/>
    <mergeCell ref="K89:K90"/>
    <mergeCell ref="C24:C25"/>
    <mergeCell ref="C121:C122"/>
    <mergeCell ref="A105:A106"/>
    <mergeCell ref="C10:C11"/>
    <mergeCell ref="C16:C17"/>
    <mergeCell ref="F95:F96"/>
    <mergeCell ref="A16:A17"/>
    <mergeCell ref="E10:E11"/>
    <mergeCell ref="B101:B102"/>
    <mergeCell ref="L93:L94"/>
    <mergeCell ref="G10:G11"/>
    <mergeCell ref="D101:D102"/>
    <mergeCell ref="I97:I98"/>
    <mergeCell ref="N93:N94"/>
    <mergeCell ref="F101:F102"/>
    <mergeCell ref="F18:F19"/>
    <mergeCell ref="B14:B15"/>
    <mergeCell ref="B117:B118"/>
    <mergeCell ref="C123:C124"/>
    <mergeCell ref="F26:F27"/>
    <mergeCell ref="A99:A100"/>
    <mergeCell ref="C93:C94"/>
    <mergeCell ref="A113:A114"/>
    <mergeCell ref="A46:E46"/>
    <mergeCell ref="A91:A92"/>
    <mergeCell ref="D16:D17"/>
    <mergeCell ref="B119:B120"/>
    <mergeCell ref="E89:E90"/>
    <mergeCell ref="G18:G19"/>
    <mergeCell ref="B6:B7"/>
    <mergeCell ref="C105:C106"/>
    <mergeCell ref="E105:E106"/>
    <mergeCell ref="B103:B104"/>
    <mergeCell ref="A22:A23"/>
    <mergeCell ref="D18:D19"/>
    <mergeCell ref="D103:D104"/>
    <mergeCell ref="E113:E114"/>
    <mergeCell ref="D8:D9"/>
    <mergeCell ref="A20:A21"/>
    <mergeCell ref="A125:A126"/>
    <mergeCell ref="E154:E155"/>
    <mergeCell ref="E101:E102"/>
    <mergeCell ref="E115:E116"/>
    <mergeCell ref="G22:G23"/>
    <mergeCell ref="D10:D11"/>
    <mergeCell ref="A127:A128"/>
    <mergeCell ref="H91:H92"/>
    <mergeCell ref="L95:L96"/>
    <mergeCell ref="I99:I100"/>
    <mergeCell ref="A117:A118"/>
    <mergeCell ref="N95:N96"/>
    <mergeCell ref="B91:B92"/>
    <mergeCell ref="A111:A112"/>
    <mergeCell ref="N89:N90"/>
    <mergeCell ref="C6:C7"/>
    <mergeCell ref="C111:C112"/>
    <mergeCell ref="E93:E94"/>
    <mergeCell ref="B26:B27"/>
    <mergeCell ref="F16:F17"/>
    <mergeCell ref="B97:B98"/>
    <mergeCell ref="C14:C15"/>
    <mergeCell ref="K95:K96"/>
    <mergeCell ref="E14:E15"/>
    <mergeCell ref="A48:B48"/>
    <mergeCell ref="J93:J94"/>
    <mergeCell ref="I101:I102"/>
    <mergeCell ref="A119:A120"/>
    <mergeCell ref="B93:B94"/>
    <mergeCell ref="E117:E118"/>
    <mergeCell ref="A103:A104"/>
    <mergeCell ref="C97:C98"/>
    <mergeCell ref="H93:H94"/>
    <mergeCell ref="F20:F21"/>
    <mergeCell ref="O97:O98"/>
    <mergeCell ref="D154:D155"/>
    <mergeCell ref="C109:C110"/>
    <mergeCell ref="E103:E104"/>
    <mergeCell ref="J99:J100"/>
    <mergeCell ref="A26:A27"/>
    <mergeCell ref="F22:F23"/>
    <mergeCell ref="A154:A155"/>
    <mergeCell ref="J91:J92"/>
    <mergeCell ref="A89:A90"/>
    <mergeCell ref="D125:D126"/>
    <mergeCell ref="A129:A130"/>
    <mergeCell ref="C129:C130"/>
    <mergeCell ref="F125:F126"/>
    <mergeCell ref="M89:M90"/>
    <mergeCell ref="J101:J102"/>
    <mergeCell ref="O89:O90"/>
    <mergeCell ref="A8:A9"/>
    <mergeCell ref="F109:F110"/>
    <mergeCell ref="C95:C96"/>
    <mergeCell ref="C8:C9"/>
    <mergeCell ref="B127:B128"/>
    <mergeCell ref="E95:E96"/>
    <mergeCell ref="D127:D128"/>
    <mergeCell ref="G154:G155"/>
    <mergeCell ref="A131:A132"/>
    <mergeCell ref="C131:C132"/>
    <mergeCell ref="M91:M92"/>
    <mergeCell ref="L99:L100"/>
    <mergeCell ref="D117:D118"/>
    <mergeCell ref="E91:E92"/>
    <mergeCell ref="O91:O92"/>
    <mergeCell ref="A121:A122"/>
    <mergeCell ref="F117:F118"/>
    <mergeCell ref="B95:B96"/>
    <mergeCell ref="A115:A116"/>
    <mergeCell ref="F111:F112"/>
    <mergeCell ref="E26:E27"/>
    <mergeCell ref="A10:A11"/>
    <mergeCell ref="E97:E98"/>
    <mergeCell ref="G26:G27"/>
    <mergeCell ref="M93:M94"/>
    <mergeCell ref="H87:O87"/>
    <mergeCell ref="H95:H96"/>
    <mergeCell ref="D26:D27"/>
    <mergeCell ref="E121:E122"/>
    <mergeCell ref="B16:B17"/>
    <mergeCell ref="A107:A108"/>
    <mergeCell ref="A49:A50"/>
    <mergeCell ref="C107:C108"/>
    <mergeCell ref="K93:K94"/>
    <mergeCell ref="F10:F11"/>
    <mergeCell ref="C101:C102"/>
    <mergeCell ref="H97:H98"/>
    <mergeCell ref="F24:F25"/>
    <mergeCell ref="C18:C19"/>
    <mergeCell ref="E123:E124"/>
    <mergeCell ref="C103:C104"/>
    <mergeCell ref="O101:O102"/>
    <mergeCell ref="B131:B132"/>
    <mergeCell ref="D131:D132"/>
    <mergeCell ref="B18:B19"/>
    <mergeCell ref="C113:C114"/>
    <mergeCell ref="C20:C21"/>
    <mergeCell ref="E20:E21"/>
    <mergeCell ref="B121:B122"/>
    <mergeCell ref="L97:L98"/>
    <mergeCell ref="B8:B9"/>
    <mergeCell ref="F154:F155"/>
    <mergeCell ref="N97:N98"/>
    <mergeCell ref="A6:A7"/>
    <mergeCell ref="F89:F90"/>
    <mergeCell ref="F129:F130"/>
    <mergeCell ref="B105:B106"/>
    <mergeCell ref="C115:C116"/>
    <mergeCell ref="C22:C23"/>
    <mergeCell ref="D105:D106"/>
    <mergeCell ref="F8:F9"/>
    <mergeCell ref="F113:F114"/>
    <mergeCell ref="D115:D116"/>
    <mergeCell ref="F91:F92"/>
    <mergeCell ref="E99:E100"/>
    <mergeCell ref="J95:J96"/>
    <mergeCell ref="J89:J90"/>
    <mergeCell ref="B107:B108"/>
    <mergeCell ref="G6:G7"/>
    <mergeCell ref="L89:L90"/>
    <mergeCell ref="D107:D108"/>
    <mergeCell ref="G24:G25"/>
    <mergeCell ref="A3:B3"/>
    <mergeCell ref="A14:A15"/>
    <mergeCell ref="F115:F116"/>
    <mergeCell ref="F93:F94"/>
    <mergeCell ref="F105:F106"/>
    <mergeCell ref="E133:F133"/>
    <mergeCell ref="M95:M96"/>
    <mergeCell ref="C91:C92"/>
    <mergeCell ref="B99:B100"/>
    <mergeCell ref="D93:D94"/>
    <mergeCell ref="B20:B21"/>
    <mergeCell ref="E16:E17"/>
    <mergeCell ref="A97:A98"/>
    <mergeCell ref="D20:D21"/>
    <mergeCell ref="G16:G17"/>
    <mergeCell ref="D14:D15"/>
    <mergeCell ref="K97:K98"/>
    <mergeCell ref="F14:F15"/>
    <mergeCell ref="M97:M98"/>
    <mergeCell ref="H101:H102"/>
    <mergeCell ref="A93:A94"/>
    <mergeCell ref="B22:B23"/>
    <mergeCell ref="E18:E19"/>
    <mergeCell ref="J97:J98"/>
    <mergeCell ref="B125:B126"/>
    <mergeCell ref="L101:L102"/>
    <mergeCell ref="D119:D120"/>
    <mergeCell ref="D6:D7"/>
    <mergeCell ref="N101:N102"/>
    <mergeCell ref="F119:F120"/>
    <mergeCell ref="A123:A124"/>
    <mergeCell ref="I89:I90"/>
    <mergeCell ref="A87:F87"/>
    <mergeCell ref="F6:F7"/>
    <mergeCell ref="C154:C155"/>
    <mergeCell ref="B109:B110"/>
    <mergeCell ref="A24:A25"/>
    <mergeCell ref="D109:D110"/>
    <mergeCell ref="F103:F104"/>
    <mergeCell ref="H89:H90"/>
    <mergeCell ref="C89:C90"/>
    <mergeCell ref="I91:I92"/>
    <mergeCell ref="K91:K92"/>
    <mergeCell ref="E107:E108"/>
    <mergeCell ref="B111:B112"/>
    <mergeCell ref="D111:D112"/>
    <mergeCell ref="C26:C27"/>
    <mergeCell ref="D95:D96"/>
    <mergeCell ref="C127:C128"/>
    <mergeCell ref="K99:K100"/>
    <mergeCell ref="C117:C118"/>
    <mergeCell ref="D91:D92"/>
    <mergeCell ref="C99:C100"/>
    <mergeCell ref="M99:M100"/>
    <mergeCell ref="A95:A96"/>
    <mergeCell ref="O93:O94"/>
    <mergeCell ref="O99:O100"/>
    <mergeCell ref="E6:E7"/>
    <mergeCell ref="B10:B11"/>
    <mergeCell ref="D97:D98"/>
    <mergeCell ref="I93:I94"/>
    <mergeCell ref="B24:B25"/>
    <mergeCell ref="A101:A102"/>
    <mergeCell ref="F97:F98"/>
    <mergeCell ref="O95:O96"/>
    <mergeCell ref="D24:D25"/>
    <mergeCell ref="G20:G21"/>
    <mergeCell ref="A18:A19"/>
    <mergeCell ref="K101:K102"/>
    <mergeCell ref="C119:C120"/>
    <mergeCell ref="G14:G15"/>
    <mergeCell ref="M101:M102"/>
    <mergeCell ref="E119:E120"/>
    <mergeCell ref="F131:F132"/>
    <mergeCell ref="D121:D122"/>
    <mergeCell ref="F121:F122"/>
    <mergeCell ref="A109:A110"/>
    <mergeCell ref="B154:B155"/>
    <mergeCell ref="C125:C126"/>
    <mergeCell ref="B89:B90"/>
    <mergeCell ref="E125:E126"/>
    <mergeCell ref="B129:B130"/>
    <mergeCell ref="B123:B124"/>
    <mergeCell ref="D89:D90"/>
    <mergeCell ref="D129:D130"/>
    <mergeCell ref="D123:D124"/>
    <mergeCell ref="B49:F49"/>
    <mergeCell ref="F123:F124"/>
    <mergeCell ref="E109:E110"/>
    <mergeCell ref="B113:B114"/>
    <mergeCell ref="D113:D114"/>
    <mergeCell ref="F107:F108"/>
    <mergeCell ref="N99:N100"/>
    <mergeCell ref="E22:E23"/>
    <mergeCell ref="E127:E128"/>
    <mergeCell ref="N91:N92"/>
    <mergeCell ref="E129:E130"/>
    <mergeCell ref="E111:E112"/>
    <mergeCell ref="E24:E25"/>
    <mergeCell ref="B115:B116"/>
    <mergeCell ref="D22:D23"/>
  </mergeCells>
  <conditionalFormatting sqref="A51 A54 A60 A63 B52:F52 B55:F55 C51:F51 C54:F54">
    <cfRule type="containsBlanks" priority="138" dxfId="3">
      <formula>LEN(TRIM(A51))=0</formula>
    </cfRule>
  </conditionalFormatting>
  <conditionalFormatting sqref="A57">
    <cfRule type="containsBlanks" priority="3" dxfId="3">
      <formula>LEN(TRIM(A57))=0</formula>
    </cfRule>
  </conditionalFormatting>
  <conditionalFormatting sqref="A89:A132">
    <cfRule type="containsBlanks" priority="29" dxfId="3">
      <formula>LEN(TRIM(A89))=0</formula>
    </cfRule>
  </conditionalFormatting>
  <conditionalFormatting sqref="A66:F66 B67:F67">
    <cfRule type="containsBlanks" priority="23" dxfId="3">
      <formula>LEN(TRIM(A66))=0</formula>
    </cfRule>
  </conditionalFormatting>
  <conditionalFormatting sqref="A69:F69 B70:F70">
    <cfRule type="containsBlanks" priority="22" dxfId="3">
      <formula>LEN(TRIM(A69))=0</formula>
    </cfRule>
  </conditionalFormatting>
  <conditionalFormatting sqref="A6:G6 A8:G8 A10:G10">
    <cfRule type="containsBlanks" priority="142" dxfId="3">
      <formula>LEN(TRIM(A6))=0</formula>
    </cfRule>
  </conditionalFormatting>
  <conditionalFormatting sqref="A14:G14 A16:G16 A18:G18 A20:G20 A22:G22 A24:G24">
    <cfRule type="containsBlanks" priority="153" dxfId="3">
      <formula>LEN(TRIM(A14))=0</formula>
    </cfRule>
  </conditionalFormatting>
  <conditionalFormatting sqref="A26:G26">
    <cfRule type="containsBlanks" priority="127" dxfId="3">
      <formula>LEN(TRIM(A26))=0</formula>
    </cfRule>
  </conditionalFormatting>
  <conditionalFormatting sqref="A154:G154">
    <cfRule type="containsBlanks" priority="9" dxfId="3">
      <formula>LEN(TRIM(A154))=0</formula>
    </cfRule>
  </conditionalFormatting>
  <conditionalFormatting sqref="B89:E89 B91:E91 B93:E93 B95:E95 B109:E109">
    <cfRule type="containsBlanks" priority="148" dxfId="3">
      <formula>LEN(TRIM(B89))=0</formula>
    </cfRule>
  </conditionalFormatting>
  <conditionalFormatting sqref="B97:E97">
    <cfRule type="containsBlanks" priority="57" dxfId="3">
      <formula>LEN(TRIM(B97))=0</formula>
    </cfRule>
  </conditionalFormatting>
  <conditionalFormatting sqref="B99:E99">
    <cfRule type="containsBlanks" priority="118" dxfId="3">
      <formula>LEN(TRIM(B99))=0</formula>
    </cfRule>
  </conditionalFormatting>
  <conditionalFormatting sqref="B101:E101">
    <cfRule type="containsBlanks" priority="47" dxfId="3">
      <formula>LEN(TRIM(B101))=0</formula>
    </cfRule>
  </conditionalFormatting>
  <conditionalFormatting sqref="B103:E103">
    <cfRule type="containsBlanks" priority="95" dxfId="3">
      <formula>LEN(TRIM(B103))=0</formula>
    </cfRule>
  </conditionalFormatting>
  <conditionalFormatting sqref="B105:E105">
    <cfRule type="containsBlanks" priority="55" dxfId="3">
      <formula>LEN(TRIM(B105))=0</formula>
    </cfRule>
  </conditionalFormatting>
  <conditionalFormatting sqref="B107:E107">
    <cfRule type="containsBlanks" priority="51" dxfId="3">
      <formula>LEN(TRIM(B107))=0</formula>
    </cfRule>
  </conditionalFormatting>
  <conditionalFormatting sqref="B111:E111">
    <cfRule type="containsBlanks" priority="80" dxfId="3">
      <formula>LEN(TRIM(B111))=0</formula>
    </cfRule>
  </conditionalFormatting>
  <conditionalFormatting sqref="B113:E113">
    <cfRule type="containsBlanks" priority="77" dxfId="3">
      <formula>LEN(TRIM(B113))=0</formula>
    </cfRule>
  </conditionalFormatting>
  <conditionalFormatting sqref="B115:E115">
    <cfRule type="containsBlanks" priority="74" dxfId="3">
      <formula>LEN(TRIM(B115))=0</formula>
    </cfRule>
  </conditionalFormatting>
  <conditionalFormatting sqref="B117:E117">
    <cfRule type="containsBlanks" priority="67" dxfId="3">
      <formula>LEN(TRIM(B117))=0</formula>
    </cfRule>
  </conditionalFormatting>
  <conditionalFormatting sqref="B119:E119">
    <cfRule type="containsBlanks" priority="60" dxfId="3">
      <formula>LEN(TRIM(B119))=0</formula>
    </cfRule>
  </conditionalFormatting>
  <conditionalFormatting sqref="B121:E121">
    <cfRule type="containsBlanks" priority="39" dxfId="3">
      <formula>LEN(TRIM(B121))=0</formula>
    </cfRule>
  </conditionalFormatting>
  <conditionalFormatting sqref="B123:E123">
    <cfRule type="containsBlanks" priority="46" dxfId="3">
      <formula>LEN(TRIM(B123))=0</formula>
    </cfRule>
  </conditionalFormatting>
  <conditionalFormatting sqref="B125:E125">
    <cfRule type="containsBlanks" priority="28" dxfId="3">
      <formula>LEN(TRIM(B125))=0</formula>
    </cfRule>
  </conditionalFormatting>
  <conditionalFormatting sqref="B127:E127">
    <cfRule type="containsBlanks" priority="18" dxfId="3">
      <formula>LEN(TRIM(B127))=0</formula>
    </cfRule>
  </conditionalFormatting>
  <conditionalFormatting sqref="B129:E129">
    <cfRule type="containsBlanks" priority="15" dxfId="3">
      <formula>LEN(TRIM(B129))=0</formula>
    </cfRule>
  </conditionalFormatting>
  <conditionalFormatting sqref="B131:E131">
    <cfRule type="containsBlanks" priority="1" dxfId="3">
      <formula>LEN(TRIM(B131))=0</formula>
    </cfRule>
  </conditionalFormatting>
  <conditionalFormatting sqref="B57:F58">
    <cfRule type="containsBlanks" priority="2" dxfId="3">
      <formula>LEN(TRIM(B57))=0</formula>
    </cfRule>
  </conditionalFormatting>
  <conditionalFormatting sqref="B60:F61">
    <cfRule type="containsBlanks" priority="34" dxfId="3">
      <formula>LEN(TRIM(B60))=0</formula>
    </cfRule>
  </conditionalFormatting>
  <conditionalFormatting sqref="B63:F64">
    <cfRule type="containsBlanks" priority="33" dxfId="3">
      <formula>LEN(TRIM(B63))=0</formula>
    </cfRule>
  </conditionalFormatting>
  <conditionalFormatting sqref="D1">
    <cfRule type="containsBlanks" priority="134" dxfId="3">
      <formula>LEN(TRIM(D1))=0</formula>
    </cfRule>
  </conditionalFormatting>
  <conditionalFormatting sqref="F1">
    <cfRule type="containsBlanks" priority="156" dxfId="3">
      <formula>LEN(TRIM(F1))=0</formula>
    </cfRule>
  </conditionalFormatting>
  <conditionalFormatting sqref="F89 F91 F93 F95 F97 F109">
    <cfRule type="expression" priority="377" dxfId="19">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priority="120" dxfId="19">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priority="111" dxfId="19">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priority="97" dxfId="19">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priority="79" dxfId="1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priority="76" dxfId="19">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priority="73" dxfId="19">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priority="66" dxfId="19">
      <formula>AND(#REF!&lt;&gt;"",E117&lt;TODAY(),F117&lt;4)</formula>
    </cfRule>
  </conditionalFormatting>
  <conditionalFormatting sqref="F119">
    <cfRule type="expression" priority="59" dxfId="1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priority="38" dxfId="19">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priority="45" dxfId="19">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priority="27" dxfId="19">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priority="17" dxfId="19">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priority="14" dxfId="19">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priority="11" dxfId="19">
      <formula>AND(#REF!&lt;&gt;"",E131&lt;TODAY(),F131&lt;4)</formula>
    </cfRule>
  </conditionalFormatting>
  <conditionalFormatting sqref="H89:H102">
    <cfRule type="containsBlanks" priority="137" dxfId="3">
      <formula>LEN(TRIM(H89))=0</formula>
    </cfRule>
  </conditionalFormatting>
  <conditionalFormatting sqref="I89:O89 I91:O91 I93:O93 I95:O95 I97:O97 I101:O101">
    <cfRule type="containsBlanks" priority="147" dxfId="3">
      <formula>LEN(TRIM(I89))=0</formula>
    </cfRule>
  </conditionalFormatting>
  <conditionalFormatting sqref="I99:O99">
    <cfRule type="containsBlanks" priority="25" dxfId="3">
      <formula>LEN(TRIM(I99))=0</formula>
    </cfRule>
  </conditionalFormatting>
  <conditionalFormatting sqref="I7:T7 I9:T9 I11:T11">
    <cfRule type="containsBlanks" priority="140" dxfId="3">
      <formula>LEN(TRIM(I7))=0</formula>
    </cfRule>
    <cfRule type="expression" priority="143" dxfId="0">
      <formula>AND(OR($F6="Lower the better", $F6="Lower the Better"), I7&gt;I6)</formula>
    </cfRule>
    <cfRule type="expression" priority="144" dxfId="1">
      <formula>AND(OR($F6="Lower the better", $F6="Lower the Better"), I7&lt;=I6)</formula>
    </cfRule>
    <cfRule type="expression" priority="145" dxfId="0">
      <formula>AND(OR($F6="Higher the better", $F6="Higher the Better"), I7&lt;I6)</formula>
    </cfRule>
    <cfRule type="expression" priority="146" dxfId="1" stopIfTrue="1">
      <formula>AND(OR($F6="Higher the better", $F6="Higher the Better"), I7&gt;=I6)</formula>
    </cfRule>
  </conditionalFormatting>
  <conditionalFormatting sqref="I15:T15 I17:T17 I19:T19 I21:T21 I23:T23 I25:T25 I27:T27">
    <cfRule type="containsBlanks" priority="121" dxfId="3">
      <formula>LEN(TRIM(I15))=0</formula>
    </cfRule>
  </conditionalFormatting>
  <conditionalFormatting sqref="I15:T15">
    <cfRule type="expression" priority="149" dxfId="0">
      <formula>AND(OR($F14="Lower the better", $F14="Lower the Better"), I15&gt;I14)</formula>
    </cfRule>
    <cfRule type="expression" priority="150" dxfId="1">
      <formula>AND(OR($F14="Lower the better", $F14="Lower the Better"), I15&lt;=I14)</formula>
    </cfRule>
    <cfRule type="expression" priority="152" dxfId="1" stopIfTrue="1">
      <formula>AND(OR($F14="Higher the better", $F14="Higher the Better"), I15&gt;=I14)</formula>
    </cfRule>
    <cfRule type="expression" priority="151" dxfId="0">
      <formula>AND(OR($F14="Higher the better", $F14="Higher the Better"), I15&lt;I14)</formula>
    </cfRule>
  </conditionalFormatting>
  <conditionalFormatting sqref="I17:T17 I19:T19 I21:T21 I23:T23 I25:T25 I27:T27">
    <cfRule type="expression" priority="124" dxfId="0">
      <formula>AND(OR($F16="Higher the better", $F16="Higher the Better"), I17&lt;I16)</formula>
    </cfRule>
    <cfRule type="expression" priority="123" dxfId="1">
      <formula>AND(OR($F16="Lower the better", $F16="Lower the Better"), I17&lt;=I16)</formula>
    </cfRule>
    <cfRule type="expression" priority="125" dxfId="1">
      <formula>AND(OR($F16="Higher the better", $F16="Higher the Better"), I17&gt;=I16)</formula>
    </cfRule>
    <cfRule type="expression" priority="122" dxfId="0">
      <formula>AND(OR($F16="Lower the better", $F16="Lower the Better"), I17&gt;I16)</formula>
    </cfRule>
  </conditionalFormatting>
  <conditionalFormatting sqref="I155:T155">
    <cfRule type="expression" priority="5" dxfId="0">
      <formula>AND(OR($F154="Lower the better", $F154="Lower the Better"), I155&gt;I154)</formula>
    </cfRule>
    <cfRule type="containsBlanks" priority="4" dxfId="3">
      <formula>LEN(TRIM(I155))=0</formula>
    </cfRule>
    <cfRule type="expression" priority="8" dxfId="1" stopIfTrue="1">
      <formula>AND(OR($F154="Higher the better", $F154="Higher the Better"), I155&gt;=I154)</formula>
    </cfRule>
    <cfRule type="expression" priority="7" dxfId="0">
      <formula>AND(OR($F154="Higher the better", $F154="Higher the Better"), I155&lt;I154)</formula>
    </cfRule>
    <cfRule type="expression" priority="6" dxfId="1">
      <formula>AND(OR($F154="Lower the better", $F154="Lower the Better"), I155&lt;=I154)</formula>
    </cfRule>
  </conditionalFormatting>
  <conditionalFormatting sqref="M89:M108">
    <cfRule type="containsText" priority="135" operator="containsText" dxfId="6" text="No">
      <formula>NOT(ISERROR(SEARCH("No",M89)))</formula>
    </cfRule>
    <cfRule type="containsText" priority="136" operator="containsText" dxfId="5" text="Yes">
      <formula>NOT(ISERROR(SEARCH("Yes",M89)))</formula>
    </cfRule>
  </conditionalFormatting>
  <dataValidations count="7">
    <dataValidation sqref="F89:G89 F91:G91 F93:G93 F95:G95 F97:G97 F99 F101:G101 F103 F105 F107 F109 F111 F113 F115 F117 F119 F121 F123 F125 F127 F129 F131" showDropDown="0" showInputMessage="1" showErrorMessage="1" allowBlank="1" type="list">
      <formula1>"1,2,3,4,5"</formula1>
    </dataValidation>
    <dataValidation sqref="F6:F11 F14:F27 F154:F155" showDropDown="0" showInputMessage="1" showErrorMessage="1" allowBlank="1" type="list">
      <formula1>"Higher the better, Lower the better"</formula1>
    </dataValidation>
    <dataValidation sqref="G6:G11 G14:G27 G154:G155" showDropDown="0" showInputMessage="1" showErrorMessage="1" allowBlank="1" type="list">
      <formula1>"Monthly, Quarterly, Half yearly"</formula1>
    </dataValidation>
    <dataValidation sqref="C6:C11 C14:C27 C154:C155" showDropDown="0" showInputMessage="1" showErrorMessage="1" allowBlank="1" type="list">
      <formula1>"&gt;, &lt;, &gt;=, &lt;=, ="</formula1>
    </dataValidation>
    <dataValidation sqref="M89 M91 M93 M95 M97 M101" showDropDown="0" showInputMessage="1" showErrorMessage="1" allowBlank="1" type="list">
      <formula1>"Yes, No"</formula1>
    </dataValidation>
    <dataValidation sqref="B1:B2" showDropDown="0" showInputMessage="1" showErrorMessage="1" allowBlank="1" type="list">
      <formula1>"Jan-2026, Feb-2026, Mar-2026, Apr-2026, May-2026, Jun-2026, Jul-2026, Aug-2026, Sep-2026, Oct-2026, Nov-2026, Dec-2026"</formula1>
    </dataValidation>
    <dataValidation sqref="E6:E11 E14:E27 E154:E155" showDropDown="0" showInputMessage="1" showErrorMessage="1" allowBlank="1" type="list">
      <formula1>"%, Mn, No., "</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codeName="Sheet10">
    <outlinePr summaryBelow="1" summaryRight="1"/>
    <pageSetUpPr/>
  </sheetPr>
  <dimension ref="A1:AI100"/>
  <sheetViews>
    <sheetView topLeftCell="A80" zoomScale="72" zoomScaleNormal="72" workbookViewId="0">
      <selection activeCell="D96" sqref="D96"/>
    </sheetView>
  </sheetViews>
  <sheetFormatPr baseColWidth="8" defaultRowHeight="14.45"/>
  <cols>
    <col width="21" customWidth="1" min="1" max="1"/>
    <col width="22.42578125" customWidth="1" style="639" min="2" max="2"/>
    <col width="20.42578125" customWidth="1" style="639" min="3" max="3"/>
    <col width="18.42578125" customWidth="1" style="639" min="4" max="4"/>
    <col width="20.5703125" customWidth="1" style="639" min="5" max="5"/>
    <col width="17.42578125" customWidth="1" min="6" max="6"/>
    <col width="12" customWidth="1" min="7" max="7"/>
    <col width="13.5703125" customWidth="1" min="8" max="8"/>
    <col width="15.42578125" customWidth="1" min="9" max="9"/>
    <col width="16.42578125" customWidth="1" min="10" max="10"/>
    <col width="17" customWidth="1" min="11" max="11"/>
    <col width="16.5703125" customWidth="1" min="12" max="12"/>
    <col width="15.5703125" customWidth="1" min="13" max="13"/>
    <col width="16" customWidth="1" min="14" max="14"/>
    <col width="17" customWidth="1" min="15" max="15"/>
    <col width="17.5703125" customWidth="1" min="16" max="16"/>
    <col width="14.5703125" customWidth="1" min="17" max="17"/>
    <col width="14.42578125" customWidth="1" min="18" max="18"/>
    <col width="14.5703125" customWidth="1" min="19" max="19"/>
    <col width="14.42578125" customWidth="1" min="20" max="20"/>
    <col width="13.5703125" customWidth="1" min="21" max="21"/>
    <col width="17.42578125" customWidth="1" min="22" max="22"/>
    <col hidden="1" width="10.5703125" customWidth="1" min="23" max="23"/>
    <col hidden="1" width="8.5703125" customWidth="1" min="24" max="24"/>
    <col hidden="1" width="14.42578125" customWidth="1" min="25" max="25"/>
    <col hidden="1" width="8.5703125" customWidth="1" min="26" max="28"/>
    <col hidden="1" width="5.42578125" customWidth="1" min="29" max="29"/>
    <col hidden="1" width="8.5703125" customWidth="1" min="30" max="35"/>
    <col width="8.5703125" customWidth="1" min="36" max="49"/>
  </cols>
  <sheetData>
    <row r="1" ht="19.35" customHeight="1">
      <c r="A1" s="181" t="inlineStr">
        <is>
          <t>Month</t>
        </is>
      </c>
      <c r="B1" s="182" t="n">
        <v>46023</v>
      </c>
      <c r="C1" s="218" t="inlineStr">
        <is>
          <t xml:space="preserve">MT Owner: </t>
        </is>
      </c>
      <c r="D1" s="218" t="inlineStr">
        <is>
          <t>Fiel V</t>
        </is>
      </c>
      <c r="E1" s="218" t="inlineStr">
        <is>
          <t>MT Delegate:</t>
        </is>
      </c>
      <c r="F1" s="183" t="inlineStr">
        <is>
          <t xml:space="preserve"> </t>
        </is>
      </c>
      <c r="G1" s="664" t="n"/>
      <c r="H1" s="664" t="n"/>
      <c r="I1" s="664" t="n"/>
      <c r="J1" s="664" t="n"/>
      <c r="K1" s="664" t="n"/>
      <c r="L1" s="664" t="n"/>
      <c r="M1" s="664" t="n"/>
      <c r="N1" s="664" t="n"/>
      <c r="O1" s="664" t="n"/>
      <c r="P1" s="664" t="n"/>
      <c r="Q1" s="664" t="n"/>
      <c r="R1" s="664" t="n"/>
      <c r="S1" s="664" t="n"/>
      <c r="T1" s="664" t="n"/>
      <c r="U1" s="664" t="n"/>
      <c r="V1" s="664" t="n"/>
    </row>
    <row r="2" ht="19.35" customHeight="1">
      <c r="A2" s="184" t="n"/>
      <c r="B2" s="184" t="n"/>
      <c r="C2" s="225" t="n"/>
      <c r="D2" s="219" t="n"/>
      <c r="E2" s="219" t="n"/>
      <c r="F2" s="664" t="n"/>
      <c r="G2" s="664" t="n"/>
      <c r="H2" s="664" t="n"/>
      <c r="I2" s="664" t="n"/>
      <c r="J2" s="664" t="n"/>
      <c r="K2" s="664" t="n"/>
      <c r="L2" s="664" t="n"/>
      <c r="M2" s="664" t="n"/>
      <c r="N2" s="664" t="n"/>
      <c r="O2" s="664" t="n"/>
      <c r="P2" s="664" t="n"/>
      <c r="Q2" s="664" t="n"/>
      <c r="R2" s="664" t="n"/>
      <c r="S2" s="664" t="n"/>
      <c r="T2" s="664" t="n"/>
      <c r="U2" s="664" t="n"/>
      <c r="V2" s="664" t="n"/>
    </row>
    <row r="3" ht="20.1" customHeight="1">
      <c r="A3" s="642" t="inlineStr">
        <is>
          <t>Commercial Excellence DMB</t>
        </is>
      </c>
      <c r="C3" s="225" t="n"/>
      <c r="D3" s="225" t="n"/>
      <c r="E3" s="225" t="n"/>
      <c r="F3" s="664" t="n"/>
      <c r="G3" s="664" t="n"/>
      <c r="H3" s="664" t="n"/>
      <c r="I3" s="664" t="n"/>
      <c r="J3" s="664" t="n"/>
      <c r="K3" s="664" t="n"/>
      <c r="L3" s="664" t="n"/>
      <c r="M3" s="664" t="n"/>
      <c r="N3" s="664" t="n"/>
      <c r="O3" s="664" t="n"/>
      <c r="P3" s="664" t="n"/>
      <c r="Q3" s="664" t="n"/>
      <c r="R3" s="664" t="n"/>
      <c r="S3" s="664" t="n"/>
      <c r="T3" s="664" t="n"/>
      <c r="U3" s="664" t="n"/>
      <c r="V3" s="664" t="n"/>
    </row>
    <row r="4" ht="18.6" customHeight="1">
      <c r="A4" s="186" t="inlineStr">
        <is>
          <t>Mandatory Outcome KPI's (1-3)</t>
        </is>
      </c>
      <c r="B4" s="186" t="n"/>
      <c r="C4" s="225" t="n"/>
      <c r="D4" s="225" t="n"/>
      <c r="E4" s="225" t="n"/>
      <c r="F4" s="664" t="n"/>
      <c r="G4" s="664" t="n"/>
      <c r="H4" s="664" t="n"/>
      <c r="I4" s="664" t="n"/>
      <c r="J4" s="664" t="n"/>
      <c r="K4" s="664" t="n"/>
      <c r="L4" s="664" t="n"/>
      <c r="M4" s="664" t="n"/>
      <c r="N4" s="664" t="n"/>
      <c r="O4" s="664" t="n"/>
      <c r="P4" s="664" t="n"/>
      <c r="Q4" s="664" t="n"/>
      <c r="R4" s="664" t="n"/>
      <c r="S4" s="664" t="n"/>
      <c r="T4" s="664" t="n"/>
      <c r="U4" s="664" t="n"/>
      <c r="V4" s="664" t="n"/>
      <c r="W4" t="inlineStr">
        <is>
          <t>Actual green</t>
        </is>
      </c>
      <c r="X4">
        <f>IF(IF($F14="Higher the better",IF(I15&gt;=I14,I15,NA()),IF(I15&lt;=I14,I15,NA()))&lt;&gt;"",IF($F14="Higher the better",IF(I15&gt;=I14,I15,NA()),IF(I15&lt;=I14,I15,NA())),NA())</f>
        <v/>
      </c>
      <c r="Y4">
        <f>IF(IF($F14="Higher the better",IF(J15&gt;=J14,J15,NA()),IF(J15&lt;=J14,J15,NA()))&lt;&gt;"",IF($F14="Higher the better",IF(J15&gt;=J14,J15,NA()),IF(J15&lt;=J14,J15,NA())),NA())</f>
        <v/>
      </c>
      <c r="Z4">
        <f>IF(IF($F14="Higher the better",IF(K15&gt;=K14,K15,NA()),IF(K15&lt;=K14,K15,NA()))&lt;&gt;"",IF($F14="Higher the better",IF(K15&gt;=K14,K15,NA()),IF(K15&lt;=K14,K15,NA())),NA())</f>
        <v/>
      </c>
      <c r="AA4">
        <f>IF(IF($F14="Higher the better",IF(L15&gt;=L14,L15,NA()),IF(L15&lt;=L14,L15,NA()))&lt;&gt;"",IF($F14="Higher the better",IF(L15&gt;=L14,L15,NA()),IF(L15&lt;=L14,L15,NA())),NA())</f>
        <v/>
      </c>
      <c r="AB4">
        <f>IF(IF($F14="Higher the better",IF(M15&gt;=M14,M15,NA()),IF(M15&lt;=M14,M15,NA()))&lt;&gt;"",IF($F14="Higher the better",IF(M15&gt;=M14,M15,NA()),IF(M15&lt;=M14,M15,NA())),NA())</f>
        <v/>
      </c>
      <c r="AC4">
        <f>IF(IF($F14="Higher the better",IF(N15&gt;=N14,N15,NA()),IF(N15&lt;=N14,N15,NA()))&lt;&gt;"",IF($F14="Higher the better",IF(N15&gt;=N14,N15,NA()),IF(N15&lt;=N14,N15,NA())),NA())</f>
        <v/>
      </c>
      <c r="AD4">
        <f>IF(IF($F14="Higher the better",IF(O15&gt;=O14,O15,NA()),IF(O15&lt;=O14,O15,NA()))&lt;&gt;"",IF($F14="Higher the better",IF(O15&gt;=O14,O15,NA()),IF(O15&lt;=O14,O15,NA())),NA())</f>
        <v/>
      </c>
      <c r="AE4">
        <f>IF(IF($F14="Higher the better",IF(P15&gt;=P14,P15,NA()),IF(P15&lt;=P14,P15,NA()))&lt;&gt;"",IF($F14="Higher the better",IF(P15&gt;=P14,P15,NA()),IF(P15&lt;=P14,P15,NA())),NA())</f>
        <v/>
      </c>
      <c r="AF4">
        <f>IF(IF($F14="Higher the better",IF(Q15&gt;=Q14,Q15,NA()),IF(Q15&lt;=Q14,Q15,NA()))&lt;&gt;"",IF($F14="Higher the better",IF(Q15&gt;=Q14,Q15,NA()),IF(Q15&lt;=Q14,Q15,NA())),NA())</f>
        <v/>
      </c>
      <c r="AG4">
        <f>IF(IF($F14="Higher the better",IF(R15&gt;=R14,R15,NA()),IF(R15&lt;=R14,R15,NA()))&lt;&gt;"",IF($F14="Higher the better",IF(R15&gt;=R14,R15,NA()),IF(R15&lt;=R14,R15,NA())),NA())</f>
        <v/>
      </c>
      <c r="AH4">
        <f>IF(IF($F14="Higher the better",IF(S15&gt;=S14,S15,NA()),IF(S15&lt;=S14,S15,NA()))&lt;&gt;"",IF($F14="Higher the better",IF(S15&gt;=S14,S15,NA()),IF(S15&lt;=S14,S15,NA())),NA())</f>
        <v/>
      </c>
      <c r="AI4">
        <f>IF(IF($F14="Higher the better",IF(T15&gt;=T14,T15,NA()),IF(T15&lt;=T14,T15,NA()))&lt;&gt;"",IF($F14="Higher the better",IF(T15&gt;=T14,T15,NA()),IF(T15&lt;=T14,T15,NA())),NA())</f>
        <v/>
      </c>
    </row>
    <row r="5" ht="29.1" customHeight="1">
      <c r="A5" s="187" t="inlineStr">
        <is>
          <t xml:space="preserve">Mandatory KPI </t>
        </is>
      </c>
      <c r="B5" s="188" t="inlineStr">
        <is>
          <t>KPI  Definition</t>
        </is>
      </c>
      <c r="C5" s="220" t="inlineStr">
        <is>
          <t>Operators</t>
        </is>
      </c>
      <c r="D5" s="220" t="inlineStr">
        <is>
          <t>Target AOP 2026</t>
        </is>
      </c>
      <c r="E5" s="220" t="inlineStr">
        <is>
          <t>Units</t>
        </is>
      </c>
      <c r="F5" s="188" t="inlineStr">
        <is>
          <t>Metric nature</t>
        </is>
      </c>
      <c r="G5" s="188" t="inlineStr">
        <is>
          <t>Frequency</t>
        </is>
      </c>
      <c r="H5" s="188" t="inlineStr">
        <is>
          <t>Target/ Actual</t>
        </is>
      </c>
      <c r="I5" s="208" t="n">
        <v>46023</v>
      </c>
      <c r="J5" s="208" t="n">
        <v>46054</v>
      </c>
      <c r="K5" s="208" t="n">
        <v>46082</v>
      </c>
      <c r="L5" s="208" t="n">
        <v>46113</v>
      </c>
      <c r="M5" s="208" t="n">
        <v>46143</v>
      </c>
      <c r="N5" s="208" t="n">
        <v>46174</v>
      </c>
      <c r="O5" s="208" t="n">
        <v>46204</v>
      </c>
      <c r="P5" s="208" t="n">
        <v>46235</v>
      </c>
      <c r="Q5" s="208" t="n">
        <v>46266</v>
      </c>
      <c r="R5" s="208" t="n">
        <v>46296</v>
      </c>
      <c r="S5" s="208" t="n">
        <v>46327</v>
      </c>
      <c r="T5" s="208" t="n">
        <v>46357</v>
      </c>
      <c r="U5" s="664" t="n"/>
      <c r="V5" s="664" t="n"/>
      <c r="W5" t="inlineStr">
        <is>
          <t>Actual red</t>
        </is>
      </c>
      <c r="X5">
        <f>IF(IF($F14="Higher the better",IF(I15&lt;I14,I15,NA()),IF(I15&gt;I14,I15,NA()))&lt;&gt;"",IF($F14="Higher the better",IF(I15&lt;I14,I15,NA()),IF(I15&gt;I14,I15,NA())),NA())</f>
        <v/>
      </c>
      <c r="Y5">
        <f>IF(IF($F14="Higher the better",IF(J15&lt;J14,J15,NA()),IF(J15&gt;J14,J15,NA()))&lt;&gt;"",IF($F14="Higher the better",IF(J15&lt;J14,J15,NA()),IF(J15&gt;J14,J15,NA())),NA())</f>
        <v/>
      </c>
      <c r="Z5">
        <f>IF(IF($F14="Higher the better",IF(K15&lt;K14,K15,NA()),IF(K15&gt;K14,K15,NA()))&lt;&gt;"",IF($F14="Higher the better",IF(K15&lt;K14,K15,NA()),IF(K15&gt;K14,K15,NA())),NA())</f>
        <v/>
      </c>
      <c r="AA5">
        <f>IF(IF($F14="Higher the better",IF(L15&lt;L14,L15,NA()),IF(L15&gt;L14,L15,NA()))&lt;&gt;"",IF($F14="Higher the better",IF(L15&lt;L14,L15,NA()),IF(L15&gt;L14,L15,NA())),NA())</f>
        <v/>
      </c>
      <c r="AB5">
        <f>IF(IF($F14="Higher the better",IF(M15&lt;M14,M15,NA()),IF(M15&gt;M14,M15,NA()))&lt;&gt;"",IF($F14="Higher the better",IF(M15&lt;M14,M15,NA()),IF(M15&gt;M14,M15,NA())),NA())</f>
        <v/>
      </c>
      <c r="AC5">
        <f>IF(IF($F14="Higher the better",IF(N15&lt;N14,N15,NA()),IF(N15&gt;N14,N15,NA()))&lt;&gt;"",IF($F14="Higher the better",IF(N15&lt;N14,N15,NA()),IF(N15&gt;N14,N15,NA())),NA())</f>
        <v/>
      </c>
      <c r="AD5">
        <f>IF(IF($F14="Higher the better",IF(O15&lt;O14,O15,NA()),IF(O15&gt;O14,O15,NA()))&lt;&gt;"",IF($F14="Higher the better",IF(O15&lt;O14,O15,NA()),IF(O15&gt;O14,O15,NA())),NA())</f>
        <v/>
      </c>
      <c r="AE5">
        <f>IF(IF($F14="Higher the better",IF(P15&lt;P14,P15,NA()),IF(P15&gt;P14,P15,NA()))&lt;&gt;"",IF($F14="Higher the better",IF(P15&lt;P14,P15,NA()),IF(P15&gt;P14,P15,NA())),NA())</f>
        <v/>
      </c>
      <c r="AF5">
        <f>IF(IF($F14="Higher the better",IF(Q15&lt;Q14,Q15,NA()),IF(Q15&gt;Q14,Q15,NA()))&lt;&gt;"",IF($F14="Higher the better",IF(Q15&lt;Q14,Q15,NA()),IF(Q15&gt;Q14,Q15,NA())),NA())</f>
        <v/>
      </c>
      <c r="AG5">
        <f>IF(IF($F14="Higher the better",IF(R15&lt;R14,R15,NA()),IF(R15&gt;R14,R15,NA()))&lt;&gt;"",IF($F14="Higher the better",IF(R15&lt;R14,R15,NA()),IF(R15&gt;R14,R15,NA())),NA())</f>
        <v/>
      </c>
      <c r="AH5">
        <f>IF(IF($F14="Higher the better",IF(S15&lt;S14,S15,NA()),IF(S15&gt;S14,S15,NA()))&lt;&gt;"",IF($F14="Higher the better",IF(S15&lt;S14,S15,NA()),IF(S15&gt;S14,S15,NA())),NA())</f>
        <v/>
      </c>
      <c r="AI5">
        <f>IF(IF($F14="Higher the better",IF(T15&lt;T14,T15,NA()),IF(T15&gt;T14,T15,NA()))&lt;&gt;"",IF($F14="Higher the better",IF(T15&lt;T14,T15,NA()),IF(T15&gt;T14,T15,NA())),NA())</f>
        <v/>
      </c>
    </row>
    <row r="6">
      <c r="A6" s="608" t="inlineStr">
        <is>
          <t>Market Share</t>
        </is>
      </c>
      <c r="B6" s="644" t="inlineStr">
        <is>
          <t>ITQ Market Share</t>
        </is>
      </c>
      <c r="C6" s="479" t="inlineStr">
        <is>
          <t>&gt;=</t>
        </is>
      </c>
      <c r="D6" s="603" t="inlineStr">
        <is>
          <t>13  w/ GRC/ 14 w/o GRC</t>
        </is>
      </c>
      <c r="E6" s="479" t="inlineStr">
        <is>
          <t>%</t>
        </is>
      </c>
      <c r="F6" s="601" t="inlineStr">
        <is>
          <t>Higher the better</t>
        </is>
      </c>
      <c r="G6" s="644" t="inlineStr">
        <is>
          <t>Quarterly</t>
        </is>
      </c>
      <c r="H6" s="235" t="inlineStr">
        <is>
          <t>Target</t>
        </is>
      </c>
      <c r="I6" s="236" t="inlineStr">
        <is>
          <t xml:space="preserve"> </t>
        </is>
      </c>
      <c r="J6" s="236" t="inlineStr">
        <is>
          <t xml:space="preserve"> </t>
        </is>
      </c>
      <c r="K6" s="236" t="inlineStr">
        <is>
          <t xml:space="preserve"> </t>
        </is>
      </c>
      <c r="L6" s="236" t="inlineStr">
        <is>
          <t xml:space="preserve"> </t>
        </is>
      </c>
      <c r="M6" s="236" t="inlineStr">
        <is>
          <t xml:space="preserve"> </t>
        </is>
      </c>
      <c r="N6" s="236" t="inlineStr">
        <is>
          <t xml:space="preserve"> </t>
        </is>
      </c>
      <c r="O6" s="236" t="inlineStr">
        <is>
          <t xml:space="preserve"> </t>
        </is>
      </c>
      <c r="P6" s="236" t="inlineStr">
        <is>
          <t xml:space="preserve"> </t>
        </is>
      </c>
      <c r="Q6" s="236" t="inlineStr">
        <is>
          <t xml:space="preserve"> </t>
        </is>
      </c>
      <c r="R6" s="236" t="inlineStr">
        <is>
          <t xml:space="preserve"> </t>
        </is>
      </c>
      <c r="S6" s="236" t="inlineStr">
        <is>
          <t xml:space="preserve"> </t>
        </is>
      </c>
      <c r="T6" s="236" t="inlineStr">
        <is>
          <t xml:space="preserve"> </t>
        </is>
      </c>
      <c r="U6" s="664" t="n"/>
      <c r="V6" s="664" t="n"/>
      <c r="W6" t="inlineStr">
        <is>
          <t>Actual green</t>
        </is>
      </c>
      <c r="X6">
        <f>IF(IF($F16="Higher the better",IF(I17&gt;=I16,I17,NA()),IF(I17&lt;=I16,I17,NA()))&lt;&gt;"",IF($F16="Higher the better",IF(I17&gt;=I16,I17,NA()),IF(I17&lt;=I16,I17,NA())),NA())</f>
        <v/>
      </c>
      <c r="Y6">
        <f>IF(IF($F16="Higher the better",IF(J17&gt;=J16,J17,NA()),IF(J17&lt;=J16,J17,NA()))&lt;&gt;"",IF($F16="Higher the better",IF(J17&gt;=J16,J17,NA()),IF(J17&lt;=J16,J17,NA())),NA())</f>
        <v/>
      </c>
      <c r="Z6">
        <f>IF(IF($F16="Higher the better",IF(K17&gt;=K16,K17,NA()),IF(K17&lt;=K16,K17,NA()))&lt;&gt;"",IF($F16="Higher the better",IF(K17&gt;=K16,K17,NA()),IF(K17&lt;=K16,K17,NA())),NA())</f>
        <v/>
      </c>
      <c r="AA6">
        <f>IF(IF($F16="Higher the better",IF(L17&gt;=L16,L17,NA()),IF(L17&lt;=L16,L17,NA()))&lt;&gt;"",IF($F16="Higher the better",IF(L17&gt;=L16,L17,NA()),IF(L17&lt;=L16,L17,NA())),NA())</f>
        <v/>
      </c>
      <c r="AB6">
        <f>IF(IF($F16="Higher the better",IF(M17&gt;=M16,M17,NA()),IF(M17&lt;=M16,M17,NA()))&lt;&gt;"",IF($F16="Higher the better",IF(M17&gt;=M16,M17,NA()),IF(M17&lt;=M16,M17,NA())),NA())</f>
        <v/>
      </c>
      <c r="AC6">
        <f>IF(IF($F16="Higher the better",IF(N17&gt;=N16,N17,NA()),IF(N17&lt;=N16,N17,NA()))&lt;&gt;"",IF($F16="Higher the better",IF(N17&gt;=N16,N17,NA()),IF(N17&lt;=N16,N17,NA())),NA())</f>
        <v/>
      </c>
      <c r="AD6">
        <f>IF(IF($F16="Higher the better",IF(O17&gt;=O16,O17,NA()),IF(O17&lt;=O16,O17,NA()))&lt;&gt;"",IF($F16="Higher the better",IF(O17&gt;=O16,O17,NA()),IF(O17&lt;=O16,O17,NA())),NA())</f>
        <v/>
      </c>
      <c r="AE6">
        <f>IF(IF($F16="Higher the better",IF(P17&gt;=P16,P17,NA()),IF(P17&lt;=P16,P17,NA()))&lt;&gt;"",IF($F16="Higher the better",IF(P17&gt;=P16,P17,NA()),IF(P17&lt;=P16,P17,NA())),NA())</f>
        <v/>
      </c>
      <c r="AF6">
        <f>IF(IF($F16="Higher the better",IF(Q17&gt;=Q16,Q17,NA()),IF(Q17&lt;=Q16,Q17,NA()))&lt;&gt;"",IF($F16="Higher the better",IF(Q17&gt;=Q16,Q17,NA()),IF(Q17&lt;=Q16,Q17,NA())),NA())</f>
        <v/>
      </c>
      <c r="AG6">
        <f>IF(IF($F16="Higher the better",IF(R17&gt;=R16,R17,NA()),IF(R17&lt;=R16,R17,NA()))&lt;&gt;"",IF($F16="Higher the better",IF(R17&gt;=R16,R17,NA()),IF(R17&lt;=R16,R17,NA())),NA())</f>
        <v/>
      </c>
      <c r="AH6">
        <f>IF(IF($F16="Higher the better",IF(S17&gt;=S16,S17,NA()),IF(S17&lt;=S16,S17,NA()))&lt;&gt;"",IF($F16="Higher the better",IF(S17&gt;=S16,S17,NA()),IF(S17&lt;=S16,S17,NA())),NA())</f>
        <v/>
      </c>
      <c r="AI6">
        <f>IF(IF($F16="Higher the better",IF(T17&gt;=T16,T17,NA()),IF(T17&lt;=T16,T17,NA()))&lt;&gt;"",IF($F16="Higher the better",IF(T17&gt;=T16,T17,NA()),IF(T17&lt;=T16,T17,NA())),NA())</f>
        <v/>
      </c>
    </row>
    <row r="7">
      <c r="A7" s="687" t="n"/>
      <c r="B7" s="687" t="n"/>
      <c r="C7" s="687" t="n"/>
      <c r="D7" s="687" t="n"/>
      <c r="E7" s="687" t="n"/>
      <c r="F7" s="687" t="n"/>
      <c r="G7" s="687" t="n"/>
      <c r="H7" s="235" t="inlineStr">
        <is>
          <t>Actual</t>
        </is>
      </c>
      <c r="I7" s="45" t="n"/>
      <c r="J7" s="45" t="n"/>
      <c r="K7" s="45" t="n"/>
      <c r="L7" s="45" t="n"/>
      <c r="M7" s="45" t="n"/>
      <c r="N7" s="45" t="n"/>
      <c r="O7" s="45" t="n"/>
      <c r="P7" s="45" t="n"/>
      <c r="Q7" s="45" t="n"/>
      <c r="R7" s="45" t="n"/>
      <c r="S7" s="45" t="n"/>
      <c r="T7" s="45" t="n"/>
      <c r="U7" s="664" t="n"/>
      <c r="V7" s="664" t="n"/>
      <c r="W7" t="inlineStr">
        <is>
          <t>Actual red</t>
        </is>
      </c>
      <c r="X7">
        <f>IF(IF($F16="Higher the better",IF(I17&lt;I16,I17,NA()),IF(I17&gt;I16,I17,NA()))&lt;&gt;"",IF($F16="Higher the better",IF(I17&lt;I16,I17,NA()),IF(I17&gt;I16,I17,NA())),NA())</f>
        <v/>
      </c>
      <c r="Y7">
        <f>IF(IF($F16="Higher the better",IF(J17&lt;J16,J17,NA()),IF(J17&gt;J16,J17,NA()))&lt;&gt;"",IF($F16="Higher the better",IF(J17&lt;J16,J17,NA()),IF(J17&gt;J16,J17,NA())),NA())</f>
        <v/>
      </c>
      <c r="Z7">
        <f>IF(IF($F16="Higher the better",IF(K17&lt;K16,K17,NA()),IF(K17&gt;K16,K17,NA()))&lt;&gt;"",IF($F16="Higher the better",IF(K17&lt;K16,K17,NA()),IF(K17&gt;K16,K17,NA())),NA())</f>
        <v/>
      </c>
      <c r="AA7">
        <f>IF(IF($F16="Higher the better",IF(L17&lt;L16,L17,NA()),IF(L17&gt;L16,L17,NA()))&lt;&gt;"",IF($F16="Higher the better",IF(L17&lt;L16,L17,NA()),IF(L17&gt;L16,L17,NA())),NA())</f>
        <v/>
      </c>
      <c r="AB7">
        <f>IF(IF($F16="Higher the better",IF(M17&lt;M16,M17,NA()),IF(M17&gt;M16,M17,NA()))&lt;&gt;"",IF($F16="Higher the better",IF(M17&lt;M16,M17,NA()),IF(M17&gt;M16,M17,NA())),NA())</f>
        <v/>
      </c>
      <c r="AC7">
        <f>IF(IF($F16="Higher the better",IF(N17&lt;N16,N17,NA()),IF(N17&gt;N16,N17,NA()))&lt;&gt;"",IF($F16="Higher the better",IF(N17&lt;N16,N17,NA()),IF(N17&gt;N16,N17,NA())),NA())</f>
        <v/>
      </c>
      <c r="AD7">
        <f>IF(IF($F16="Higher the better",IF(O17&lt;O16,O17,NA()),IF(O17&gt;O16,O17,NA()))&lt;&gt;"",IF($F16="Higher the better",IF(O17&lt;O16,O17,NA()),IF(O17&gt;O16,O17,NA())),NA())</f>
        <v/>
      </c>
      <c r="AE7">
        <f>IF(IF($F16="Higher the better",IF(P17&lt;P16,P17,NA()),IF(P17&gt;P16,P17,NA()))&lt;&gt;"",IF($F16="Higher the better",IF(P17&lt;P16,P17,NA()),IF(P17&gt;P16,P17,NA())),NA())</f>
        <v/>
      </c>
      <c r="AF7">
        <f>IF(IF($F16="Higher the better",IF(Q17&lt;Q16,Q17,NA()),IF(Q17&gt;Q16,Q17,NA()))&lt;&gt;"",IF($F16="Higher the better",IF(Q17&lt;Q16,Q17,NA()),IF(Q17&gt;Q16,Q17,NA())),NA())</f>
        <v/>
      </c>
      <c r="AG7">
        <f>IF(IF($F16="Higher the better",IF(R17&lt;R16,R17,NA()),IF(R17&gt;R16,R17,NA()))&lt;&gt;"",IF($F16="Higher the better",IF(R17&lt;R16,R17,NA()),IF(R17&gt;R16,R17,NA())),NA())</f>
        <v/>
      </c>
      <c r="AH7">
        <f>IF(IF($F16="Higher the better",IF(S17&lt;S16,S17,NA()),IF(S17&gt;S16,S17,NA()))&lt;&gt;"",IF($F16="Higher the better",IF(S17&lt;S16,S17,NA()),IF(S17&gt;S16,S17,NA())),NA())</f>
        <v/>
      </c>
      <c r="AI7">
        <f>IF(IF($F16="Higher the better",IF(T17&lt;T16,T17,NA()),IF(T17&gt;T16,T17,NA()))&lt;&gt;"",IF($F16="Higher the better",IF(T17&lt;T16,T17,NA()),IF(T17&gt;T16,T17,NA())),NA())</f>
        <v/>
      </c>
    </row>
    <row r="8">
      <c r="A8" s="608" t="inlineStr">
        <is>
          <t>Order Intake</t>
        </is>
      </c>
      <c r="B8" s="608" t="inlineStr">
        <is>
          <t>ITM OIT Equipment</t>
        </is>
      </c>
      <c r="C8" s="479" t="inlineStr">
        <is>
          <t>&gt;=</t>
        </is>
      </c>
      <c r="D8" s="479" t="n">
        <v>145</v>
      </c>
      <c r="E8" s="479" t="inlineStr">
        <is>
          <t>Mn</t>
        </is>
      </c>
      <c r="F8" s="601" t="inlineStr">
        <is>
          <t>Higher the better</t>
        </is>
      </c>
      <c r="G8" s="644" t="inlineStr">
        <is>
          <t>Monthly</t>
        </is>
      </c>
      <c r="H8" s="235" t="inlineStr">
        <is>
          <t>Target</t>
        </is>
      </c>
      <c r="I8" s="237" t="n">
        <v>6.9</v>
      </c>
      <c r="J8" s="237" t="n">
        <v>8.5</v>
      </c>
      <c r="K8" s="237" t="n">
        <v>12.6</v>
      </c>
      <c r="L8" s="237" t="inlineStr">
        <is>
          <t>9,5</t>
        </is>
      </c>
      <c r="M8" s="237" t="inlineStr">
        <is>
          <t>10,6</t>
        </is>
      </c>
      <c r="N8" s="237" t="inlineStr">
        <is>
          <t>15,6</t>
        </is>
      </c>
      <c r="O8" s="237" t="inlineStr">
        <is>
          <t>8,9</t>
        </is>
      </c>
      <c r="P8" s="237" t="inlineStr">
        <is>
          <t>11,9</t>
        </is>
      </c>
      <c r="Q8" s="237" t="inlineStr">
        <is>
          <t>16,5</t>
        </is>
      </c>
      <c r="R8" s="237" t="inlineStr">
        <is>
          <t>11,2</t>
        </is>
      </c>
      <c r="S8" s="237" t="inlineStr">
        <is>
          <t>15,9</t>
        </is>
      </c>
      <c r="T8" s="237" t="inlineStr">
        <is>
          <t>16,9</t>
        </is>
      </c>
      <c r="U8" s="664" t="n"/>
      <c r="V8" s="664" t="n"/>
      <c r="W8" t="inlineStr">
        <is>
          <t>Actual green</t>
        </is>
      </c>
      <c r="X8">
        <f>IF(IF($F18="Higher the better",IF(I19&gt;=I18,I19,NA()),IF(I19&lt;=I18,I19,NA()))&lt;&gt;"",IF($F18="Higher the better",IF(I19&gt;=I18,I19,NA()),IF(I19&lt;=I18,I19,NA())),NA())</f>
        <v/>
      </c>
      <c r="Y8">
        <f>IF(IF($F18="Higher the better",IF(J19&gt;=J18,J19,NA()),IF(J19&lt;=J18,J19,NA()))&lt;&gt;"",IF($F18="Higher the better",IF(J19&gt;=J18,J19,NA()),IF(J19&lt;=J18,J19,NA())),NA())</f>
        <v/>
      </c>
      <c r="Z8">
        <f>IF(IF($F18="Higher the better",IF(K19&gt;=K18,K19,NA()),IF(K19&lt;=K18,K19,NA()))&lt;&gt;"",IF($F18="Higher the better",IF(K19&gt;=K18,K19,NA()),IF(K19&lt;=K18,K19,NA())),NA())</f>
        <v/>
      </c>
      <c r="AA8">
        <f>IF(IF($F18="Higher the better",IF(L19&gt;=L18,L19,NA()),IF(L19&lt;=L18,L19,NA()))&lt;&gt;"",IF($F18="Higher the better",IF(L19&gt;=L18,L19,NA()),IF(L19&lt;=L18,L19,NA())),NA())</f>
        <v/>
      </c>
      <c r="AB8">
        <f>IF(IF($F18="Higher the better",IF(M19&gt;=M18,M19,NA()),IF(M19&lt;=M18,M19,NA()))&lt;&gt;"",IF($F18="Higher the better",IF(M19&gt;=M18,M19,NA()),IF(M19&lt;=M18,M19,NA())),NA())</f>
        <v/>
      </c>
      <c r="AC8">
        <f>IF(IF($F18="Higher the better",IF(N19&gt;=N18,N19,NA()),IF(N19&lt;=N18,N19,NA()))&lt;&gt;"",IF($F18="Higher the better",IF(N19&gt;=N18,N19,NA()),IF(N19&lt;=N18,N19,NA())),NA())</f>
        <v/>
      </c>
      <c r="AD8">
        <f>IF(IF($F18="Higher the better",IF(O19&gt;=O18,O19,NA()),IF(O19&lt;=O18,O19,NA()))&lt;&gt;"",IF($F18="Higher the better",IF(O19&gt;=O18,O19,NA()),IF(O19&lt;=O18,O19,NA())),NA())</f>
        <v/>
      </c>
      <c r="AE8">
        <f>IF(IF($F18="Higher the better",IF(P19&gt;=P18,P19,NA()),IF(P19&lt;=P18,P19,NA()))&lt;&gt;"",IF($F18="Higher the better",IF(P19&gt;=P18,P19,NA()),IF(P19&lt;=P18,P19,NA())),NA())</f>
        <v/>
      </c>
      <c r="AF8">
        <f>IF(IF($F18="Higher the better",IF(Q19&gt;=Q18,Q19,NA()),IF(Q19&lt;=Q18,Q19,NA()))&lt;&gt;"",IF($F18="Higher the better",IF(Q19&gt;=Q18,Q19,NA()),IF(Q19&lt;=Q18,Q19,NA())),NA())</f>
        <v/>
      </c>
      <c r="AG8">
        <f>IF(IF($F18="Higher the better",IF(R19&gt;=R18,R19,NA()),IF(R19&lt;=R18,R19,NA()))&lt;&gt;"",IF($F18="Higher the better",IF(R19&gt;=R18,R19,NA()),IF(R19&lt;=R18,R19,NA())),NA())</f>
        <v/>
      </c>
      <c r="AH8">
        <f>IF(IF($F18="Higher the better",IF(S19&gt;=S18,S19,NA()),IF(S19&lt;=S18,S19,NA()))&lt;&gt;"",IF($F18="Higher the better",IF(S19&gt;=S18,S19,NA()),IF(S19&lt;=S18,S19,NA())),NA())</f>
        <v/>
      </c>
      <c r="AI8">
        <f>IF(IF($F18="Higher the better",IF(T19&gt;=T18,T19,NA()),IF(T19&lt;=T18,T19,NA()))&lt;&gt;"",IF($F18="Higher the better",IF(T19&gt;=T18,T19,NA()),IF(T19&lt;=T18,T19,NA())),NA())</f>
        <v/>
      </c>
    </row>
    <row r="9">
      <c r="A9" s="687" t="n"/>
      <c r="B9" s="687" t="n"/>
      <c r="C9" s="687" t="n"/>
      <c r="D9" s="687" t="n"/>
      <c r="E9" s="687" t="n"/>
      <c r="F9" s="687" t="n"/>
      <c r="G9" s="687" t="n"/>
      <c r="H9" s="235" t="inlineStr">
        <is>
          <t>Actual</t>
        </is>
      </c>
      <c r="I9" s="45" t="n">
        <v>5.2</v>
      </c>
      <c r="J9" s="45" t="n">
        <v>8.4</v>
      </c>
      <c r="K9" s="45" t="n">
        <v>17.2</v>
      </c>
      <c r="L9" s="45" t="n"/>
      <c r="M9" s="45" t="n"/>
      <c r="N9" s="45" t="n"/>
      <c r="O9" s="45" t="n"/>
      <c r="P9" s="45" t="n"/>
      <c r="Q9" s="45" t="n"/>
      <c r="R9" s="45" t="n"/>
      <c r="S9" s="45" t="n"/>
      <c r="T9" s="45" t="n"/>
      <c r="U9" s="664" t="n"/>
      <c r="V9" s="664" t="n"/>
      <c r="W9" t="inlineStr">
        <is>
          <t>Actual red</t>
        </is>
      </c>
      <c r="X9">
        <f>IF(IF($F18="Higher the better",IF(I19&lt;I18,I19,NA()),IF(I19&gt;I18,I19,NA()))&lt;&gt;"",IF($F18="Higher the better",IF(I19&lt;I18,I19,NA()),IF(I19&gt;I18,I19,NA())),NA())</f>
        <v/>
      </c>
      <c r="Y9">
        <f>IF(IF($F18="Higher the better",IF(J19&lt;J18,J19,NA()),IF(J19&gt;J18,J19,NA()))&lt;&gt;"",IF($F18="Higher the better",IF(J19&lt;J18,J19,NA()),IF(J19&gt;J18,J19,NA())),NA())</f>
        <v/>
      </c>
      <c r="Z9">
        <f>IF(IF($F18="Higher the better",IF(K19&lt;K18,K19,NA()),IF(K19&gt;K18,K19,NA()))&lt;&gt;"",IF($F18="Higher the better",IF(K19&lt;K18,K19,NA()),IF(K19&gt;K18,K19,NA())),NA())</f>
        <v/>
      </c>
      <c r="AA9">
        <f>IF(IF($F18="Higher the better",IF(L19&lt;L18,L19,NA()),IF(L19&gt;L18,L19,NA()))&lt;&gt;"",IF($F18="Higher the better",IF(L19&lt;L18,L19,NA()),IF(L19&gt;L18,L19,NA())),NA())</f>
        <v/>
      </c>
      <c r="AB9">
        <f>IF(IF($F18="Higher the better",IF(M19&lt;M18,M19,NA()),IF(M19&gt;M18,M19,NA()))&lt;&gt;"",IF($F18="Higher the better",IF(M19&lt;M18,M19,NA()),IF(M19&gt;M18,M19,NA())),NA())</f>
        <v/>
      </c>
      <c r="AC9">
        <f>IF(IF($F18="Higher the better",IF(N19&lt;N18,N19,NA()),IF(N19&gt;N18,N19,NA()))&lt;&gt;"",IF($F18="Higher the better",IF(N19&lt;N18,N19,NA()),IF(N19&gt;N18,N19,NA())),NA())</f>
        <v/>
      </c>
      <c r="AD9">
        <f>IF(IF($F18="Higher the better",IF(O19&lt;O18,O19,NA()),IF(O19&gt;O18,O19,NA()))&lt;&gt;"",IF($F18="Higher the better",IF(O19&lt;O18,O19,NA()),IF(O19&gt;O18,O19,NA())),NA())</f>
        <v/>
      </c>
      <c r="AE9">
        <f>IF(IF($F18="Higher the better",IF(P19&lt;P18,P19,NA()),IF(P19&gt;P18,P19,NA()))&lt;&gt;"",IF($F18="Higher the better",IF(P19&lt;P18,P19,NA()),IF(P19&gt;P18,P19,NA())),NA())</f>
        <v/>
      </c>
      <c r="AF9">
        <f>IF(IF($F18="Higher the better",IF(Q19&lt;Q18,Q19,NA()),IF(Q19&gt;Q18,Q19,NA()))&lt;&gt;"",IF($F18="Higher the better",IF(Q19&lt;Q18,Q19,NA()),IF(Q19&gt;Q18,Q19,NA())),NA())</f>
        <v/>
      </c>
      <c r="AG9">
        <f>IF(IF($F18="Higher the better",IF(R19&lt;R18,R19,NA()),IF(R19&gt;R18,R19,NA()))&lt;&gt;"",IF($F18="Higher the better",IF(R19&lt;R18,R19,NA()),IF(R19&gt;R18,R19,NA())),NA())</f>
        <v/>
      </c>
      <c r="AH9">
        <f>IF(IF($F18="Higher the better",IF(S19&lt;S18,S19,NA()),IF(S19&gt;S18,S19,NA()))&lt;&gt;"",IF($F18="Higher the better",IF(S19&lt;S18,S19,NA()),IF(S19&gt;S18,S19,NA())),NA())</f>
        <v/>
      </c>
      <c r="AI9">
        <f>IF(IF($F18="Higher the better",IF(T19&lt;T18,T19,NA()),IF(T19&gt;T18,T19,NA()))&lt;&gt;"",IF($F18="Higher the better",IF(T19&lt;T18,T19,NA()),IF(T19&gt;T18,T19,NA())),NA())</f>
        <v/>
      </c>
    </row>
    <row r="10">
      <c r="A10" s="608" t="inlineStr">
        <is>
          <t>Win Rate</t>
        </is>
      </c>
      <c r="B10" s="608" t="inlineStr">
        <is>
          <t>ITM Winrate</t>
        </is>
      </c>
      <c r="C10" s="479" t="inlineStr">
        <is>
          <t>&gt;=</t>
        </is>
      </c>
      <c r="D10" s="770" t="n">
        <v>0.34</v>
      </c>
      <c r="E10" s="479" t="inlineStr">
        <is>
          <t>%</t>
        </is>
      </c>
      <c r="F10" s="601" t="inlineStr">
        <is>
          <t>Higher the better</t>
        </is>
      </c>
      <c r="G10" s="644" t="inlineStr">
        <is>
          <t>Monthly</t>
        </is>
      </c>
      <c r="H10" s="235" t="inlineStr">
        <is>
          <t>Target</t>
        </is>
      </c>
      <c r="I10" s="91" t="n">
        <v>0.34</v>
      </c>
      <c r="J10" s="91" t="n">
        <v>0.34</v>
      </c>
      <c r="K10" s="91" t="n">
        <v>0.34</v>
      </c>
      <c r="L10" s="91" t="n">
        <v>0.34</v>
      </c>
      <c r="M10" s="91" t="n">
        <v>0.34</v>
      </c>
      <c r="N10" s="91" t="n">
        <v>0.34</v>
      </c>
      <c r="O10" s="91" t="n">
        <v>0.34</v>
      </c>
      <c r="P10" s="91" t="n">
        <v>0.34</v>
      </c>
      <c r="Q10" s="91" t="n">
        <v>0.34</v>
      </c>
      <c r="R10" s="91" t="n">
        <v>0.34</v>
      </c>
      <c r="S10" s="91" t="n">
        <v>0.34</v>
      </c>
      <c r="T10" s="91" t="n">
        <v>0.34</v>
      </c>
      <c r="U10" s="664" t="n"/>
      <c r="V10" s="664" t="n"/>
      <c r="W10" t="inlineStr">
        <is>
          <t>Actual green</t>
        </is>
      </c>
      <c r="X10">
        <f>IF(IF($F20="Higher the better",IF(I21&gt;=I20,I21,NA()),IF(I21&lt;=I20,I21,NA()))&lt;&gt;"",IF($F20="Higher the better",IF(I21&gt;=I20,I21,NA()),IF(I21&lt;=I20,I21,NA())),NA())</f>
        <v/>
      </c>
      <c r="Y10">
        <f>IF(IF($F20="Higher the better",IF(J21&gt;=J20,J21,NA()),IF(J21&lt;=J20,J21,NA()))&lt;&gt;"",IF($F20="Higher the better",IF(J21&gt;=J20,J21,NA()),IF(J21&lt;=J20,J21,NA())),NA())</f>
        <v/>
      </c>
      <c r="Z10">
        <f>IF(IF($F20="Higher the better",IF(K21&gt;=K20,K21,NA()),IF(K21&lt;=K20,K21,NA()))&lt;&gt;"",IF($F20="Higher the better",IF(K21&gt;=K20,K21,NA()),IF(K21&lt;=K20,K21,NA())),NA())</f>
        <v/>
      </c>
      <c r="AA10">
        <f>IF(IF($F20="Higher the better",IF(L21&gt;=L20,L21,NA()),IF(L21&lt;=L20,L21,NA()))&lt;&gt;"",IF($F20="Higher the better",IF(L21&gt;=L20,L21,NA()),IF(L21&lt;=L20,L21,NA())),NA())</f>
        <v/>
      </c>
      <c r="AB10">
        <f>IF(IF($F20="Higher the better",IF(M21&gt;=M20,M21,NA()),IF(M21&lt;=M20,M21,NA()))&lt;&gt;"",IF($F20="Higher the better",IF(M21&gt;=M20,M21,NA()),IF(M21&lt;=M20,M21,NA())),NA())</f>
        <v/>
      </c>
      <c r="AC10">
        <f>IF(IF($F20="Higher the better",IF(N21&gt;=N20,N21,NA()),IF(N21&lt;=N20,N21,NA()))&lt;&gt;"",IF($F20="Higher the better",IF(N21&gt;=N20,N21,NA()),IF(N21&lt;=N20,N21,NA())),NA())</f>
        <v/>
      </c>
      <c r="AD10">
        <f>IF(IF($F20="Higher the better",IF(O21&gt;=O20,O21,NA()),IF(O21&lt;=O20,O21,NA()))&lt;&gt;"",IF($F20="Higher the better",IF(O21&gt;=O20,O21,NA()),IF(O21&lt;=O20,O21,NA())),NA())</f>
        <v/>
      </c>
      <c r="AE10">
        <f>IF(IF($F20="Higher the better",IF(P21&gt;=P20,P21,NA()),IF(P21&lt;=P20,P21,NA()))&lt;&gt;"",IF($F20="Higher the better",IF(P21&gt;=P20,P21,NA()),IF(P21&lt;=P20,P21,NA())),NA())</f>
        <v/>
      </c>
      <c r="AF10">
        <f>IF(IF($F20="Higher the better",IF(Q21&gt;=Q20,Q21,NA()),IF(Q21&lt;=Q20,Q21,NA()))&lt;&gt;"",IF($F20="Higher the better",IF(Q21&gt;=Q20,Q21,NA()),IF(Q21&lt;=Q20,Q21,NA())),NA())</f>
        <v/>
      </c>
      <c r="AG10">
        <f>IF(IF($F20="Higher the better",IF(R21&gt;=R20,R21,NA()),IF(R21&lt;=R20,R21,NA()))&lt;&gt;"",IF($F20="Higher the better",IF(R21&gt;=R20,R21,NA()),IF(R21&lt;=R20,R21,NA())),NA())</f>
        <v/>
      </c>
      <c r="AH10">
        <f>IF(IF($F20="Higher the better",IF(S21&gt;=S20,S21,NA()),IF(S21&lt;=S20,S21,NA()))&lt;&gt;"",IF($F20="Higher the better",IF(S21&gt;=S20,S21,NA()),IF(S21&lt;=S20,S21,NA())),NA())</f>
        <v/>
      </c>
      <c r="AI10">
        <f>IF(IF($F20="Higher the better",IF(T21&gt;=T20,T21,NA()),IF(T21&lt;=T20,T21,NA()))&lt;&gt;"",IF($F20="Higher the better",IF(T21&gt;=T20,T21,NA()),IF(T21&lt;=T20,T21,NA())),NA())</f>
        <v/>
      </c>
    </row>
    <row r="11">
      <c r="A11" s="687" t="n"/>
      <c r="B11" s="687" t="n"/>
      <c r="C11" s="687" t="n"/>
      <c r="D11" s="687" t="n"/>
      <c r="E11" s="687" t="n"/>
      <c r="F11" s="687" t="n"/>
      <c r="G11" s="687" t="n"/>
      <c r="H11" s="235" t="inlineStr">
        <is>
          <t>Actual</t>
        </is>
      </c>
      <c r="I11" s="5" t="n">
        <v>0.32</v>
      </c>
      <c r="J11" s="5" t="n">
        <v>0.42</v>
      </c>
      <c r="K11" s="5" t="n">
        <v>0.52</v>
      </c>
      <c r="L11" s="5" t="n"/>
      <c r="M11" s="5" t="n"/>
      <c r="N11" s="5" t="n"/>
      <c r="O11" s="5" t="n"/>
      <c r="P11" s="5" t="n"/>
      <c r="Q11" s="5" t="n"/>
      <c r="R11" s="5" t="n"/>
      <c r="S11" s="5" t="n"/>
      <c r="T11" s="5" t="n"/>
      <c r="U11" s="664" t="n"/>
      <c r="V11" s="664" t="n"/>
      <c r="W11" t="inlineStr">
        <is>
          <t>Actual red</t>
        </is>
      </c>
      <c r="X11">
        <f>IF(IF($F20="Higher the better",IF(I21&lt;I20,I21,NA()),IF(I21&gt;I20,I21,NA()))&lt;&gt;"",IF($F20="Higher the better",IF(I21&lt;I20,I21,NA()),IF(I21&gt;I20,I21,NA())),NA())</f>
        <v/>
      </c>
      <c r="Y11">
        <f>IF(IF($F20="Higher the better",IF(J21&lt;J20,J21,NA()),IF(J21&gt;J20,J21,NA()))&lt;&gt;"",IF($F20="Higher the better",IF(J21&lt;J20,J21,NA()),IF(J21&gt;J20,J21,NA())),NA())</f>
        <v/>
      </c>
      <c r="Z11">
        <f>IF(IF($F20="Higher the better",IF(K21&lt;K20,K21,NA()),IF(K21&gt;K20,K21,NA()))&lt;&gt;"",IF($F20="Higher the better",IF(K21&lt;K20,K21,NA()),IF(K21&gt;K20,K21,NA())),NA())</f>
        <v/>
      </c>
      <c r="AA11">
        <f>IF(IF($F20="Higher the better",IF(L21&lt;L20,L21,NA()),IF(L21&gt;L20,L21,NA()))&lt;&gt;"",IF($F20="Higher the better",IF(L21&lt;L20,L21,NA()),IF(L21&gt;L20,L21,NA())),NA())</f>
        <v/>
      </c>
      <c r="AB11">
        <f>IF(IF($F20="Higher the better",IF(M21&lt;M20,M21,NA()),IF(M21&gt;M20,M21,NA()))&lt;&gt;"",IF($F20="Higher the better",IF(M21&lt;M20,M21,NA()),IF(M21&gt;M20,M21,NA())),NA())</f>
        <v/>
      </c>
      <c r="AC11">
        <f>IF(IF($F20="Higher the better",IF(N21&lt;N20,N21,NA()),IF(N21&gt;N20,N21,NA()))&lt;&gt;"",IF($F20="Higher the better",IF(N21&lt;N20,N21,NA()),IF(N21&gt;N20,N21,NA())),NA())</f>
        <v/>
      </c>
      <c r="AD11">
        <f>IF(IF($F20="Higher the better",IF(O21&lt;O20,O21,NA()),IF(O21&gt;O20,O21,NA()))&lt;&gt;"",IF($F20="Higher the better",IF(O21&lt;O20,O21,NA()),IF(O21&gt;O20,O21,NA())),NA())</f>
        <v/>
      </c>
      <c r="AE11">
        <f>IF(IF($F20="Higher the better",IF(P21&lt;P20,P21,NA()),IF(P21&gt;P20,P21,NA()))&lt;&gt;"",IF($F20="Higher the better",IF(P21&lt;P20,P21,NA()),IF(P21&gt;P20,P21,NA())),NA())</f>
        <v/>
      </c>
      <c r="AF11">
        <f>IF(IF($F20="Higher the better",IF(Q21&lt;Q20,Q21,NA()),IF(Q21&gt;Q20,Q21,NA()))&lt;&gt;"",IF($F20="Higher the better",IF(Q21&lt;Q20,Q21,NA()),IF(Q21&gt;Q20,Q21,NA())),NA())</f>
        <v/>
      </c>
      <c r="AG11">
        <f>IF(IF($F20="Higher the better",IF(R21&lt;R20,R21,NA()),IF(R21&gt;R20,R21,NA()))&lt;&gt;"",IF($F20="Higher the better",IF(R21&lt;R20,R21,NA()),IF(R21&gt;R20,R21,NA())),NA())</f>
        <v/>
      </c>
      <c r="AH11">
        <f>IF(IF($F20="Higher the better",IF(S21&lt;S20,S21,NA()),IF(S21&gt;S20,S21,NA()))&lt;&gt;"",IF($F20="Higher the better",IF(S21&lt;S20,S21,NA()),IF(S21&gt;S20,S21,NA())),NA())</f>
        <v/>
      </c>
      <c r="AI11">
        <f>IF(IF($F20="Higher the better",IF(T21&lt;T20,T21,NA()),IF(T21&gt;T20,T21,NA()))&lt;&gt;"",IF($F20="Higher the better",IF(T21&lt;T20,T21,NA()),IF(T21&gt;T20,T21,NA())),NA())</f>
        <v/>
      </c>
    </row>
    <row r="12" ht="18.6" customHeight="1">
      <c r="A12" s="189" t="inlineStr">
        <is>
          <t>Critical Enabling/Leading KPI's (3-5)</t>
        </is>
      </c>
      <c r="B12" s="664" t="n"/>
      <c r="C12" s="225" t="n"/>
      <c r="D12" s="225" t="n"/>
      <c r="E12" s="225" t="n"/>
      <c r="F12" s="664" t="n"/>
      <c r="G12" s="238" t="inlineStr">
        <is>
          <t xml:space="preserve"> </t>
        </is>
      </c>
      <c r="H12" s="664" t="n"/>
      <c r="I12" s="664" t="n"/>
      <c r="J12" s="664" t="n"/>
      <c r="K12" s="664" t="n"/>
      <c r="L12" s="664" t="n"/>
      <c r="M12" s="664" t="n"/>
      <c r="N12" s="664" t="n"/>
      <c r="O12" s="664" t="n"/>
      <c r="P12" s="664" t="n"/>
      <c r="Q12" s="664" t="n"/>
      <c r="R12" s="664" t="n"/>
      <c r="S12" s="664" t="n"/>
      <c r="T12" s="664" t="n"/>
      <c r="U12" s="664" t="n"/>
      <c r="V12" s="664" t="n"/>
      <c r="W12" t="inlineStr">
        <is>
          <t>Actual green</t>
        </is>
      </c>
      <c r="X12">
        <f>IF(IF($F22="Higher the better",IF(I23&gt;=I22,I23,NA()),IF(I23&lt;=I22,I23,NA()))&lt;&gt;"",IF($F22="Higher the better",IF(I23&gt;=I22,I23,NA()),IF(I23&lt;=I22,I23,NA())),NA())</f>
        <v/>
      </c>
      <c r="Y12">
        <f>IF(IF($F22="Higher the better",IF(J23&gt;=J22,J23,NA()),IF(J23&lt;=J22,J23,NA()))&lt;&gt;"",IF($F22="Higher the better",IF(J23&gt;=J22,J23,NA()),IF(J23&lt;=J22,J23,NA())),NA())</f>
        <v/>
      </c>
      <c r="Z12">
        <f>IF(IF($F22="Higher the better",IF(K23&gt;=K22,K23,NA()),IF(K23&lt;=K22,K23,NA()))&lt;&gt;"",IF($F22="Higher the better",IF(K23&gt;=K22,K23,NA()),IF(K23&lt;=K22,K23,NA())),NA())</f>
        <v/>
      </c>
      <c r="AA12">
        <f>IF(IF($F22="Higher the better",IF(L23&gt;=L22,L23,NA()),IF(L23&lt;=L22,L23,NA()))&lt;&gt;"",IF($F22="Higher the better",IF(L23&gt;=L22,L23,NA()),IF(L23&lt;=L22,L23,NA())),NA())</f>
        <v/>
      </c>
      <c r="AB12">
        <f>IF(IF($F22="Higher the better",IF(M23&gt;=M22,M23,NA()),IF(M23&lt;=M22,M23,NA()))&lt;&gt;"",IF($F22="Higher the better",IF(M23&gt;=M22,M23,NA()),IF(M23&lt;=M22,M23,NA())),NA())</f>
        <v/>
      </c>
      <c r="AC12">
        <f>IF(IF($F22="Higher the better",IF(N23&gt;=N22,N23,NA()),IF(N23&lt;=N22,N23,NA()))&lt;&gt;"",IF($F22="Higher the better",IF(N23&gt;=N22,N23,NA()),IF(N23&lt;=N22,N23,NA())),NA())</f>
        <v/>
      </c>
      <c r="AD12">
        <f>IF(IF($F22="Higher the better",IF(O23&gt;=O22,O23,NA()),IF(O23&lt;=O22,O23,NA()))&lt;&gt;"",IF($F22="Higher the better",IF(O23&gt;=O22,O23,NA()),IF(O23&lt;=O22,O23,NA())),NA())</f>
        <v/>
      </c>
      <c r="AE12">
        <f>IF(IF($F22="Higher the better",IF(P23&gt;=P22,P23,NA()),IF(P23&lt;=P22,P23,NA()))&lt;&gt;"",IF($F22="Higher the better",IF(P23&gt;=P22,P23,NA()),IF(P23&lt;=P22,P23,NA())),NA())</f>
        <v/>
      </c>
      <c r="AF12">
        <f>IF(IF($F22="Higher the better",IF(Q23&gt;=Q22,Q23,NA()),IF(Q23&lt;=Q22,Q23,NA()))&lt;&gt;"",IF($F22="Higher the better",IF(Q23&gt;=Q22,Q23,NA()),IF(Q23&lt;=Q22,Q23,NA())),NA())</f>
        <v/>
      </c>
      <c r="AG12">
        <f>IF(IF($F22="Higher the better",IF(R23&gt;=R22,R23,NA()),IF(R23&lt;=R22,R23,NA()))&lt;&gt;"",IF($F22="Higher the better",IF(R23&gt;=R22,R23,NA()),IF(R23&lt;=R22,R23,NA())),NA())</f>
        <v/>
      </c>
      <c r="AH12">
        <f>IF(IF($F22="Higher the better",IF(S23&gt;=S22,S23,NA()),IF(S23&lt;=S22,S23,NA()))&lt;&gt;"",IF($F22="Higher the better",IF(S23&gt;=S22,S23,NA()),IF(S23&lt;=S22,S23,NA())),NA())</f>
        <v/>
      </c>
      <c r="AI12">
        <f>IF(IF($F22="Higher the better",IF(T23&gt;=T22,T23,NA()),IF(T23&lt;=T22,T23,NA()))&lt;&gt;"",IF($F22="Higher the better",IF(T23&gt;=T22,T23,NA()),IF(T23&lt;=T22,T23,NA())),NA())</f>
        <v/>
      </c>
    </row>
    <row r="13" ht="27.6" customHeight="1">
      <c r="A13" s="190" t="inlineStr">
        <is>
          <t>KPI Name</t>
        </is>
      </c>
      <c r="B13" s="188" t="inlineStr">
        <is>
          <t>KPI  Definition</t>
        </is>
      </c>
      <c r="C13" s="220" t="inlineStr">
        <is>
          <t>Operators</t>
        </is>
      </c>
      <c r="D13" s="220" t="inlineStr">
        <is>
          <t>Target AOP 2026</t>
        </is>
      </c>
      <c r="E13" s="220" t="inlineStr">
        <is>
          <t>Units</t>
        </is>
      </c>
      <c r="F13" s="188" t="inlineStr">
        <is>
          <t>Metric nature</t>
        </is>
      </c>
      <c r="G13" s="188" t="inlineStr">
        <is>
          <t>Frequency</t>
        </is>
      </c>
      <c r="H13" s="188" t="inlineStr">
        <is>
          <t>Target/ Actual</t>
        </is>
      </c>
      <c r="I13" s="208" t="n">
        <v>46023</v>
      </c>
      <c r="J13" s="208" t="n">
        <v>46054</v>
      </c>
      <c r="K13" s="208" t="n">
        <v>46082</v>
      </c>
      <c r="L13" s="208" t="n">
        <v>46113</v>
      </c>
      <c r="M13" s="208" t="n">
        <v>46143</v>
      </c>
      <c r="N13" s="208" t="n">
        <v>46174</v>
      </c>
      <c r="O13" s="208" t="n">
        <v>46204</v>
      </c>
      <c r="P13" s="208" t="n">
        <v>46235</v>
      </c>
      <c r="Q13" s="208" t="n">
        <v>46266</v>
      </c>
      <c r="R13" s="208" t="n">
        <v>46296</v>
      </c>
      <c r="S13" s="208" t="n">
        <v>46327</v>
      </c>
      <c r="T13" s="208" t="n">
        <v>46357</v>
      </c>
      <c r="U13" s="664" t="n"/>
      <c r="V13" s="664" t="n"/>
      <c r="W13" t="inlineStr">
        <is>
          <t>Actual red</t>
        </is>
      </c>
      <c r="X13">
        <f>IF(IF($F22="Higher the better",IF(I23&lt;I22,I23,NA()),IF(I23&gt;I22,I23,NA()))&lt;&gt;"",IF($F22="Higher the better",IF(I23&lt;I22,I23,NA()),IF(I23&gt;I22,I23,NA())),NA())</f>
        <v/>
      </c>
      <c r="Y13">
        <f>IF(IF($F22="Higher the better",IF(J23&lt;J22,J23,NA()),IF(J23&gt;J22,J23,NA()))&lt;&gt;"",IF($F22="Higher the better",IF(J23&lt;J22,J23,NA()),IF(J23&gt;J22,J23,NA())),NA())</f>
        <v/>
      </c>
      <c r="Z13">
        <f>IF(IF($F22="Higher the better",IF(K23&lt;K22,K23,NA()),IF(K23&gt;K22,K23,NA()))&lt;&gt;"",IF($F22="Higher the better",IF(K23&lt;K22,K23,NA()),IF(K23&gt;K22,K23,NA())),NA())</f>
        <v/>
      </c>
      <c r="AA13">
        <f>IF(IF($F22="Higher the better",IF(L23&lt;L22,L23,NA()),IF(L23&gt;L22,L23,NA()))&lt;&gt;"",IF($F22="Higher the better",IF(L23&lt;L22,L23,NA()),IF(L23&gt;L22,L23,NA())),NA())</f>
        <v/>
      </c>
      <c r="AB13">
        <f>IF(IF($F22="Higher the better",IF(M23&lt;M22,M23,NA()),IF(M23&gt;M22,M23,NA()))&lt;&gt;"",IF($F22="Higher the better",IF(M23&lt;M22,M23,NA()),IF(M23&gt;M22,M23,NA())),NA())</f>
        <v/>
      </c>
      <c r="AC13">
        <f>IF(IF($F22="Higher the better",IF(N23&lt;N22,N23,NA()),IF(N23&gt;N22,N23,NA()))&lt;&gt;"",IF($F22="Higher the better",IF(N23&lt;N22,N23,NA()),IF(N23&gt;N22,N23,NA())),NA())</f>
        <v/>
      </c>
      <c r="AD13">
        <f>IF(IF($F22="Higher the better",IF(O23&lt;O22,O23,NA()),IF(O23&gt;O22,O23,NA()))&lt;&gt;"",IF($F22="Higher the better",IF(O23&lt;O22,O23,NA()),IF(O23&gt;O22,O23,NA())),NA())</f>
        <v/>
      </c>
      <c r="AE13">
        <f>IF(IF($F22="Higher the better",IF(P23&lt;P22,P23,NA()),IF(P23&gt;P22,P23,NA()))&lt;&gt;"",IF($F22="Higher the better",IF(P23&lt;P22,P23,NA()),IF(P23&gt;P22,P23,NA())),NA())</f>
        <v/>
      </c>
      <c r="AF13">
        <f>IF(IF($F22="Higher the better",IF(Q23&lt;Q22,Q23,NA()),IF(Q23&gt;Q22,Q23,NA()))&lt;&gt;"",IF($F22="Higher the better",IF(Q23&lt;Q22,Q23,NA()),IF(Q23&gt;Q22,Q23,NA())),NA())</f>
        <v/>
      </c>
      <c r="AG13">
        <f>IF(IF($F22="Higher the better",IF(R23&lt;R22,R23,NA()),IF(R23&gt;R22,R23,NA()))&lt;&gt;"",IF($F22="Higher the better",IF(R23&lt;R22,R23,NA()),IF(R23&gt;R22,R23,NA())),NA())</f>
        <v/>
      </c>
      <c r="AH13">
        <f>IF(IF($F22="Higher the better",IF(S23&lt;S22,S23,NA()),IF(S23&gt;S22,S23,NA()))&lt;&gt;"",IF($F22="Higher the better",IF(S23&lt;S22,S23,NA()),IF(S23&gt;S22,S23,NA())),NA())</f>
        <v/>
      </c>
      <c r="AI13">
        <f>IF(IF($F22="Higher the better",IF(T23&lt;T22,T23,NA()),IF(T23&gt;T22,T23,NA()))&lt;&gt;"",IF($F22="Higher the better",IF(T23&lt;T22,T23,NA()),IF(T23&gt;T22,T23,NA())),NA())</f>
        <v/>
      </c>
    </row>
    <row r="14" ht="13.5" customHeight="1">
      <c r="A14" s="615" t="inlineStr">
        <is>
          <t>Funnel with 70%++ probabilty of winning</t>
        </is>
      </c>
      <c r="B14" s="615" t="inlineStr">
        <is>
          <t>BC with FC Flag + Commit+ Order Booked</t>
        </is>
      </c>
      <c r="C14" s="479" t="inlineStr">
        <is>
          <t>&gt;=</t>
        </is>
      </c>
      <c r="D14" s="611" t="n">
        <v>145</v>
      </c>
      <c r="E14" s="479" t="inlineStr">
        <is>
          <t>%</t>
        </is>
      </c>
      <c r="F14" s="601" t="inlineStr">
        <is>
          <t>Higher the better</t>
        </is>
      </c>
      <c r="G14" s="644" t="inlineStr">
        <is>
          <t>Monthly</t>
        </is>
      </c>
      <c r="H14" s="235" t="inlineStr">
        <is>
          <t>Target</t>
        </is>
      </c>
      <c r="I14" s="237" t="n">
        <v>6.9</v>
      </c>
      <c r="J14" s="237" t="n">
        <v>8.5</v>
      </c>
      <c r="K14" s="237" t="n">
        <v>12.6</v>
      </c>
      <c r="L14" s="237" t="n">
        <v>9.5</v>
      </c>
      <c r="M14" s="237" t="n">
        <v>10.6</v>
      </c>
      <c r="N14" s="237" t="n">
        <v>15.6</v>
      </c>
      <c r="O14" s="237" t="n">
        <v>8.9</v>
      </c>
      <c r="P14" s="237" t="n">
        <v>11.9</v>
      </c>
      <c r="Q14" s="237" t="n">
        <v>16.5</v>
      </c>
      <c r="R14" s="237" t="n">
        <v>11.2</v>
      </c>
      <c r="S14" s="237" t="n">
        <v>15.9</v>
      </c>
      <c r="T14" s="237" t="n">
        <v>16.9</v>
      </c>
      <c r="U14" s="664" t="n"/>
      <c r="V14" s="664" t="n"/>
    </row>
    <row r="15" ht="14.85" customHeight="1">
      <c r="A15" s="687" t="n"/>
      <c r="B15" s="687" t="n"/>
      <c r="C15" s="687" t="n"/>
      <c r="D15" s="687" t="n"/>
      <c r="E15" s="687" t="n"/>
      <c r="F15" s="687" t="n"/>
      <c r="G15" s="687" t="n"/>
      <c r="H15" s="235" t="inlineStr">
        <is>
          <t>Actual</t>
        </is>
      </c>
      <c r="I15" s="45" t="n">
        <v>7.6</v>
      </c>
      <c r="J15" s="45" t="n">
        <v>8.9</v>
      </c>
      <c r="K15" s="45" t="n">
        <v>18.8</v>
      </c>
      <c r="L15" s="45" t="n">
        <v>7.5</v>
      </c>
      <c r="M15" s="45" t="n"/>
      <c r="N15" s="45" t="n"/>
      <c r="O15" s="45" t="n"/>
      <c r="P15" s="45" t="n"/>
      <c r="Q15" s="45" t="n"/>
      <c r="R15" s="45" t="n"/>
      <c r="S15" s="45" t="n"/>
      <c r="T15" s="45" t="n"/>
      <c r="U15" s="664" t="n"/>
      <c r="V15" s="664" t="n"/>
    </row>
    <row r="16" ht="14.85" customHeight="1">
      <c r="A16" s="608" t="inlineStr">
        <is>
          <t>Demo Utilization</t>
        </is>
      </c>
      <c r="B16" s="615" t="inlineStr">
        <is>
          <t>How much of our Demo inventory is being used actively.</t>
        </is>
      </c>
      <c r="C16" s="479" t="inlineStr">
        <is>
          <t>&gt;=</t>
        </is>
      </c>
      <c r="D16" s="771" t="n">
        <v>1</v>
      </c>
      <c r="E16" s="479" t="inlineStr">
        <is>
          <t>%</t>
        </is>
      </c>
      <c r="F16" s="601" t="inlineStr">
        <is>
          <t>Higher the better</t>
        </is>
      </c>
      <c r="G16" s="644" t="inlineStr">
        <is>
          <t>Monthly</t>
        </is>
      </c>
      <c r="H16" s="235" t="inlineStr">
        <is>
          <t>Target</t>
        </is>
      </c>
      <c r="I16" s="237" t="n"/>
      <c r="J16" s="237" t="n"/>
      <c r="K16" s="237" t="n"/>
      <c r="L16" s="237" t="n"/>
      <c r="M16" s="237" t="n"/>
      <c r="N16" s="237" t="n"/>
      <c r="O16" s="237" t="n"/>
      <c r="P16" s="237" t="n"/>
      <c r="Q16" s="237" t="n"/>
      <c r="R16" s="237" t="n"/>
      <c r="S16" s="237" t="n"/>
      <c r="T16" s="237" t="n"/>
      <c r="U16" s="664" t="n"/>
      <c r="V16" s="664" t="n"/>
    </row>
    <row r="17">
      <c r="A17" s="687" t="n"/>
      <c r="B17" s="687" t="n"/>
      <c r="C17" s="687" t="n"/>
      <c r="D17" s="687" t="n"/>
      <c r="E17" s="687" t="n"/>
      <c r="F17" s="687" t="n"/>
      <c r="G17" s="687" t="n"/>
      <c r="H17" s="235" t="inlineStr">
        <is>
          <t>Actual</t>
        </is>
      </c>
      <c r="I17" s="45" t="n"/>
      <c r="J17" s="45" t="n"/>
      <c r="K17" s="45" t="n"/>
      <c r="L17" s="45" t="n"/>
      <c r="M17" s="45" t="n"/>
      <c r="N17" s="45" t="n"/>
      <c r="O17" s="45" t="n"/>
      <c r="P17" s="45" t="n"/>
      <c r="Q17" s="45" t="n"/>
      <c r="R17" s="45" t="n"/>
      <c r="S17" s="45" t="n"/>
      <c r="T17" s="45" t="n"/>
      <c r="U17" s="664" t="n"/>
      <c r="V17" s="664" t="n"/>
    </row>
    <row r="18" ht="14.85" customHeight="1">
      <c r="A18" s="615" t="inlineStr">
        <is>
          <t xml:space="preserve">Demo Refurb </t>
        </is>
      </c>
      <c r="B18" s="615" t="inlineStr">
        <is>
          <t>% Of Demo Units Going through Refurb Process per Quarter</t>
        </is>
      </c>
      <c r="C18" s="479" t="inlineStr">
        <is>
          <t>&gt;=</t>
        </is>
      </c>
      <c r="D18" s="771" t="n">
        <v>1</v>
      </c>
      <c r="E18" s="479" t="inlineStr">
        <is>
          <t>%</t>
        </is>
      </c>
      <c r="F18" s="601" t="inlineStr">
        <is>
          <t>Higher the better</t>
        </is>
      </c>
      <c r="G18" s="644" t="inlineStr">
        <is>
          <t>Quarterly</t>
        </is>
      </c>
      <c r="H18" s="235" t="inlineStr">
        <is>
          <t>Target</t>
        </is>
      </c>
      <c r="I18" s="237" t="n"/>
      <c r="J18" s="237" t="n"/>
      <c r="K18" s="237" t="n"/>
      <c r="L18" s="237" t="n"/>
      <c r="M18" s="237" t="n"/>
      <c r="N18" s="237" t="n"/>
      <c r="O18" s="237" t="n"/>
      <c r="P18" s="237" t="n"/>
      <c r="Q18" s="237" t="n"/>
      <c r="R18" s="237" t="n"/>
      <c r="S18" s="237" t="n"/>
      <c r="T18" s="237" t="n"/>
      <c r="U18" s="664" t="n"/>
      <c r="V18" s="664" t="n"/>
    </row>
    <row r="19">
      <c r="A19" s="687" t="n"/>
      <c r="B19" s="687" t="n"/>
      <c r="C19" s="687" t="n"/>
      <c r="D19" s="687" t="n"/>
      <c r="E19" s="687" t="n"/>
      <c r="F19" s="687" t="n"/>
      <c r="G19" s="687" t="n"/>
      <c r="H19" s="235" t="inlineStr">
        <is>
          <t>Actual</t>
        </is>
      </c>
      <c r="I19" s="45" t="n"/>
      <c r="J19" s="45" t="n"/>
      <c r="K19" s="45" t="n"/>
      <c r="L19" s="45" t="n"/>
      <c r="M19" s="45" t="n"/>
      <c r="N19" s="45" t="n"/>
      <c r="O19" s="45" t="n"/>
      <c r="P19" s="45" t="n"/>
      <c r="Q19" s="45" t="n"/>
      <c r="R19" s="45" t="n"/>
      <c r="S19" s="45" t="n"/>
      <c r="T19" s="45" t="n"/>
      <c r="U19" s="664" t="n"/>
      <c r="V19" s="664" t="n"/>
    </row>
    <row r="20" ht="14.85" customHeight="1">
      <c r="A20" s="608" t="inlineStr">
        <is>
          <t>Demo Win rate</t>
        </is>
      </c>
      <c r="B20" s="608" t="inlineStr">
        <is>
          <t>ITM Demo Winrate</t>
        </is>
      </c>
      <c r="C20" s="479" t="inlineStr">
        <is>
          <t>&gt;=</t>
        </is>
      </c>
      <c r="D20" s="771" t="n">
        <v>0.6</v>
      </c>
      <c r="E20" s="479" t="inlineStr">
        <is>
          <t>%</t>
        </is>
      </c>
      <c r="F20" s="601" t="inlineStr">
        <is>
          <t>Higher the better</t>
        </is>
      </c>
      <c r="G20" s="644" t="inlineStr">
        <is>
          <t>Monthly</t>
        </is>
      </c>
      <c r="H20" s="235" t="inlineStr">
        <is>
          <t>Target</t>
        </is>
      </c>
      <c r="I20" s="91" t="n">
        <v>0.6</v>
      </c>
      <c r="J20" s="91" t="n">
        <v>0.6</v>
      </c>
      <c r="K20" s="91" t="n">
        <v>0.6</v>
      </c>
      <c r="L20" s="237" t="n"/>
      <c r="M20" s="237" t="n"/>
      <c r="N20" s="237" t="n"/>
      <c r="O20" s="237" t="n"/>
      <c r="P20" s="237" t="n"/>
      <c r="Q20" s="237" t="n"/>
      <c r="R20" s="237" t="n"/>
      <c r="S20" s="237" t="n"/>
      <c r="T20" s="237" t="n"/>
      <c r="U20" s="664" t="n"/>
      <c r="V20" s="664" t="n"/>
    </row>
    <row r="21">
      <c r="A21" s="687" t="n"/>
      <c r="B21" s="687" t="n"/>
      <c r="C21" s="687" t="n"/>
      <c r="D21" s="687" t="n"/>
      <c r="E21" s="687" t="n"/>
      <c r="F21" s="687" t="n"/>
      <c r="G21" s="687" t="n"/>
      <c r="H21" s="235" t="inlineStr">
        <is>
          <t>Actual</t>
        </is>
      </c>
      <c r="I21" s="5" t="n">
        <v>0.6</v>
      </c>
      <c r="J21" s="5" t="n">
        <v>0.5600000000000001</v>
      </c>
      <c r="K21" s="5" t="n">
        <v>0.58</v>
      </c>
      <c r="L21" s="5" t="n"/>
      <c r="M21" s="5" t="n"/>
      <c r="N21" s="5" t="n"/>
      <c r="O21" s="5" t="n"/>
      <c r="P21" s="5" t="n"/>
      <c r="Q21" s="5" t="n"/>
      <c r="R21" s="5" t="n"/>
      <c r="S21" s="5" t="n"/>
      <c r="T21" s="5" t="n"/>
      <c r="U21" s="664" t="n"/>
      <c r="V21" s="664" t="n"/>
    </row>
    <row r="22">
      <c r="A22" s="608" t="inlineStr">
        <is>
          <t># of Demos</t>
        </is>
      </c>
      <c r="B22" s="608" t="inlineStr">
        <is>
          <t>Number of Demos per Month</t>
        </is>
      </c>
      <c r="C22" s="479" t="inlineStr">
        <is>
          <t>&gt;=</t>
        </is>
      </c>
      <c r="D22" s="611" t="n">
        <v>596</v>
      </c>
      <c r="E22" s="479" t="inlineStr">
        <is>
          <t>No.</t>
        </is>
      </c>
      <c r="F22" s="601" t="inlineStr">
        <is>
          <t>Higher the better</t>
        </is>
      </c>
      <c r="G22" s="644" t="inlineStr">
        <is>
          <t>Monthly</t>
        </is>
      </c>
      <c r="H22" s="235" t="inlineStr">
        <is>
          <t>Target</t>
        </is>
      </c>
      <c r="I22" s="237" t="n">
        <v>28</v>
      </c>
      <c r="J22" s="237" t="n">
        <v>35</v>
      </c>
      <c r="K22" s="237" t="n">
        <v>52</v>
      </c>
      <c r="L22" s="237" t="n">
        <v>39</v>
      </c>
      <c r="M22" s="237" t="n">
        <v>44</v>
      </c>
      <c r="N22" s="237" t="n">
        <v>64</v>
      </c>
      <c r="O22" s="237" t="n">
        <v>37</v>
      </c>
      <c r="P22" s="237" t="n">
        <v>49</v>
      </c>
      <c r="Q22" s="237" t="n">
        <v>68</v>
      </c>
      <c r="R22" s="237" t="n">
        <v>46</v>
      </c>
      <c r="S22" s="237" t="n">
        <v>65</v>
      </c>
      <c r="T22" s="237" t="n">
        <v>69</v>
      </c>
      <c r="U22" s="664" t="n"/>
      <c r="V22" s="664" t="n"/>
    </row>
    <row r="23" ht="15.6" customHeight="1">
      <c r="A23" s="687" t="n"/>
      <c r="B23" s="687" t="n"/>
      <c r="C23" s="687" t="n"/>
      <c r="D23" s="687" t="n"/>
      <c r="E23" s="687" t="n"/>
      <c r="F23" s="687" t="n"/>
      <c r="G23" s="687" t="n"/>
      <c r="H23" s="235" t="inlineStr">
        <is>
          <t>Actual</t>
        </is>
      </c>
      <c r="I23" s="45" t="n">
        <v>20</v>
      </c>
      <c r="J23" s="45" t="n">
        <v>25</v>
      </c>
      <c r="K23" s="45" t="n">
        <v>43</v>
      </c>
      <c r="L23" s="45" t="n"/>
      <c r="M23" s="45" t="n"/>
      <c r="N23" s="45" t="n"/>
      <c r="O23" s="45" t="n"/>
      <c r="P23" s="45" t="n"/>
      <c r="Q23" s="45" t="n"/>
      <c r="R23" s="45" t="n"/>
      <c r="S23" s="45" t="n"/>
      <c r="T23" s="45" t="n"/>
      <c r="U23" s="664" t="n"/>
      <c r="V23" s="664" t="n"/>
    </row>
    <row r="24" ht="15" customHeight="1">
      <c r="A24" s="664" t="n"/>
      <c r="B24" s="664" t="n"/>
      <c r="C24" s="225" t="n"/>
      <c r="D24" s="225" t="n"/>
      <c r="E24" s="239" t="n"/>
      <c r="F24" s="664" t="n"/>
      <c r="G24" s="664" t="n"/>
      <c r="H24" s="664" t="n"/>
      <c r="I24" s="664" t="n"/>
      <c r="J24" s="664" t="n"/>
      <c r="K24" s="664" t="n"/>
      <c r="L24" s="664" t="n"/>
      <c r="M24" s="664" t="n"/>
      <c r="N24" s="664" t="n"/>
      <c r="O24" s="664" t="n"/>
      <c r="P24" s="664" t="n"/>
      <c r="Q24" s="664" t="n"/>
      <c r="R24" s="664" t="n"/>
      <c r="S24" s="664" t="n"/>
      <c r="T24" s="664" t="n"/>
      <c r="U24" s="664" t="n"/>
      <c r="V24" s="664" t="n"/>
    </row>
    <row r="25" ht="21" customHeight="1">
      <c r="A25" s="642" t="inlineStr">
        <is>
          <t>Trends-</t>
        </is>
      </c>
      <c r="B25" s="664" t="n"/>
      <c r="C25" s="225" t="n"/>
      <c r="D25" s="225" t="n"/>
      <c r="E25" s="225" t="n"/>
      <c r="F25" s="664" t="n"/>
      <c r="G25" s="664" t="n"/>
      <c r="I25" s="664" t="n"/>
      <c r="J25" s="664" t="n"/>
      <c r="K25" s="664" t="n"/>
      <c r="L25" s="664" t="n"/>
      <c r="M25" s="664" t="n"/>
      <c r="N25" s="664" t="n"/>
      <c r="O25" s="664" t="n"/>
      <c r="P25" s="664" t="n"/>
      <c r="Q25" s="664" t="n"/>
      <c r="R25" s="664" t="n"/>
      <c r="S25" s="664" t="n"/>
      <c r="T25" s="664" t="n"/>
      <c r="U25" s="664" t="n"/>
      <c r="V25" s="664" t="n"/>
    </row>
    <row r="26">
      <c r="A26" s="664" t="n"/>
      <c r="B26" s="664" t="n"/>
      <c r="C26" s="225" t="n"/>
      <c r="D26" s="225" t="n"/>
      <c r="E26" s="225" t="n"/>
      <c r="F26" s="664" t="n"/>
      <c r="G26" s="664" t="n"/>
      <c r="H26" s="664" t="n"/>
      <c r="I26" s="664" t="n"/>
      <c r="J26" s="664" t="n"/>
      <c r="K26" s="664" t="n"/>
      <c r="L26" s="664" t="n"/>
      <c r="M26" s="664" t="n"/>
      <c r="N26" s="664" t="n"/>
      <c r="O26" s="664" t="n"/>
      <c r="P26" s="664" t="n"/>
      <c r="Q26" s="664" t="n"/>
      <c r="R26" s="664" t="n"/>
      <c r="S26" s="664" t="n"/>
      <c r="T26" s="664" t="n"/>
      <c r="U26" s="664" t="n"/>
      <c r="V26" s="664" t="n"/>
    </row>
    <row r="27">
      <c r="A27" s="664" t="n"/>
      <c r="B27" s="664" t="n"/>
      <c r="C27" s="225" t="n"/>
      <c r="D27" s="225" t="n"/>
      <c r="E27" s="225" t="n"/>
      <c r="F27" s="664" t="n"/>
      <c r="G27" s="664" t="n"/>
      <c r="H27" s="664" t="n"/>
      <c r="I27" s="664" t="n"/>
      <c r="J27" s="664" t="n"/>
      <c r="K27" s="664" t="n"/>
      <c r="L27" s="664" t="n"/>
      <c r="M27" s="664" t="n"/>
      <c r="N27" s="664" t="n"/>
      <c r="O27" s="664" t="n"/>
      <c r="P27" s="664" t="n"/>
      <c r="Q27" s="664" t="n"/>
      <c r="R27" s="664" t="n"/>
      <c r="S27" s="664" t="n"/>
      <c r="T27" s="664" t="n"/>
      <c r="U27" s="664" t="n"/>
      <c r="V27" s="664" t="n"/>
    </row>
    <row r="28">
      <c r="A28" s="664" t="n"/>
      <c r="B28" s="664" t="n"/>
      <c r="C28" s="225" t="n"/>
      <c r="D28" s="225" t="n"/>
      <c r="E28" s="225" t="n"/>
      <c r="F28" s="664" t="n"/>
      <c r="G28" s="664" t="n"/>
      <c r="H28" s="664" t="n"/>
      <c r="I28" s="664" t="n"/>
      <c r="J28" s="664" t="n"/>
      <c r="K28" s="664" t="n"/>
      <c r="L28" s="664" t="n"/>
      <c r="M28" s="664" t="n"/>
      <c r="N28" s="664" t="n"/>
      <c r="O28" s="664" t="n"/>
      <c r="P28" s="664" t="n"/>
      <c r="Q28" s="664" t="n"/>
      <c r="R28" s="664" t="n"/>
      <c r="S28" s="664" t="n"/>
      <c r="T28" s="664" t="n"/>
      <c r="U28" s="664" t="n"/>
      <c r="V28" s="664" t="n"/>
    </row>
    <row r="29">
      <c r="A29" s="664" t="n"/>
      <c r="B29" s="664" t="n"/>
      <c r="C29" s="225" t="n"/>
      <c r="D29" s="225" t="n"/>
      <c r="E29" s="225" t="n"/>
      <c r="F29" s="664" t="n"/>
      <c r="G29" s="664" t="n"/>
      <c r="H29" s="664" t="n"/>
      <c r="I29" s="664" t="n"/>
      <c r="J29" s="664" t="n"/>
      <c r="K29" s="664" t="n"/>
      <c r="L29" s="664" t="n"/>
      <c r="M29" s="664" t="n"/>
      <c r="N29" s="664" t="n"/>
      <c r="O29" s="664" t="n"/>
      <c r="P29" s="664" t="n"/>
      <c r="Q29" s="664" t="n"/>
      <c r="R29" s="664" t="n"/>
      <c r="S29" s="664" t="n"/>
      <c r="T29" s="664" t="n"/>
      <c r="U29" s="664" t="n"/>
      <c r="V29" s="664" t="n"/>
    </row>
    <row r="30">
      <c r="A30" s="664" t="n"/>
      <c r="B30" s="664" t="n"/>
      <c r="C30" s="225" t="n"/>
      <c r="D30" s="225" t="n"/>
      <c r="E30" s="225" t="n"/>
      <c r="F30" s="664" t="n"/>
      <c r="G30" s="664" t="n"/>
      <c r="H30" s="664" t="n"/>
      <c r="I30" s="664" t="n"/>
      <c r="J30" s="664" t="n"/>
      <c r="K30" s="664" t="n"/>
      <c r="L30" s="664" t="n"/>
      <c r="M30" s="664" t="n"/>
      <c r="N30" s="664" t="n"/>
      <c r="O30" s="664" t="n"/>
      <c r="P30" s="664" t="n"/>
      <c r="Q30" s="664" t="n"/>
      <c r="R30" s="664" t="n"/>
      <c r="S30" s="664" t="n"/>
      <c r="T30" s="664" t="n"/>
      <c r="U30" s="664" t="n"/>
      <c r="V30" s="664" t="n"/>
    </row>
    <row r="31">
      <c r="A31" s="664" t="n"/>
      <c r="B31" s="664" t="n"/>
      <c r="C31" s="225" t="n"/>
      <c r="D31" s="225" t="n"/>
      <c r="E31" s="225" t="n"/>
      <c r="F31" s="664" t="n"/>
      <c r="G31" s="664" t="n"/>
      <c r="H31" s="664" t="n"/>
      <c r="I31" s="664" t="n"/>
      <c r="J31" s="664" t="n"/>
      <c r="K31" s="664" t="n"/>
      <c r="L31" s="664" t="n"/>
      <c r="M31" s="664" t="n"/>
      <c r="N31" s="664" t="n"/>
      <c r="O31" s="664" t="n"/>
      <c r="P31" s="664" t="n"/>
      <c r="Q31" s="664" t="n"/>
      <c r="R31" s="664" t="n"/>
      <c r="S31" s="664" t="n"/>
      <c r="T31" s="664" t="n"/>
      <c r="U31" s="664" t="n"/>
      <c r="V31" s="664" t="n"/>
    </row>
    <row r="32">
      <c r="A32" s="664" t="n"/>
      <c r="B32" s="664" t="n"/>
      <c r="C32" s="225" t="n"/>
      <c r="D32" s="225" t="n"/>
      <c r="E32" s="225" t="n"/>
      <c r="F32" s="664" t="n"/>
      <c r="G32" s="664" t="n"/>
      <c r="H32" s="664" t="n"/>
      <c r="I32" s="664" t="n"/>
      <c r="J32" s="664" t="n"/>
      <c r="K32" s="664" t="n"/>
      <c r="L32" s="664" t="n"/>
      <c r="M32" s="664" t="n"/>
      <c r="N32" s="664" t="n"/>
      <c r="O32" s="664" t="n"/>
      <c r="P32" s="664" t="n"/>
      <c r="Q32" s="664" t="n"/>
      <c r="R32" s="664" t="n"/>
      <c r="S32" s="664" t="n"/>
      <c r="T32" s="664" t="n"/>
      <c r="U32" s="664" t="n"/>
      <c r="V32" s="664" t="n"/>
    </row>
    <row r="33">
      <c r="A33" s="664" t="n"/>
      <c r="B33" s="664" t="n"/>
      <c r="C33" s="225" t="n"/>
      <c r="D33" s="225" t="n"/>
      <c r="E33" s="225" t="n"/>
      <c r="F33" s="664" t="n"/>
      <c r="G33" s="664" t="n"/>
      <c r="H33" s="664" t="n"/>
      <c r="I33" s="664" t="n"/>
      <c r="J33" s="664" t="n"/>
      <c r="K33" s="664" t="n"/>
      <c r="L33" s="664" t="n"/>
      <c r="M33" s="664" t="n"/>
      <c r="N33" s="664" t="n"/>
      <c r="O33" s="664" t="n"/>
      <c r="P33" s="664" t="n"/>
      <c r="Q33" s="664" t="n"/>
      <c r="R33" s="664" t="n"/>
      <c r="S33" s="664" t="n"/>
      <c r="T33" s="664" t="n"/>
      <c r="U33" s="664" t="n"/>
      <c r="V33" s="664" t="n"/>
    </row>
    <row r="34">
      <c r="A34" s="664" t="n"/>
      <c r="B34" s="664" t="n"/>
      <c r="C34" s="225" t="n"/>
      <c r="D34" s="225" t="n"/>
      <c r="E34" s="225" t="n"/>
      <c r="F34" s="664" t="n"/>
      <c r="G34" s="664" t="n"/>
      <c r="H34" s="664" t="n"/>
      <c r="I34" s="664" t="n"/>
      <c r="J34" s="664" t="n"/>
      <c r="K34" s="664" t="n"/>
      <c r="L34" s="664" t="n"/>
      <c r="M34" s="664" t="n"/>
      <c r="N34" s="664" t="n"/>
      <c r="O34" s="664" t="n"/>
      <c r="P34" s="664" t="n"/>
      <c r="Q34" s="664" t="n"/>
      <c r="R34" s="664" t="n"/>
      <c r="S34" s="664" t="n"/>
      <c r="T34" s="664" t="n"/>
      <c r="U34" s="664" t="n"/>
      <c r="V34" s="664" t="n"/>
    </row>
    <row r="35">
      <c r="A35" s="664" t="n"/>
      <c r="B35" s="664" t="n"/>
      <c r="C35" s="225" t="n"/>
      <c r="D35" s="225" t="n"/>
      <c r="E35" s="225" t="n"/>
      <c r="F35" s="664" t="n"/>
      <c r="G35" s="664" t="n"/>
      <c r="H35" s="664" t="n"/>
      <c r="I35" s="664" t="n"/>
      <c r="J35" s="664" t="n"/>
      <c r="K35" s="664" t="n"/>
      <c r="L35" s="664" t="n"/>
      <c r="M35" s="664" t="n"/>
      <c r="N35" s="664" t="n"/>
      <c r="O35" s="664" t="n"/>
      <c r="P35" s="664" t="n"/>
      <c r="Q35" s="664" t="n"/>
      <c r="R35" s="664" t="n"/>
      <c r="S35" s="664" t="n"/>
      <c r="T35" s="664" t="n"/>
      <c r="U35" s="664" t="n"/>
      <c r="V35" s="664" t="n"/>
    </row>
    <row r="36">
      <c r="A36" s="664" t="n"/>
      <c r="B36" s="664" t="n"/>
      <c r="C36" s="225" t="n"/>
      <c r="D36" s="225" t="n"/>
      <c r="E36" s="225" t="n"/>
      <c r="F36" s="664" t="n"/>
      <c r="G36" s="664" t="n"/>
      <c r="H36" s="664" t="n"/>
      <c r="I36" s="664" t="n"/>
      <c r="J36" s="664" t="n"/>
      <c r="K36" s="664" t="n"/>
      <c r="L36" s="664" t="n"/>
      <c r="M36" s="664" t="n"/>
      <c r="N36" s="664" t="n"/>
      <c r="O36" s="664" t="n"/>
      <c r="P36" s="664" t="n"/>
      <c r="Q36" s="664" t="n"/>
      <c r="R36" s="664" t="n"/>
      <c r="S36" s="664" t="n"/>
      <c r="T36" s="664" t="n"/>
      <c r="U36" s="664" t="n"/>
      <c r="V36" s="664" t="n"/>
    </row>
    <row r="37">
      <c r="A37" s="664" t="n"/>
      <c r="B37" s="664" t="n"/>
      <c r="C37" s="225" t="n"/>
      <c r="D37" s="225" t="n"/>
      <c r="E37" s="225" t="n"/>
      <c r="F37" s="664" t="n"/>
      <c r="G37" s="664" t="n"/>
      <c r="H37" s="664" t="n"/>
      <c r="I37" s="664" t="n"/>
      <c r="J37" s="664" t="n"/>
      <c r="K37" s="664" t="n"/>
      <c r="L37" s="664" t="n"/>
      <c r="M37" s="664" t="n"/>
      <c r="N37" s="664" t="n"/>
      <c r="O37" s="664" t="n"/>
      <c r="P37" s="664" t="n"/>
      <c r="Q37" s="664" t="n"/>
      <c r="R37" s="664" t="n"/>
      <c r="S37" s="664" t="n"/>
      <c r="T37" s="664" t="n"/>
      <c r="U37" s="664" t="n"/>
      <c r="V37" s="664" t="n"/>
    </row>
    <row r="38">
      <c r="A38" s="664" t="n"/>
      <c r="B38" s="664" t="n"/>
      <c r="C38" s="225" t="n"/>
      <c r="D38" s="225" t="n"/>
      <c r="E38" s="225" t="n"/>
      <c r="F38" s="664" t="n"/>
      <c r="G38" s="664" t="n"/>
      <c r="H38" s="664" t="n"/>
      <c r="I38" s="664" t="n"/>
      <c r="J38" s="664" t="n"/>
      <c r="K38" s="664" t="n"/>
      <c r="L38" s="664" t="n"/>
      <c r="M38" s="664" t="n"/>
      <c r="N38" s="664" t="n"/>
      <c r="O38" s="664" t="n"/>
      <c r="P38" s="664" t="n"/>
      <c r="Q38" s="664" t="n"/>
      <c r="R38" s="664" t="n"/>
      <c r="S38" s="664" t="n"/>
      <c r="T38" s="664" t="n"/>
      <c r="U38" s="664" t="n"/>
      <c r="V38" s="664" t="n"/>
    </row>
    <row r="39">
      <c r="A39" s="664" t="n"/>
      <c r="B39" s="664" t="n"/>
      <c r="C39" s="225" t="n"/>
      <c r="D39" s="225" t="n"/>
      <c r="E39" s="225" t="n"/>
      <c r="F39" s="664" t="n"/>
      <c r="G39" s="664" t="n"/>
      <c r="H39" s="664" t="n"/>
      <c r="I39" s="664" t="n"/>
      <c r="J39" s="664" t="n"/>
      <c r="K39" s="664" t="n"/>
      <c r="L39" s="664" t="n"/>
      <c r="M39" s="664" t="n"/>
      <c r="N39" s="664" t="n"/>
      <c r="O39" s="664" t="n"/>
      <c r="P39" s="664" t="n"/>
      <c r="Q39" s="664" t="n"/>
      <c r="R39" s="664" t="n"/>
      <c r="S39" s="664" t="n"/>
      <c r="T39" s="664" t="n"/>
      <c r="U39" s="664" t="n"/>
      <c r="V39" s="664" t="n"/>
    </row>
    <row r="40">
      <c r="A40" s="664" t="n"/>
      <c r="B40" s="664" t="n"/>
      <c r="C40" s="225" t="n"/>
      <c r="D40" s="225" t="n"/>
      <c r="E40" s="225" t="n"/>
      <c r="F40" s="664" t="n"/>
      <c r="G40" s="664" t="n"/>
      <c r="H40" s="664" t="n"/>
      <c r="I40" s="664" t="n"/>
      <c r="J40" s="664" t="n"/>
      <c r="K40" s="664" t="n"/>
      <c r="L40" s="664" t="n"/>
      <c r="M40" s="664" t="n"/>
      <c r="N40" s="664" t="n"/>
      <c r="O40" s="664" t="n"/>
      <c r="P40" s="664" t="n"/>
      <c r="Q40" s="664" t="n"/>
      <c r="R40" s="664" t="n"/>
      <c r="S40" s="664" t="n"/>
      <c r="T40" s="664" t="n"/>
      <c r="U40" s="664" t="n"/>
      <c r="V40" s="664" t="n"/>
    </row>
    <row r="41">
      <c r="A41" s="664" t="n"/>
      <c r="B41" s="664" t="n"/>
      <c r="C41" s="225" t="n"/>
      <c r="D41" s="225" t="n"/>
      <c r="E41" s="225" t="n"/>
      <c r="F41" s="664" t="n"/>
      <c r="G41" s="664" t="n"/>
      <c r="H41" s="664" t="n"/>
      <c r="I41" s="664" t="n"/>
      <c r="J41" s="664" t="n"/>
      <c r="K41" s="664" t="n"/>
      <c r="L41" s="664" t="n"/>
      <c r="M41" s="664" t="n"/>
      <c r="N41" s="664" t="n"/>
      <c r="O41" s="664" t="n"/>
      <c r="P41" s="664" t="n"/>
      <c r="Q41" s="664" t="n"/>
      <c r="R41" s="664" t="n"/>
      <c r="S41" s="664" t="n"/>
      <c r="T41" s="664" t="n"/>
      <c r="U41" s="664" t="n"/>
      <c r="V41" s="664" t="n"/>
    </row>
    <row r="42" ht="21" customHeight="1">
      <c r="A42" s="645" t="inlineStr">
        <is>
          <t>If the KPI is reported Red, fill all the details as mentioned below for analysis &amp; actions:</t>
        </is>
      </c>
      <c r="F42" s="664" t="n"/>
      <c r="G42" s="664" t="n"/>
      <c r="H42" s="664" t="n"/>
      <c r="I42" s="664" t="n"/>
      <c r="J42" s="664" t="n"/>
      <c r="K42" s="664" t="n"/>
      <c r="L42" s="664" t="n"/>
      <c r="M42" s="664" t="n"/>
      <c r="N42" s="664" t="n"/>
      <c r="O42" s="664" t="n"/>
      <c r="P42" s="664" t="n"/>
      <c r="Q42" s="664" t="n"/>
      <c r="R42" s="664" t="n"/>
      <c r="S42" s="664" t="n"/>
      <c r="T42" s="664" t="n"/>
      <c r="U42" s="664" t="n"/>
      <c r="V42" s="664" t="n"/>
    </row>
    <row r="43">
      <c r="A43" s="664" t="n"/>
      <c r="B43" s="664" t="n"/>
      <c r="C43" s="225" t="n"/>
      <c r="D43" s="225" t="n"/>
      <c r="E43" s="225" t="n"/>
      <c r="F43" s="664" t="n"/>
      <c r="G43" s="664" t="n"/>
      <c r="H43" s="664" t="n"/>
      <c r="I43" s="664" t="n"/>
      <c r="J43" s="664" t="n"/>
      <c r="K43" s="664" t="n"/>
      <c r="L43" s="664" t="n"/>
      <c r="M43" s="664" t="n"/>
      <c r="N43" s="664" t="n"/>
      <c r="O43" s="664" t="n"/>
      <c r="P43" s="664" t="n"/>
      <c r="Q43" s="664" t="n"/>
      <c r="R43" s="664" t="n"/>
      <c r="S43" s="664" t="n"/>
      <c r="T43" s="664" t="n"/>
      <c r="U43" s="664" t="n"/>
      <c r="V43" s="664" t="n"/>
    </row>
    <row r="44" ht="21" customHeight="1">
      <c r="A44" s="642" t="inlineStr">
        <is>
          <t>Root Cause Analysis-</t>
        </is>
      </c>
      <c r="C44" s="225" t="n"/>
      <c r="D44" s="225" t="n"/>
      <c r="E44" s="225" t="n"/>
      <c r="F44" s="664" t="n"/>
      <c r="G44" s="664" t="n"/>
      <c r="H44" s="664" t="n"/>
      <c r="I44" s="664" t="n"/>
      <c r="J44" s="664" t="n"/>
      <c r="K44" s="664" t="n"/>
      <c r="L44" s="664" t="n"/>
      <c r="M44" s="664" t="n"/>
      <c r="N44" s="664" t="n"/>
      <c r="O44" s="664" t="n"/>
      <c r="P44" s="664" t="n"/>
      <c r="Q44" s="664" t="n"/>
      <c r="R44" s="664" t="n"/>
      <c r="S44" s="664" t="n"/>
      <c r="T44" s="664" t="n"/>
      <c r="U44" s="664" t="n"/>
      <c r="V44" s="664" t="n"/>
    </row>
    <row r="45" ht="20.1" customHeight="1">
      <c r="A45" s="605" t="inlineStr">
        <is>
          <t xml:space="preserve"> Red KPI</t>
        </is>
      </c>
      <c r="B45" s="772" t="inlineStr">
        <is>
          <t xml:space="preserve">Top  Causes </t>
        </is>
      </c>
      <c r="C45" s="693" t="n"/>
      <c r="D45" s="693" t="n"/>
      <c r="E45" s="693" t="n"/>
      <c r="F45" s="692" t="n"/>
      <c r="G45" s="664" t="n"/>
      <c r="H45" s="664" t="n"/>
      <c r="I45" s="664" t="n"/>
      <c r="J45" s="664" t="n"/>
      <c r="K45" s="664" t="n"/>
      <c r="L45" s="664" t="n"/>
      <c r="M45" s="664" t="n"/>
      <c r="N45" s="664" t="n"/>
      <c r="O45" s="664" t="n"/>
      <c r="P45" s="664" t="n"/>
      <c r="Q45" s="664" t="n"/>
      <c r="R45" s="664" t="n"/>
      <c r="S45" s="664" t="n"/>
      <c r="T45" s="664" t="n"/>
      <c r="U45" s="664" t="n"/>
      <c r="V45" s="664" t="n"/>
    </row>
    <row r="46" ht="15" customHeight="1">
      <c r="A46" s="694" t="n"/>
      <c r="B46" s="191" t="inlineStr">
        <is>
          <t xml:space="preserve">Cause 1 </t>
        </is>
      </c>
      <c r="C46" s="221" t="inlineStr">
        <is>
          <t>Cause 2</t>
        </is>
      </c>
      <c r="D46" s="221" t="inlineStr">
        <is>
          <t>Cause 3</t>
        </is>
      </c>
      <c r="E46" s="221" t="inlineStr">
        <is>
          <t>Cause 4</t>
        </is>
      </c>
      <c r="F46" s="192" t="inlineStr">
        <is>
          <t>Cause 5</t>
        </is>
      </c>
      <c r="G46" s="664" t="n"/>
      <c r="H46" s="664" t="n"/>
      <c r="I46" s="664" t="n"/>
      <c r="J46" s="664" t="n"/>
      <c r="K46" s="664" t="n"/>
      <c r="L46" s="664" t="n"/>
      <c r="M46" s="664" t="n"/>
      <c r="N46" s="664" t="n"/>
      <c r="O46" s="664" t="n"/>
      <c r="P46" s="664" t="n"/>
      <c r="Q46" s="664" t="n"/>
      <c r="R46" s="664" t="n"/>
      <c r="S46" s="664" t="n"/>
      <c r="T46" s="664" t="n"/>
      <c r="U46" s="664" t="n"/>
      <c r="V46" s="664" t="n"/>
    </row>
    <row r="47" ht="19.35" customHeight="1">
      <c r="A47" s="240" t="inlineStr">
        <is>
          <t>Sales</t>
        </is>
      </c>
      <c r="B47" s="241" t="inlineStr">
        <is>
          <t>1M Delta Vs June FC</t>
        </is>
      </c>
      <c r="C47" s="242" t="inlineStr">
        <is>
          <t>AOP Hs Vs PMA Number</t>
        </is>
      </c>
      <c r="D47" s="242" t="inlineStr">
        <is>
          <t>CLV Project Delays</t>
        </is>
      </c>
      <c r="E47" s="242" t="inlineStr">
        <is>
          <t>NA Contract renewal</t>
        </is>
      </c>
      <c r="F47" s="243" t="inlineStr">
        <is>
          <t>Thailand DX</t>
        </is>
      </c>
      <c r="G47" s="664" t="n"/>
      <c r="H47" s="664" t="n"/>
      <c r="I47" s="664" t="n"/>
      <c r="J47" s="664" t="n"/>
      <c r="K47" s="664" t="n"/>
      <c r="L47" s="664" t="n"/>
      <c r="M47" s="664" t="n"/>
      <c r="N47" s="664" t="n"/>
      <c r="O47" s="664" t="n"/>
      <c r="P47" s="664" t="n"/>
      <c r="Q47" s="664" t="n"/>
      <c r="R47" s="664" t="n"/>
      <c r="S47" s="664" t="n"/>
      <c r="T47" s="664" t="n"/>
      <c r="U47" s="664" t="n"/>
      <c r="V47" s="664" t="n"/>
    </row>
    <row r="48" ht="19.35" customHeight="1">
      <c r="A48" s="244" t="inlineStr">
        <is>
          <t>% impact on KPI gap</t>
        </is>
      </c>
      <c r="B48" s="245" t="n">
        <v>0.4</v>
      </c>
      <c r="C48" s="246" t="n">
        <v>0.4</v>
      </c>
      <c r="D48" s="246" t="n">
        <v>0.2</v>
      </c>
      <c r="E48" s="247" t="inlineStr">
        <is>
          <t xml:space="preserve"> </t>
        </is>
      </c>
      <c r="F48" s="248" t="inlineStr">
        <is>
          <t xml:space="preserve"> </t>
        </is>
      </c>
      <c r="G48" s="664" t="n"/>
      <c r="H48" s="664" t="n"/>
      <c r="I48" s="664" t="n"/>
      <c r="J48" s="664" t="n"/>
      <c r="K48" s="664" t="n"/>
      <c r="L48" s="664" t="n"/>
      <c r="M48" s="664" t="n"/>
      <c r="N48" s="664" t="n"/>
      <c r="O48" s="664" t="n"/>
      <c r="P48" s="664" t="n"/>
      <c r="Q48" s="664" t="n"/>
      <c r="R48" s="664" t="n"/>
      <c r="S48" s="664" t="n"/>
      <c r="T48" s="664" t="n"/>
      <c r="U48" s="664" t="n"/>
      <c r="V48" s="664" t="n"/>
    </row>
    <row r="49" ht="19.35" customHeight="1">
      <c r="A49" s="191" t="inlineStr">
        <is>
          <t>Red KPI</t>
        </is>
      </c>
      <c r="B49" s="192" t="inlineStr">
        <is>
          <t xml:space="preserve">Cause 1 </t>
        </is>
      </c>
      <c r="C49" s="221" t="inlineStr">
        <is>
          <t>Cause 2</t>
        </is>
      </c>
      <c r="D49" s="221" t="inlineStr">
        <is>
          <t>Cause 3</t>
        </is>
      </c>
      <c r="E49" s="221" t="inlineStr">
        <is>
          <t>Cause 4</t>
        </is>
      </c>
      <c r="F49" s="192" t="inlineStr">
        <is>
          <t>Cause 5</t>
        </is>
      </c>
      <c r="G49" s="664" t="n"/>
      <c r="H49" s="664" t="n"/>
      <c r="I49" s="664" t="n"/>
      <c r="J49" s="664" t="n"/>
      <c r="K49" s="664" t="n"/>
      <c r="L49" s="664" t="n"/>
      <c r="M49" s="664" t="n"/>
      <c r="N49" s="664" t="n"/>
      <c r="O49" s="664" t="n"/>
      <c r="P49" s="664" t="n"/>
      <c r="Q49" s="664" t="n"/>
      <c r="R49" s="664" t="n"/>
      <c r="S49" s="664" t="n"/>
      <c r="T49" s="664" t="n"/>
      <c r="U49" s="664" t="n"/>
      <c r="V49" s="664" t="n"/>
    </row>
    <row r="50" ht="19.35" customHeight="1">
      <c r="A50" s="249" t="inlineStr">
        <is>
          <t xml:space="preserve"> </t>
        </is>
      </c>
      <c r="B50" s="248" t="inlineStr">
        <is>
          <t xml:space="preserve"> </t>
        </is>
      </c>
      <c r="C50" s="247" t="inlineStr">
        <is>
          <t xml:space="preserve"> </t>
        </is>
      </c>
      <c r="D50" s="247" t="inlineStr">
        <is>
          <t xml:space="preserve"> </t>
        </is>
      </c>
      <c r="E50" s="247" t="inlineStr">
        <is>
          <t xml:space="preserve"> </t>
        </is>
      </c>
      <c r="F50" s="248" t="inlineStr">
        <is>
          <t xml:space="preserve"> </t>
        </is>
      </c>
      <c r="G50" s="664" t="n"/>
      <c r="H50" s="664" t="n"/>
      <c r="I50" s="664" t="n"/>
      <c r="J50" s="664" t="n"/>
      <c r="K50" s="664" t="n"/>
      <c r="L50" s="664" t="n"/>
      <c r="M50" s="664" t="n"/>
      <c r="N50" s="664" t="n"/>
      <c r="O50" s="664" t="n"/>
      <c r="P50" s="664" t="n"/>
      <c r="Q50" s="664" t="n"/>
      <c r="R50" s="664" t="n"/>
      <c r="S50" s="664" t="n"/>
      <c r="T50" s="664" t="n"/>
      <c r="U50" s="664" t="n"/>
      <c r="V50" s="664" t="n"/>
    </row>
    <row r="51" ht="19.35" customHeight="1">
      <c r="A51" s="244" t="inlineStr">
        <is>
          <t>% impact on KPI gap</t>
        </is>
      </c>
      <c r="B51" s="248" t="inlineStr">
        <is>
          <t xml:space="preserve"> </t>
        </is>
      </c>
      <c r="C51" s="247" t="inlineStr">
        <is>
          <t xml:space="preserve"> </t>
        </is>
      </c>
      <c r="D51" s="247" t="inlineStr">
        <is>
          <t xml:space="preserve"> </t>
        </is>
      </c>
      <c r="E51" s="247" t="inlineStr">
        <is>
          <t xml:space="preserve"> </t>
        </is>
      </c>
      <c r="F51" s="248" t="inlineStr">
        <is>
          <t xml:space="preserve"> </t>
        </is>
      </c>
      <c r="G51" s="664" t="n"/>
      <c r="H51" s="664" t="n"/>
      <c r="I51" s="664" t="n"/>
      <c r="J51" s="664" t="n"/>
      <c r="K51" s="664" t="n"/>
      <c r="L51" s="664" t="n"/>
      <c r="M51" s="664" t="n"/>
      <c r="N51" s="664" t="n"/>
      <c r="O51" s="664" t="n"/>
      <c r="P51" s="664" t="n"/>
      <c r="Q51" s="664" t="n"/>
      <c r="R51" s="664" t="n"/>
      <c r="S51" s="664" t="n"/>
      <c r="T51" s="664" t="n"/>
      <c r="U51" s="664" t="n"/>
      <c r="V51" s="664" t="n"/>
    </row>
    <row r="52" ht="19.35" customHeight="1">
      <c r="A52" s="191" t="inlineStr">
        <is>
          <t>Red KPI</t>
        </is>
      </c>
      <c r="B52" s="192" t="inlineStr">
        <is>
          <t xml:space="preserve">Cause 1 </t>
        </is>
      </c>
      <c r="C52" s="221" t="inlineStr">
        <is>
          <t>Cause 2</t>
        </is>
      </c>
      <c r="D52" s="221" t="inlineStr">
        <is>
          <t>Cause 3</t>
        </is>
      </c>
      <c r="E52" s="221" t="inlineStr">
        <is>
          <t>Cause 4</t>
        </is>
      </c>
      <c r="F52" s="192" t="inlineStr">
        <is>
          <t>Cause 5</t>
        </is>
      </c>
      <c r="G52" s="664" t="n"/>
      <c r="H52" s="664" t="n"/>
      <c r="I52" s="664" t="n"/>
      <c r="J52" s="664" t="n"/>
      <c r="K52" s="664" t="n"/>
      <c r="L52" s="664" t="n"/>
      <c r="M52" s="664" t="n"/>
      <c r="N52" s="664" t="n"/>
      <c r="O52" s="664" t="n"/>
      <c r="P52" s="664" t="n"/>
      <c r="Q52" s="664" t="n"/>
      <c r="R52" s="664" t="n"/>
      <c r="S52" s="664" t="n"/>
      <c r="T52" s="664" t="n"/>
      <c r="U52" s="664" t="n"/>
      <c r="V52" s="664" t="n"/>
    </row>
    <row r="53" ht="19.35" customHeight="1">
      <c r="A53" s="249" t="inlineStr">
        <is>
          <t xml:space="preserve"> </t>
        </is>
      </c>
      <c r="B53" s="248" t="inlineStr">
        <is>
          <t xml:space="preserve"> </t>
        </is>
      </c>
      <c r="C53" s="247" t="inlineStr">
        <is>
          <t xml:space="preserve"> </t>
        </is>
      </c>
      <c r="D53" s="247" t="inlineStr">
        <is>
          <t xml:space="preserve"> </t>
        </is>
      </c>
      <c r="E53" s="247" t="inlineStr">
        <is>
          <t xml:space="preserve"> </t>
        </is>
      </c>
      <c r="F53" s="248" t="inlineStr">
        <is>
          <t xml:space="preserve"> </t>
        </is>
      </c>
      <c r="G53" s="664" t="n"/>
      <c r="H53" s="664" t="n"/>
      <c r="I53" s="664" t="n"/>
      <c r="J53" s="664" t="n"/>
      <c r="K53" s="664" t="n"/>
      <c r="L53" s="664" t="n"/>
      <c r="M53" s="664" t="n"/>
      <c r="N53" s="664" t="n"/>
      <c r="O53" s="664" t="n"/>
      <c r="P53" s="664" t="n"/>
      <c r="Q53" s="664" t="n"/>
      <c r="R53" s="664" t="n"/>
      <c r="S53" s="664" t="n"/>
      <c r="T53" s="664" t="n"/>
      <c r="U53" s="664" t="n"/>
      <c r="V53" s="664" t="n"/>
    </row>
    <row r="54" ht="19.35" customHeight="1">
      <c r="A54" s="244" t="inlineStr">
        <is>
          <t>% impact on KPI gap</t>
        </is>
      </c>
      <c r="B54" s="248" t="inlineStr">
        <is>
          <t xml:space="preserve"> </t>
        </is>
      </c>
      <c r="C54" s="247" t="inlineStr">
        <is>
          <t xml:space="preserve"> </t>
        </is>
      </c>
      <c r="D54" s="247" t="inlineStr">
        <is>
          <t xml:space="preserve"> </t>
        </is>
      </c>
      <c r="E54" s="247" t="inlineStr">
        <is>
          <t xml:space="preserve"> </t>
        </is>
      </c>
      <c r="F54" s="248" t="inlineStr">
        <is>
          <t xml:space="preserve"> </t>
        </is>
      </c>
      <c r="G54" s="664" t="n"/>
      <c r="H54" s="664" t="n"/>
      <c r="I54" s="664" t="n"/>
      <c r="J54" s="664" t="n"/>
      <c r="K54" s="664" t="n"/>
      <c r="L54" s="664" t="n"/>
      <c r="M54" s="664" t="n"/>
      <c r="N54" s="664" t="n"/>
      <c r="O54" s="664" t="n"/>
      <c r="P54" s="664" t="n"/>
      <c r="Q54" s="664" t="n"/>
      <c r="R54" s="664" t="n"/>
      <c r="S54" s="664" t="n"/>
      <c r="T54" s="664" t="n"/>
      <c r="U54" s="664" t="n"/>
      <c r="V54" s="664" t="n"/>
    </row>
    <row r="55" ht="19.35" customHeight="1">
      <c r="A55" s="191" t="inlineStr">
        <is>
          <t>Red KPI</t>
        </is>
      </c>
      <c r="B55" s="192" t="inlineStr">
        <is>
          <t xml:space="preserve">Cause 1 </t>
        </is>
      </c>
      <c r="C55" s="221" t="inlineStr">
        <is>
          <t>Cause 2</t>
        </is>
      </c>
      <c r="D55" s="221" t="inlineStr">
        <is>
          <t>Cause 3</t>
        </is>
      </c>
      <c r="E55" s="221" t="inlineStr">
        <is>
          <t>Cause 4</t>
        </is>
      </c>
      <c r="F55" s="192" t="inlineStr">
        <is>
          <t>Cause 5</t>
        </is>
      </c>
      <c r="G55" s="664" t="n"/>
      <c r="H55" s="664" t="n"/>
      <c r="I55" s="664" t="n"/>
      <c r="J55" s="664" t="n"/>
      <c r="K55" s="664" t="n"/>
      <c r="L55" s="664" t="n"/>
      <c r="M55" s="664" t="n"/>
      <c r="N55" s="664" t="n"/>
      <c r="O55" s="664" t="n"/>
      <c r="P55" s="664" t="n"/>
      <c r="Q55" s="664" t="n"/>
      <c r="R55" s="664" t="n"/>
      <c r="S55" s="664" t="n"/>
      <c r="T55" s="664" t="n"/>
      <c r="U55" s="664" t="n"/>
      <c r="V55" s="664" t="n"/>
    </row>
    <row r="56" ht="19.35" customHeight="1">
      <c r="A56" s="249" t="inlineStr">
        <is>
          <t xml:space="preserve"> </t>
        </is>
      </c>
      <c r="B56" s="248" t="inlineStr">
        <is>
          <t xml:space="preserve"> </t>
        </is>
      </c>
      <c r="C56" s="247" t="inlineStr">
        <is>
          <t xml:space="preserve"> </t>
        </is>
      </c>
      <c r="D56" s="247" t="inlineStr">
        <is>
          <t xml:space="preserve"> </t>
        </is>
      </c>
      <c r="E56" s="247" t="inlineStr">
        <is>
          <t xml:space="preserve"> </t>
        </is>
      </c>
      <c r="F56" s="248" t="inlineStr">
        <is>
          <t xml:space="preserve"> </t>
        </is>
      </c>
      <c r="G56" s="664" t="n"/>
      <c r="H56" s="664" t="n"/>
      <c r="I56" s="664" t="n"/>
      <c r="J56" s="664" t="n"/>
      <c r="K56" s="664" t="n"/>
      <c r="L56" s="664" t="n"/>
      <c r="M56" s="664" t="n"/>
      <c r="N56" s="664" t="n"/>
      <c r="O56" s="664" t="n"/>
      <c r="P56" s="664" t="n"/>
      <c r="Q56" s="664" t="n"/>
      <c r="R56" s="664" t="n"/>
      <c r="S56" s="664" t="n"/>
      <c r="T56" s="664" t="n"/>
      <c r="U56" s="664" t="n"/>
      <c r="V56" s="664" t="n"/>
    </row>
    <row r="57" ht="19.35" customHeight="1">
      <c r="A57" s="244" t="inlineStr">
        <is>
          <t>% impact on KPI gap</t>
        </is>
      </c>
      <c r="B57" s="248" t="inlineStr">
        <is>
          <t xml:space="preserve"> </t>
        </is>
      </c>
      <c r="C57" s="247" t="inlineStr">
        <is>
          <t xml:space="preserve"> </t>
        </is>
      </c>
      <c r="D57" s="247" t="inlineStr">
        <is>
          <t xml:space="preserve"> </t>
        </is>
      </c>
      <c r="E57" s="247" t="inlineStr">
        <is>
          <t xml:space="preserve"> </t>
        </is>
      </c>
      <c r="F57" s="248" t="inlineStr">
        <is>
          <t xml:space="preserve"> </t>
        </is>
      </c>
      <c r="G57" s="664" t="n"/>
      <c r="H57" s="664" t="n"/>
      <c r="I57" s="664" t="n"/>
      <c r="J57" s="664" t="n"/>
      <c r="K57" s="664" t="n"/>
      <c r="L57" s="664" t="n"/>
      <c r="M57" s="664" t="n"/>
      <c r="N57" s="664" t="n"/>
      <c r="O57" s="664" t="n"/>
      <c r="P57" s="664" t="n"/>
      <c r="Q57" s="664" t="n"/>
      <c r="R57" s="664" t="n"/>
      <c r="S57" s="664" t="n"/>
      <c r="T57" s="664" t="n"/>
      <c r="U57" s="664" t="n"/>
      <c r="V57" s="664" t="n"/>
    </row>
    <row r="58" ht="19.35" customHeight="1">
      <c r="A58" s="191" t="inlineStr">
        <is>
          <t>Red KPI</t>
        </is>
      </c>
      <c r="B58" s="192" t="inlineStr">
        <is>
          <t xml:space="preserve">Cause 1 </t>
        </is>
      </c>
      <c r="C58" s="221" t="inlineStr">
        <is>
          <t>Cause 2</t>
        </is>
      </c>
      <c r="D58" s="221" t="inlineStr">
        <is>
          <t>Cause 3</t>
        </is>
      </c>
      <c r="E58" s="221" t="inlineStr">
        <is>
          <t>Cause 4</t>
        </is>
      </c>
      <c r="F58" s="192" t="inlineStr">
        <is>
          <t>Cause 5</t>
        </is>
      </c>
      <c r="G58" s="664" t="n"/>
      <c r="H58" s="664" t="n"/>
      <c r="I58" s="664" t="n"/>
      <c r="J58" s="664" t="n"/>
      <c r="K58" s="664" t="n"/>
      <c r="L58" s="664" t="n"/>
      <c r="M58" s="664" t="n"/>
      <c r="N58" s="664" t="n"/>
      <c r="O58" s="664" t="n"/>
      <c r="P58" s="664" t="n"/>
      <c r="Q58" s="664" t="n"/>
      <c r="R58" s="664" t="n"/>
      <c r="S58" s="664" t="n"/>
      <c r="T58" s="664" t="n"/>
      <c r="U58" s="664" t="n"/>
      <c r="V58" s="664" t="n"/>
    </row>
    <row r="59" ht="19.35" customHeight="1">
      <c r="A59" s="249" t="inlineStr">
        <is>
          <t xml:space="preserve"> </t>
        </is>
      </c>
      <c r="B59" s="248" t="inlineStr">
        <is>
          <t xml:space="preserve"> </t>
        </is>
      </c>
      <c r="C59" s="247" t="inlineStr">
        <is>
          <t xml:space="preserve"> </t>
        </is>
      </c>
      <c r="D59" s="247" t="inlineStr">
        <is>
          <t xml:space="preserve"> </t>
        </is>
      </c>
      <c r="E59" s="247" t="inlineStr">
        <is>
          <t xml:space="preserve"> </t>
        </is>
      </c>
      <c r="F59" s="248" t="inlineStr">
        <is>
          <t xml:space="preserve"> </t>
        </is>
      </c>
      <c r="G59" s="664" t="n"/>
      <c r="H59" s="664" t="n"/>
      <c r="I59" s="664" t="n"/>
      <c r="J59" s="664" t="n"/>
      <c r="K59" s="664" t="n"/>
      <c r="L59" s="664" t="n"/>
      <c r="M59" s="664" t="n"/>
      <c r="N59" s="664" t="n"/>
      <c r="O59" s="664" t="n"/>
      <c r="P59" s="664" t="n"/>
      <c r="Q59" s="664" t="n"/>
      <c r="R59" s="664" t="n"/>
      <c r="S59" s="664" t="n"/>
      <c r="T59" s="664" t="n"/>
      <c r="U59" s="664" t="n"/>
      <c r="V59" s="664" t="n"/>
    </row>
    <row r="60" ht="19.35" customHeight="1">
      <c r="A60" s="244" t="inlineStr">
        <is>
          <t>% impact on KPI gap</t>
        </is>
      </c>
      <c r="B60" s="248" t="inlineStr">
        <is>
          <t xml:space="preserve"> </t>
        </is>
      </c>
      <c r="C60" s="247" t="inlineStr">
        <is>
          <t xml:space="preserve"> </t>
        </is>
      </c>
      <c r="D60" s="247" t="inlineStr">
        <is>
          <t xml:space="preserve"> </t>
        </is>
      </c>
      <c r="E60" s="247" t="inlineStr">
        <is>
          <t xml:space="preserve"> </t>
        </is>
      </c>
      <c r="F60" s="248" t="inlineStr">
        <is>
          <t xml:space="preserve"> </t>
        </is>
      </c>
      <c r="G60" s="664" t="n"/>
      <c r="H60" s="664" t="n"/>
      <c r="I60" s="664" t="n"/>
      <c r="J60" s="664" t="n"/>
      <c r="K60" s="664" t="n"/>
      <c r="L60" s="664" t="n"/>
      <c r="M60" s="664" t="n"/>
      <c r="N60" s="664" t="n"/>
      <c r="O60" s="664" t="n"/>
      <c r="P60" s="664" t="n"/>
      <c r="Q60" s="664" t="n"/>
      <c r="R60" s="664" t="n"/>
      <c r="S60" s="664" t="n"/>
      <c r="T60" s="664" t="n"/>
      <c r="U60" s="664" t="n"/>
      <c r="V60" s="664" t="n"/>
    </row>
    <row r="61" ht="19.35" customHeight="1">
      <c r="A61" s="191" t="inlineStr">
        <is>
          <t>Red KPI</t>
        </is>
      </c>
      <c r="B61" s="192" t="inlineStr">
        <is>
          <t xml:space="preserve">Cause 1 </t>
        </is>
      </c>
      <c r="C61" s="221" t="inlineStr">
        <is>
          <t>Cause 2</t>
        </is>
      </c>
      <c r="D61" s="221" t="inlineStr">
        <is>
          <t>Cause 3</t>
        </is>
      </c>
      <c r="E61" s="221" t="inlineStr">
        <is>
          <t>Cause 4</t>
        </is>
      </c>
      <c r="F61" s="192" t="inlineStr">
        <is>
          <t>Cause 5</t>
        </is>
      </c>
      <c r="G61" s="664" t="n"/>
      <c r="H61" s="664" t="n"/>
      <c r="I61" s="664" t="n"/>
      <c r="J61" s="664" t="n"/>
      <c r="K61" s="664" t="n"/>
      <c r="L61" s="664" t="n"/>
      <c r="M61" s="664" t="n"/>
      <c r="N61" s="664" t="n"/>
      <c r="O61" s="664" t="n"/>
      <c r="P61" s="664" t="n"/>
      <c r="Q61" s="664" t="n"/>
      <c r="R61" s="664" t="n"/>
      <c r="S61" s="664" t="n"/>
      <c r="T61" s="664" t="n"/>
      <c r="U61" s="664" t="n"/>
      <c r="V61" s="664" t="n"/>
    </row>
    <row r="62" ht="19.35" customHeight="1">
      <c r="A62" s="249" t="inlineStr">
        <is>
          <t xml:space="preserve"> </t>
        </is>
      </c>
      <c r="B62" s="248" t="inlineStr">
        <is>
          <t xml:space="preserve"> </t>
        </is>
      </c>
      <c r="C62" s="247" t="inlineStr">
        <is>
          <t xml:space="preserve"> </t>
        </is>
      </c>
      <c r="D62" s="247" t="inlineStr">
        <is>
          <t xml:space="preserve"> </t>
        </is>
      </c>
      <c r="E62" s="247" t="inlineStr">
        <is>
          <t xml:space="preserve"> </t>
        </is>
      </c>
      <c r="F62" s="248" t="inlineStr">
        <is>
          <t xml:space="preserve"> </t>
        </is>
      </c>
      <c r="G62" s="664" t="n"/>
      <c r="H62" s="664" t="n"/>
      <c r="I62" s="664" t="n"/>
      <c r="J62" s="664" t="n"/>
      <c r="K62" s="664" t="n"/>
      <c r="L62" s="664" t="n"/>
      <c r="M62" s="664" t="n"/>
      <c r="N62" s="664" t="n"/>
      <c r="O62" s="664" t="n"/>
      <c r="P62" s="664" t="n"/>
      <c r="Q62" s="664" t="n"/>
      <c r="R62" s="664" t="n"/>
      <c r="S62" s="664" t="n"/>
      <c r="T62" s="664" t="n"/>
      <c r="U62" s="664" t="n"/>
      <c r="V62" s="664" t="n"/>
    </row>
    <row r="63" ht="19.35" customHeight="1">
      <c r="A63" s="244" t="inlineStr">
        <is>
          <t>% impact on KPI gap</t>
        </is>
      </c>
      <c r="B63" s="248" t="inlineStr">
        <is>
          <t xml:space="preserve"> </t>
        </is>
      </c>
      <c r="C63" s="247" t="inlineStr">
        <is>
          <t xml:space="preserve"> </t>
        </is>
      </c>
      <c r="D63" s="247" t="inlineStr">
        <is>
          <t xml:space="preserve"> </t>
        </is>
      </c>
      <c r="E63" s="247" t="inlineStr">
        <is>
          <t xml:space="preserve"> </t>
        </is>
      </c>
      <c r="F63" s="248" t="inlineStr">
        <is>
          <t xml:space="preserve"> </t>
        </is>
      </c>
      <c r="G63" s="664" t="n"/>
      <c r="H63" s="664" t="n"/>
      <c r="I63" s="664" t="n"/>
      <c r="J63" s="664" t="n"/>
      <c r="K63" s="664" t="n"/>
      <c r="L63" s="664" t="n"/>
      <c r="M63" s="664" t="n"/>
      <c r="N63" s="664" t="n"/>
      <c r="O63" s="664" t="n"/>
      <c r="P63" s="664" t="n"/>
      <c r="Q63" s="664" t="n"/>
      <c r="R63" s="664" t="n"/>
      <c r="S63" s="664" t="n"/>
      <c r="T63" s="664" t="n"/>
      <c r="U63" s="664" t="n"/>
      <c r="V63" s="664" t="n"/>
    </row>
    <row r="64" ht="14.85" customHeight="1">
      <c r="A64" s="642" t="inlineStr">
        <is>
          <t>Paretos for RCA</t>
        </is>
      </c>
      <c r="B64" s="664" t="n"/>
      <c r="C64" s="225" t="n"/>
      <c r="D64" s="225" t="n"/>
      <c r="E64" s="225" t="n"/>
      <c r="F64" s="664" t="n"/>
      <c r="G64" s="664" t="n"/>
      <c r="H64" s="664" t="n"/>
      <c r="I64" s="664" t="n"/>
      <c r="J64" s="664" t="n"/>
      <c r="K64" s="664" t="n"/>
      <c r="L64" s="664" t="n"/>
      <c r="M64" s="664" t="n"/>
      <c r="N64" s="664" t="n"/>
      <c r="O64" s="664" t="n"/>
      <c r="P64" s="664" t="n"/>
      <c r="Q64" s="664" t="n"/>
      <c r="R64" s="664" t="n"/>
      <c r="S64" s="664" t="n"/>
      <c r="T64" s="664" t="n"/>
      <c r="U64" s="664" t="n"/>
      <c r="V64" s="664" t="n"/>
    </row>
    <row r="65">
      <c r="A65" s="664" t="n"/>
      <c r="B65" s="664" t="n"/>
      <c r="C65" s="225" t="n"/>
      <c r="D65" s="225" t="n"/>
      <c r="E65" s="225" t="n"/>
      <c r="F65" s="664" t="n"/>
      <c r="G65" s="664" t="n"/>
      <c r="H65" s="664" t="n"/>
      <c r="I65" s="664" t="n"/>
      <c r="J65" s="664" t="n"/>
      <c r="K65" s="664" t="n"/>
      <c r="L65" s="664" t="n"/>
      <c r="M65" s="664" t="n"/>
      <c r="N65" s="664" t="n"/>
      <c r="O65" s="664" t="n"/>
      <c r="P65" s="664" t="n"/>
      <c r="Q65" s="664" t="n"/>
      <c r="R65" s="664" t="n"/>
      <c r="S65" s="664" t="n"/>
      <c r="T65" s="664" t="n"/>
      <c r="U65" s="664" t="n"/>
      <c r="V65" s="664" t="n"/>
    </row>
    <row r="66">
      <c r="A66" s="664" t="n"/>
      <c r="B66" s="664" t="n"/>
      <c r="C66" s="225" t="n"/>
      <c r="D66" s="225" t="n"/>
      <c r="E66" s="225" t="n"/>
      <c r="F66" s="664" t="n"/>
      <c r="G66" s="664" t="n"/>
      <c r="H66" s="664" t="n"/>
      <c r="I66" s="664" t="n"/>
      <c r="J66" s="664" t="n"/>
      <c r="K66" s="664" t="n"/>
      <c r="L66" s="664" t="n"/>
      <c r="M66" s="664" t="n"/>
      <c r="N66" s="664" t="n"/>
      <c r="O66" s="664" t="n"/>
      <c r="P66" s="664" t="n"/>
      <c r="Q66" s="664" t="n"/>
      <c r="R66" s="664" t="n"/>
      <c r="S66" s="664" t="n"/>
      <c r="T66" s="664" t="n"/>
      <c r="U66" s="664" t="n"/>
      <c r="V66" s="664" t="n"/>
    </row>
    <row r="67">
      <c r="A67" s="664" t="n"/>
      <c r="B67" s="664" t="n"/>
      <c r="C67" s="225" t="n"/>
      <c r="D67" s="225" t="n"/>
      <c r="E67" s="225" t="n"/>
      <c r="F67" s="664" t="n"/>
      <c r="G67" s="664" t="n"/>
      <c r="H67" s="664" t="n"/>
      <c r="I67" s="664" t="n"/>
      <c r="J67" s="664" t="n"/>
      <c r="K67" s="664" t="n"/>
      <c r="L67" s="664" t="n"/>
      <c r="M67" s="664" t="n"/>
      <c r="N67" s="664" t="n"/>
      <c r="O67" s="664" t="n"/>
      <c r="P67" s="664" t="n"/>
      <c r="Q67" s="664" t="n"/>
      <c r="R67" s="664" t="n"/>
      <c r="S67" s="664" t="n"/>
      <c r="T67" s="664" t="n"/>
      <c r="U67" s="664" t="n"/>
      <c r="V67" s="664" t="n"/>
    </row>
    <row r="68">
      <c r="A68" s="664" t="n"/>
      <c r="B68" s="664" t="n"/>
      <c r="C68" s="225" t="n"/>
      <c r="D68" s="225" t="n"/>
      <c r="E68" s="225" t="n"/>
      <c r="F68" s="664" t="n"/>
      <c r="G68" s="664" t="n"/>
      <c r="H68" s="664" t="n"/>
      <c r="I68" s="664" t="n"/>
      <c r="J68" s="664" t="n"/>
      <c r="K68" s="664" t="n"/>
      <c r="L68" s="664" t="n"/>
      <c r="M68" s="664" t="n"/>
      <c r="N68" s="664" t="n"/>
      <c r="O68" s="664" t="n"/>
      <c r="P68" s="664" t="n"/>
      <c r="Q68" s="664" t="n"/>
      <c r="R68" s="664" t="n"/>
      <c r="S68" s="664" t="n"/>
      <c r="T68" s="664" t="n"/>
      <c r="U68" s="664" t="n"/>
      <c r="V68" s="664" t="n"/>
    </row>
    <row r="69">
      <c r="A69" s="664" t="n"/>
      <c r="B69" s="664" t="n"/>
      <c r="C69" s="225" t="n"/>
      <c r="D69" s="225" t="n"/>
      <c r="E69" s="225" t="n"/>
      <c r="F69" s="664" t="n"/>
      <c r="G69" s="664" t="n"/>
      <c r="H69" s="664" t="n"/>
      <c r="I69" s="664" t="n"/>
      <c r="J69" s="664" t="n"/>
      <c r="K69" s="664" t="n"/>
      <c r="L69" s="664" t="n"/>
      <c r="M69" s="664" t="n"/>
      <c r="N69" s="664" t="n"/>
      <c r="O69" s="664" t="n"/>
      <c r="P69" s="664" t="n"/>
      <c r="Q69" s="664" t="n"/>
      <c r="R69" s="664" t="n"/>
      <c r="S69" s="664" t="n"/>
      <c r="T69" s="664" t="n"/>
      <c r="U69" s="664" t="n"/>
      <c r="V69" s="664" t="n"/>
    </row>
    <row r="70">
      <c r="A70" s="664" t="n"/>
      <c r="B70" s="664" t="n"/>
      <c r="C70" s="225" t="n"/>
      <c r="D70" s="225" t="n"/>
      <c r="E70" s="225" t="n"/>
      <c r="F70" s="664" t="n"/>
      <c r="G70" s="664" t="n"/>
      <c r="H70" s="664" t="n"/>
      <c r="I70" s="664" t="n"/>
      <c r="J70" s="664" t="n"/>
      <c r="K70" s="664" t="n"/>
      <c r="L70" s="664" t="n"/>
      <c r="M70" s="664" t="n"/>
      <c r="N70" s="664" t="n"/>
      <c r="O70" s="664" t="n"/>
      <c r="P70" s="664" t="n"/>
      <c r="Q70" s="664" t="n"/>
      <c r="R70" s="664" t="n"/>
      <c r="S70" s="664" t="n"/>
      <c r="T70" s="664" t="n"/>
      <c r="U70" s="664" t="n"/>
      <c r="V70" s="664" t="n"/>
    </row>
    <row r="71">
      <c r="A71" s="664" t="n"/>
      <c r="B71" s="664" t="n"/>
      <c r="C71" s="225" t="n"/>
      <c r="D71" s="225" t="n"/>
      <c r="E71" s="225" t="n"/>
      <c r="F71" s="664" t="n"/>
      <c r="G71" s="664" t="n"/>
      <c r="H71" s="664" t="n"/>
      <c r="I71" s="664" t="n"/>
      <c r="J71" s="664" t="n"/>
      <c r="K71" s="664" t="n"/>
      <c r="L71" s="664" t="n"/>
      <c r="M71" s="664" t="n"/>
      <c r="N71" s="664" t="n"/>
      <c r="O71" s="664" t="n"/>
      <c r="P71" s="664" t="n"/>
      <c r="Q71" s="664" t="n"/>
      <c r="R71" s="664" t="n"/>
      <c r="S71" s="664" t="n"/>
      <c r="T71" s="664" t="n"/>
      <c r="U71" s="664" t="n"/>
      <c r="V71" s="664" t="n"/>
    </row>
    <row r="72">
      <c r="A72" s="664" t="n"/>
      <c r="B72" s="664" t="n"/>
      <c r="C72" s="225" t="n"/>
      <c r="D72" s="225" t="n"/>
      <c r="E72" s="225" t="n"/>
      <c r="F72" s="664" t="n"/>
      <c r="G72" s="664" t="n"/>
      <c r="H72" s="664" t="n"/>
      <c r="I72" s="664" t="n"/>
      <c r="J72" s="664" t="n"/>
      <c r="K72" s="664" t="n"/>
      <c r="L72" s="664" t="n"/>
      <c r="M72" s="664" t="n"/>
      <c r="N72" s="664" t="n"/>
      <c r="O72" s="664" t="n"/>
      <c r="P72" s="664" t="n"/>
      <c r="Q72" s="664" t="n"/>
      <c r="R72" s="664" t="n"/>
      <c r="S72" s="664" t="n"/>
      <c r="T72" s="664" t="n"/>
      <c r="U72" s="664" t="n"/>
      <c r="V72" s="664" t="n"/>
    </row>
    <row r="73">
      <c r="A73" s="664" t="n"/>
      <c r="B73" s="664" t="n"/>
      <c r="C73" s="225" t="n"/>
      <c r="D73" s="225" t="n"/>
      <c r="E73" s="225" t="n"/>
      <c r="F73" s="664" t="n"/>
      <c r="G73" s="664" t="n"/>
      <c r="H73" s="664" t="n"/>
      <c r="I73" s="664" t="n"/>
      <c r="J73" s="664" t="n"/>
      <c r="K73" s="664" t="n"/>
      <c r="L73" s="664" t="n"/>
      <c r="M73" s="664" t="n"/>
      <c r="N73" s="664" t="n"/>
      <c r="O73" s="664" t="n"/>
      <c r="P73" s="664" t="n"/>
      <c r="Q73" s="664" t="n"/>
      <c r="R73" s="664" t="n"/>
      <c r="S73" s="664" t="n"/>
      <c r="T73" s="664" t="n"/>
      <c r="U73" s="664" t="n"/>
      <c r="V73" s="664" t="n"/>
    </row>
    <row r="74">
      <c r="A74" s="664" t="n"/>
      <c r="B74" s="664" t="n"/>
      <c r="C74" s="225" t="n"/>
      <c r="D74" s="225" t="n"/>
      <c r="E74" s="225" t="n"/>
      <c r="F74" s="664" t="n"/>
      <c r="G74" s="664" t="n"/>
      <c r="H74" s="664" t="n"/>
      <c r="I74" s="664" t="n"/>
      <c r="J74" s="664" t="n"/>
      <c r="K74" s="664" t="n"/>
      <c r="L74" s="664" t="n"/>
      <c r="M74" s="664" t="n"/>
      <c r="N74" s="664" t="n"/>
      <c r="O74" s="664" t="n"/>
      <c r="P74" s="664" t="n"/>
      <c r="Q74" s="664" t="n"/>
      <c r="R74" s="664" t="n"/>
      <c r="S74" s="664" t="n"/>
      <c r="T74" s="664" t="n"/>
      <c r="U74" s="664" t="n"/>
      <c r="V74" s="664" t="n"/>
    </row>
    <row r="75">
      <c r="A75" s="664" t="n"/>
      <c r="B75" s="664" t="n"/>
      <c r="C75" s="225" t="n"/>
      <c r="D75" s="225" t="n"/>
      <c r="E75" s="225" t="n"/>
      <c r="F75" s="664" t="n"/>
      <c r="G75" s="664" t="n"/>
      <c r="H75" s="664" t="n"/>
      <c r="I75" s="664" t="n"/>
      <c r="J75" s="664" t="n"/>
      <c r="K75" s="664" t="n"/>
      <c r="L75" s="664" t="n"/>
      <c r="M75" s="664" t="n"/>
      <c r="N75" s="664" t="n"/>
      <c r="O75" s="664" t="n"/>
      <c r="P75" s="664" t="n"/>
      <c r="Q75" s="664" t="n"/>
      <c r="R75" s="664" t="n"/>
      <c r="S75" s="664" t="n"/>
      <c r="T75" s="664" t="n"/>
      <c r="U75" s="664" t="n"/>
      <c r="V75" s="664" t="n"/>
    </row>
    <row r="76">
      <c r="A76" s="664" t="n"/>
      <c r="B76" s="664" t="n"/>
      <c r="C76" s="225" t="n"/>
      <c r="D76" s="225" t="n"/>
      <c r="E76" s="225" t="n"/>
      <c r="F76" s="664" t="n"/>
      <c r="G76" s="664" t="n"/>
      <c r="H76" s="664" t="n"/>
      <c r="I76" s="664" t="n"/>
      <c r="J76" s="664" t="n"/>
      <c r="K76" s="664" t="n"/>
      <c r="L76" s="664" t="n"/>
      <c r="M76" s="664" t="n"/>
      <c r="N76" s="664" t="n"/>
      <c r="O76" s="664" t="n"/>
      <c r="P76" s="664" t="n"/>
      <c r="Q76" s="664" t="n"/>
      <c r="R76" s="664" t="n"/>
      <c r="S76" s="664" t="n"/>
      <c r="T76" s="664" t="n"/>
      <c r="U76" s="664" t="n"/>
      <c r="V76" s="664" t="n"/>
    </row>
    <row r="77">
      <c r="A77" s="664" t="n"/>
      <c r="B77" s="664" t="n"/>
      <c r="C77" s="225" t="n"/>
      <c r="D77" s="225" t="n"/>
      <c r="E77" s="225" t="n"/>
      <c r="F77" s="664" t="n"/>
      <c r="G77" s="664" t="n"/>
      <c r="H77" s="664" t="n"/>
      <c r="I77" s="664" t="n"/>
      <c r="J77" s="664" t="n"/>
      <c r="K77" s="664" t="n"/>
      <c r="L77" s="664" t="n"/>
      <c r="M77" s="664" t="n"/>
      <c r="N77" s="664" t="n"/>
      <c r="O77" s="664" t="n"/>
      <c r="P77" s="664" t="n"/>
      <c r="Q77" s="664" t="n"/>
      <c r="R77" s="664" t="n"/>
      <c r="S77" s="664" t="n"/>
      <c r="T77" s="664" t="n"/>
      <c r="U77" s="664" t="n"/>
      <c r="V77" s="664" t="n"/>
    </row>
    <row r="78">
      <c r="A78" s="664" t="n"/>
      <c r="B78" s="664" t="n"/>
      <c r="C78" s="225" t="n"/>
      <c r="D78" s="225" t="n"/>
      <c r="E78" s="225" t="n"/>
      <c r="F78" s="664" t="n"/>
      <c r="G78" s="664" t="n"/>
      <c r="H78" s="664" t="n"/>
      <c r="I78" s="664" t="n"/>
      <c r="J78" s="664" t="n"/>
      <c r="K78" s="664" t="n"/>
      <c r="L78" s="664" t="n"/>
      <c r="M78" s="664" t="n"/>
      <c r="N78" s="664" t="n"/>
      <c r="O78" s="664" t="n"/>
      <c r="P78" s="664" t="n"/>
      <c r="Q78" s="664" t="n"/>
      <c r="R78" s="664" t="n"/>
      <c r="S78" s="664" t="n"/>
      <c r="T78" s="664" t="n"/>
      <c r="U78" s="664" t="n"/>
      <c r="V78" s="664" t="n"/>
    </row>
    <row r="79" ht="15" customHeight="1" thickBot="1">
      <c r="A79" s="664" t="n"/>
      <c r="B79" s="664" t="n"/>
      <c r="C79" s="225" t="n"/>
      <c r="D79" s="225" t="n"/>
      <c r="E79" s="225" t="n"/>
      <c r="F79" s="664" t="n"/>
      <c r="G79" s="664" t="n"/>
      <c r="H79" s="664" t="n"/>
      <c r="I79" s="664" t="n"/>
      <c r="J79" s="664" t="n"/>
      <c r="K79" s="664" t="n"/>
      <c r="L79" s="664" t="n"/>
      <c r="M79" s="664" t="n"/>
      <c r="N79" s="664" t="n"/>
      <c r="O79" s="664" t="n"/>
      <c r="P79" s="664" t="n"/>
      <c r="Q79" s="664" t="n"/>
      <c r="R79" s="664" t="n"/>
      <c r="S79" s="664" t="n"/>
      <c r="T79" s="664" t="n"/>
      <c r="U79" s="664" t="n"/>
      <c r="V79" s="664" t="n"/>
    </row>
    <row r="80" ht="15" customHeight="1" thickBot="1">
      <c r="A80" s="773" t="inlineStr">
        <is>
          <t>Action tracker</t>
        </is>
      </c>
      <c r="B80" s="696" t="n"/>
      <c r="C80" s="696" t="n"/>
      <c r="D80" s="696" t="n"/>
      <c r="E80" s="696" t="n"/>
      <c r="F80" s="774" t="n"/>
      <c r="G80" s="664" t="n"/>
      <c r="H80" s="773" t="inlineStr">
        <is>
          <t>Handshake Escalations/Support required</t>
        </is>
      </c>
      <c r="I80" s="696" t="n"/>
      <c r="J80" s="696" t="n"/>
      <c r="K80" s="696" t="n"/>
      <c r="L80" s="696" t="n"/>
      <c r="M80" s="696" t="n"/>
      <c r="N80" s="696" t="n"/>
      <c r="O80" s="774" t="n"/>
      <c r="P80" s="664" t="n"/>
      <c r="Q80" s="664" t="n"/>
      <c r="R80" s="664" t="n"/>
      <c r="S80" s="664" t="n"/>
      <c r="T80" s="664" t="n"/>
      <c r="U80" s="664" t="n"/>
      <c r="V80" s="664" t="n"/>
    </row>
    <row r="81" ht="41.85" customFormat="1" customHeight="1" s="15">
      <c r="A81" s="193" t="inlineStr">
        <is>
          <t>Red KPI</t>
        </is>
      </c>
      <c r="B81" s="192" t="inlineStr">
        <is>
          <t>Root cause description</t>
        </is>
      </c>
      <c r="C81" s="222" t="inlineStr">
        <is>
          <t>Corrective action</t>
        </is>
      </c>
      <c r="D81" s="223" t="inlineStr">
        <is>
          <t>Owner</t>
        </is>
      </c>
      <c r="E81" s="224" t="inlineStr">
        <is>
          <t>Due Date</t>
        </is>
      </c>
      <c r="F81" s="194" t="inlineStr">
        <is>
          <t>Status</t>
        </is>
      </c>
      <c r="G81" s="664" t="n"/>
      <c r="H81" s="195" t="inlineStr">
        <is>
          <t>KPI Name</t>
        </is>
      </c>
      <c r="I81" s="196" t="inlineStr">
        <is>
          <t>Key Dependency</t>
        </is>
      </c>
      <c r="J81" s="196" t="inlineStr">
        <is>
          <t>Function Name</t>
        </is>
      </c>
      <c r="K81" s="197" t="inlineStr">
        <is>
          <t>What action/s from
 Function is expected</t>
        </is>
      </c>
      <c r="L81" s="197" t="inlineStr">
        <is>
          <t>Success measure for
Action Closure</t>
        </is>
      </c>
      <c r="M81" s="198" t="inlineStr">
        <is>
          <t>Handshaked
(Yes or No)</t>
        </is>
      </c>
      <c r="N81" s="199" t="inlineStr">
        <is>
          <t>Open issue description</t>
        </is>
      </c>
      <c r="O81" s="200" t="inlineStr">
        <is>
          <t>Solutions to
Open issues</t>
        </is>
      </c>
      <c r="P81" s="250" t="n"/>
      <c r="Q81" s="250" t="n"/>
      <c r="R81" s="250" t="n"/>
      <c r="S81" s="250" t="n"/>
      <c r="T81" s="250" t="n"/>
      <c r="U81" s="250" t="n"/>
      <c r="V81" s="250" t="n"/>
    </row>
    <row r="82" ht="16.5" customHeight="1">
      <c r="A82" s="598" t="inlineStr">
        <is>
          <t>Sales - 1) 1M gap vs June 2) PMA vs Actual HS AOP different (78.9M vs 77.4M) 3) CLV project delay AVO, Zenition extention</t>
        </is>
      </c>
      <c r="B82" s="601" t="inlineStr">
        <is>
          <t xml:space="preserve"> - Underpinning Gap
- PMA / DPR reporting</t>
        </is>
      </c>
      <c r="C82" s="775" t="inlineStr">
        <is>
          <t>- Regional alinments and Handshakes
- Final techpass to be validated as per Handshake AOP</t>
        </is>
      </c>
      <c r="D82" s="775" t="inlineStr">
        <is>
          <t>- Ketan</t>
        </is>
      </c>
      <c r="E82" s="603" t="inlineStr">
        <is>
          <t>15/03/2026</t>
        </is>
      </c>
      <c r="F82" s="657" t="inlineStr">
        <is>
          <t xml:space="preserve"> </t>
        </is>
      </c>
      <c r="G82" s="664" t="n"/>
      <c r="H82" s="776" t="inlineStr">
        <is>
          <t>Sales</t>
        </is>
      </c>
      <c r="I82" s="777" t="inlineStr">
        <is>
          <t>CLV Projects delivery timeline Adherance</t>
        </is>
      </c>
      <c r="J82" s="777" t="inlineStr">
        <is>
          <t>R&amp;D PMO</t>
        </is>
      </c>
      <c r="K82" s="777" t="inlineStr">
        <is>
          <t>AVO - Q1 2026 ; Zenition Extention - Q3 2026</t>
        </is>
      </c>
      <c r="L82" s="777" t="inlineStr">
        <is>
          <t>Project adherence (To do ratio)</t>
        </is>
      </c>
      <c r="M82" s="654" t="inlineStr">
        <is>
          <t>Yes</t>
        </is>
      </c>
      <c r="N82" s="655" t="inlineStr">
        <is>
          <t xml:space="preserve"> </t>
        </is>
      </c>
      <c r="O82" s="656" t="inlineStr">
        <is>
          <t xml:space="preserve"> </t>
        </is>
      </c>
      <c r="P82" s="664" t="n"/>
      <c r="Q82" s="664" t="n"/>
      <c r="R82" s="664" t="n"/>
      <c r="S82" s="664" t="n"/>
      <c r="T82" s="664" t="n"/>
      <c r="U82" s="664" t="n"/>
      <c r="V82" s="664" t="n"/>
    </row>
    <row r="83" ht="18" customHeight="1">
      <c r="A83" s="778" t="n"/>
      <c r="B83" s="687" t="n"/>
      <c r="C83" s="687" t="n"/>
      <c r="D83" s="687" t="n"/>
      <c r="E83" s="687" t="n"/>
      <c r="F83" s="779" t="n"/>
      <c r="G83" s="664" t="n"/>
      <c r="H83" s="778" t="n"/>
      <c r="I83" s="687" t="n"/>
      <c r="J83" s="687" t="n"/>
      <c r="K83" s="687" t="n"/>
      <c r="L83" s="687" t="n"/>
      <c r="M83" s="685" t="n"/>
      <c r="N83" s="685" t="n"/>
      <c r="O83" s="733" t="n"/>
      <c r="P83" s="664" t="n"/>
      <c r="Q83" s="664" t="n"/>
      <c r="R83" s="664" t="n"/>
      <c r="S83" s="664" t="n"/>
      <c r="T83" s="664" t="n"/>
      <c r="U83" s="664" t="n"/>
      <c r="V83" s="664" t="n"/>
    </row>
    <row r="84" ht="17.1" customHeight="1">
      <c r="A84" s="591" t="inlineStr">
        <is>
          <t xml:space="preserve"> </t>
        </is>
      </c>
      <c r="B84" s="593" t="inlineStr">
        <is>
          <t xml:space="preserve"> </t>
        </is>
      </c>
      <c r="C84" s="595" t="inlineStr">
        <is>
          <t xml:space="preserve"> </t>
        </is>
      </c>
      <c r="D84" s="595" t="inlineStr">
        <is>
          <t xml:space="preserve"> </t>
        </is>
      </c>
      <c r="E84" s="595" t="inlineStr">
        <is>
          <t xml:space="preserve"> </t>
        </is>
      </c>
      <c r="F84" s="657" t="inlineStr">
        <is>
          <t xml:space="preserve"> </t>
        </is>
      </c>
      <c r="G84" s="664" t="n"/>
      <c r="H84" s="591" t="inlineStr">
        <is>
          <t xml:space="preserve"> </t>
        </is>
      </c>
      <c r="I84" s="655" t="inlineStr">
        <is>
          <t xml:space="preserve"> </t>
        </is>
      </c>
      <c r="J84" s="655" t="inlineStr">
        <is>
          <t xml:space="preserve"> </t>
        </is>
      </c>
      <c r="K84" s="655" t="inlineStr">
        <is>
          <t xml:space="preserve"> </t>
        </is>
      </c>
      <c r="L84" s="655" t="inlineStr">
        <is>
          <t xml:space="preserve"> </t>
        </is>
      </c>
      <c r="M84" s="655" t="inlineStr">
        <is>
          <t xml:space="preserve"> </t>
        </is>
      </c>
      <c r="N84" s="655" t="inlineStr">
        <is>
          <t xml:space="preserve"> </t>
        </is>
      </c>
      <c r="O84" s="656" t="inlineStr">
        <is>
          <t xml:space="preserve"> </t>
        </is>
      </c>
      <c r="P84" s="664" t="n"/>
      <c r="Q84" s="664" t="n"/>
      <c r="R84" s="664" t="n"/>
      <c r="S84" s="664" t="n"/>
      <c r="T84" s="664" t="n"/>
      <c r="U84" s="664" t="n"/>
      <c r="V84" s="664" t="n"/>
    </row>
    <row r="85" ht="17.1" customHeight="1">
      <c r="A85" s="732" t="n"/>
      <c r="B85" s="685" t="n"/>
      <c r="C85" s="685" t="n"/>
      <c r="D85" s="685" t="n"/>
      <c r="E85" s="685" t="n"/>
      <c r="F85" s="779" t="n"/>
      <c r="G85" s="664" t="n"/>
      <c r="H85" s="732" t="n"/>
      <c r="I85" s="685" t="n"/>
      <c r="J85" s="685" t="n"/>
      <c r="K85" s="685" t="n"/>
      <c r="L85" s="685" t="n"/>
      <c r="M85" s="685" t="n"/>
      <c r="N85" s="685" t="n"/>
      <c r="O85" s="733" t="n"/>
      <c r="P85" s="664" t="n"/>
      <c r="Q85" s="664" t="n"/>
      <c r="R85" s="664" t="n"/>
      <c r="S85" s="664" t="n"/>
      <c r="T85" s="664" t="n"/>
      <c r="U85" s="664" t="n"/>
      <c r="V85" s="664" t="n"/>
    </row>
    <row r="86" ht="17.1" customHeight="1">
      <c r="A86" s="591" t="inlineStr">
        <is>
          <t xml:space="preserve"> </t>
        </is>
      </c>
      <c r="B86" s="593" t="inlineStr">
        <is>
          <t xml:space="preserve"> </t>
        </is>
      </c>
      <c r="C86" s="595" t="inlineStr">
        <is>
          <t xml:space="preserve"> </t>
        </is>
      </c>
      <c r="D86" s="595" t="inlineStr">
        <is>
          <t xml:space="preserve"> </t>
        </is>
      </c>
      <c r="E86" s="595" t="inlineStr">
        <is>
          <t xml:space="preserve"> </t>
        </is>
      </c>
      <c r="F86" s="657" t="inlineStr">
        <is>
          <t xml:space="preserve"> </t>
        </is>
      </c>
      <c r="G86" s="664" t="n"/>
      <c r="H86" s="591" t="inlineStr">
        <is>
          <t xml:space="preserve"> </t>
        </is>
      </c>
      <c r="I86" s="655" t="inlineStr">
        <is>
          <t xml:space="preserve"> </t>
        </is>
      </c>
      <c r="J86" s="655" t="inlineStr">
        <is>
          <t xml:space="preserve"> </t>
        </is>
      </c>
      <c r="K86" s="655" t="inlineStr">
        <is>
          <t xml:space="preserve"> </t>
        </is>
      </c>
      <c r="L86" s="655" t="inlineStr">
        <is>
          <t xml:space="preserve"> </t>
        </is>
      </c>
      <c r="M86" s="655" t="inlineStr">
        <is>
          <t xml:space="preserve"> </t>
        </is>
      </c>
      <c r="N86" s="655" t="inlineStr">
        <is>
          <t xml:space="preserve"> </t>
        </is>
      </c>
      <c r="O86" s="656" t="inlineStr">
        <is>
          <t xml:space="preserve"> </t>
        </is>
      </c>
      <c r="P86" s="664" t="n"/>
      <c r="Q86" s="664" t="n"/>
      <c r="R86" s="664" t="n"/>
      <c r="S86" s="664" t="n"/>
      <c r="T86" s="664" t="n"/>
      <c r="U86" s="664" t="n"/>
      <c r="V86" s="664" t="n"/>
    </row>
    <row r="87" ht="16.5" customHeight="1">
      <c r="A87" s="732" t="n"/>
      <c r="B87" s="685" t="n"/>
      <c r="C87" s="685" t="n"/>
      <c r="D87" s="685" t="n"/>
      <c r="E87" s="685" t="n"/>
      <c r="F87" s="779" t="n"/>
      <c r="G87" s="664" t="n"/>
      <c r="H87" s="732" t="n"/>
      <c r="I87" s="685" t="n"/>
      <c r="J87" s="685" t="n"/>
      <c r="K87" s="685" t="n"/>
      <c r="L87" s="685" t="n"/>
      <c r="M87" s="685" t="n"/>
      <c r="N87" s="685" t="n"/>
      <c r="O87" s="733" t="n"/>
      <c r="P87" s="664" t="n"/>
      <c r="Q87" s="664" t="n"/>
      <c r="R87" s="664" t="n"/>
      <c r="S87" s="664" t="n"/>
      <c r="T87" s="664" t="n"/>
      <c r="U87" s="664" t="n"/>
      <c r="V87" s="664" t="n"/>
    </row>
    <row r="88" ht="16.5" customHeight="1">
      <c r="A88" s="591" t="inlineStr">
        <is>
          <t xml:space="preserve"> </t>
        </is>
      </c>
      <c r="B88" s="593" t="inlineStr">
        <is>
          <t xml:space="preserve"> </t>
        </is>
      </c>
      <c r="C88" s="595" t="inlineStr">
        <is>
          <t xml:space="preserve"> </t>
        </is>
      </c>
      <c r="D88" s="595" t="inlineStr">
        <is>
          <t xml:space="preserve"> </t>
        </is>
      </c>
      <c r="E88" s="595" t="inlineStr">
        <is>
          <t xml:space="preserve"> </t>
        </is>
      </c>
      <c r="F88" s="657" t="inlineStr">
        <is>
          <t xml:space="preserve"> </t>
        </is>
      </c>
      <c r="G88" s="664" t="n"/>
      <c r="H88" s="591" t="inlineStr">
        <is>
          <t xml:space="preserve"> </t>
        </is>
      </c>
      <c r="I88" s="655" t="inlineStr">
        <is>
          <t xml:space="preserve"> </t>
        </is>
      </c>
      <c r="J88" s="655" t="inlineStr">
        <is>
          <t xml:space="preserve"> </t>
        </is>
      </c>
      <c r="K88" s="655" t="inlineStr">
        <is>
          <t xml:space="preserve"> </t>
        </is>
      </c>
      <c r="L88" s="655" t="inlineStr">
        <is>
          <t xml:space="preserve"> </t>
        </is>
      </c>
      <c r="M88" s="655" t="inlineStr">
        <is>
          <t xml:space="preserve"> </t>
        </is>
      </c>
      <c r="N88" s="655" t="inlineStr">
        <is>
          <t xml:space="preserve"> </t>
        </is>
      </c>
      <c r="O88" s="656" t="inlineStr">
        <is>
          <t xml:space="preserve"> </t>
        </is>
      </c>
      <c r="P88" s="664" t="n"/>
      <c r="Q88" s="664" t="n"/>
      <c r="R88" s="664" t="n"/>
      <c r="S88" s="664" t="n"/>
      <c r="T88" s="664" t="n"/>
      <c r="U88" s="664" t="n"/>
      <c r="V88" s="664" t="n"/>
    </row>
    <row r="89" ht="16.5" customHeight="1">
      <c r="A89" s="732" t="n"/>
      <c r="B89" s="685" t="n"/>
      <c r="C89" s="685" t="n"/>
      <c r="D89" s="685" t="n"/>
      <c r="E89" s="685" t="n"/>
      <c r="F89" s="779" t="n"/>
      <c r="G89" s="664" t="n"/>
      <c r="H89" s="732" t="n"/>
      <c r="I89" s="685" t="n"/>
      <c r="J89" s="685" t="n"/>
      <c r="K89" s="685" t="n"/>
      <c r="L89" s="685" t="n"/>
      <c r="M89" s="685" t="n"/>
      <c r="N89" s="685" t="n"/>
      <c r="O89" s="733" t="n"/>
      <c r="P89" s="664" t="n"/>
      <c r="Q89" s="664" t="n"/>
      <c r="R89" s="664" t="n"/>
      <c r="S89" s="664" t="n"/>
      <c r="T89" s="664" t="n"/>
      <c r="U89" s="664" t="n"/>
      <c r="V89" s="664" t="n"/>
    </row>
    <row r="90" ht="16.5" customHeight="1">
      <c r="A90" s="591" t="inlineStr">
        <is>
          <t xml:space="preserve"> </t>
        </is>
      </c>
      <c r="B90" s="593" t="inlineStr">
        <is>
          <t xml:space="preserve"> </t>
        </is>
      </c>
      <c r="C90" s="595" t="inlineStr">
        <is>
          <t xml:space="preserve"> </t>
        </is>
      </c>
      <c r="D90" s="595" t="inlineStr">
        <is>
          <t xml:space="preserve"> </t>
        </is>
      </c>
      <c r="E90" s="595" t="inlineStr">
        <is>
          <t xml:space="preserve"> </t>
        </is>
      </c>
      <c r="F90" s="657" t="inlineStr">
        <is>
          <t xml:space="preserve"> </t>
        </is>
      </c>
      <c r="G90" s="664" t="n"/>
      <c r="H90" s="591" t="inlineStr">
        <is>
          <t xml:space="preserve"> </t>
        </is>
      </c>
      <c r="I90" s="655" t="inlineStr">
        <is>
          <t xml:space="preserve"> </t>
        </is>
      </c>
      <c r="J90" s="655" t="inlineStr">
        <is>
          <t xml:space="preserve"> </t>
        </is>
      </c>
      <c r="K90" s="655" t="inlineStr">
        <is>
          <t xml:space="preserve"> </t>
        </is>
      </c>
      <c r="L90" s="655" t="inlineStr">
        <is>
          <t xml:space="preserve"> </t>
        </is>
      </c>
      <c r="M90" s="655" t="inlineStr">
        <is>
          <t xml:space="preserve"> </t>
        </is>
      </c>
      <c r="N90" s="655" t="inlineStr">
        <is>
          <t xml:space="preserve"> </t>
        </is>
      </c>
      <c r="O90" s="656" t="inlineStr">
        <is>
          <t xml:space="preserve"> </t>
        </is>
      </c>
      <c r="P90" s="664" t="n"/>
      <c r="Q90" s="664" t="n"/>
      <c r="R90" s="664" t="n"/>
      <c r="S90" s="664" t="n"/>
      <c r="T90" s="664" t="n"/>
      <c r="U90" s="664" t="n"/>
      <c r="V90" s="664" t="n"/>
    </row>
    <row r="91" ht="16.5" customHeight="1">
      <c r="A91" s="732" t="n"/>
      <c r="B91" s="685" t="n"/>
      <c r="C91" s="685" t="n"/>
      <c r="D91" s="685" t="n"/>
      <c r="E91" s="685" t="n"/>
      <c r="F91" s="779" t="n"/>
      <c r="G91" s="664" t="n"/>
      <c r="H91" s="732" t="n"/>
      <c r="I91" s="685" t="n"/>
      <c r="J91" s="685" t="n"/>
      <c r="K91" s="685" t="n"/>
      <c r="L91" s="685" t="n"/>
      <c r="M91" s="685" t="n"/>
      <c r="N91" s="685" t="n"/>
      <c r="O91" s="733" t="n"/>
      <c r="P91" s="664" t="n"/>
      <c r="Q91" s="664" t="n"/>
      <c r="R91" s="664" t="n"/>
      <c r="S91" s="664" t="n"/>
      <c r="T91" s="664" t="n"/>
      <c r="U91" s="664" t="n"/>
      <c r="V91" s="664" t="n"/>
    </row>
    <row r="92" ht="16.5" customHeight="1">
      <c r="A92" s="591" t="inlineStr">
        <is>
          <t xml:space="preserve"> </t>
        </is>
      </c>
      <c r="B92" s="593" t="inlineStr">
        <is>
          <t xml:space="preserve"> </t>
        </is>
      </c>
      <c r="C92" s="595" t="inlineStr">
        <is>
          <t xml:space="preserve"> </t>
        </is>
      </c>
      <c r="D92" s="595" t="inlineStr">
        <is>
          <t xml:space="preserve"> </t>
        </is>
      </c>
      <c r="E92" s="595" t="inlineStr">
        <is>
          <t xml:space="preserve"> </t>
        </is>
      </c>
      <c r="F92" s="657" t="inlineStr">
        <is>
          <t xml:space="preserve"> </t>
        </is>
      </c>
      <c r="G92" s="664" t="n"/>
      <c r="H92" s="591" t="inlineStr">
        <is>
          <t xml:space="preserve"> </t>
        </is>
      </c>
      <c r="I92" s="655" t="inlineStr">
        <is>
          <t xml:space="preserve"> </t>
        </is>
      </c>
      <c r="J92" s="655" t="inlineStr">
        <is>
          <t xml:space="preserve"> </t>
        </is>
      </c>
      <c r="K92" s="655" t="inlineStr">
        <is>
          <t xml:space="preserve"> </t>
        </is>
      </c>
      <c r="L92" s="655" t="inlineStr">
        <is>
          <t xml:space="preserve"> </t>
        </is>
      </c>
      <c r="M92" s="655" t="inlineStr">
        <is>
          <t xml:space="preserve"> </t>
        </is>
      </c>
      <c r="N92" s="655" t="inlineStr">
        <is>
          <t xml:space="preserve"> </t>
        </is>
      </c>
      <c r="O92" s="656" t="inlineStr">
        <is>
          <t xml:space="preserve"> </t>
        </is>
      </c>
      <c r="P92" s="664" t="n"/>
      <c r="Q92" s="664" t="n"/>
      <c r="R92" s="664" t="n"/>
      <c r="S92" s="664" t="n"/>
      <c r="T92" s="664" t="n"/>
      <c r="U92" s="664" t="n"/>
      <c r="V92" s="664" t="n"/>
    </row>
    <row r="93" ht="17.1" customHeight="1">
      <c r="A93" s="732" t="n"/>
      <c r="B93" s="685" t="n"/>
      <c r="C93" s="685" t="n"/>
      <c r="D93" s="685" t="n"/>
      <c r="E93" s="685" t="n"/>
      <c r="F93" s="733" t="n"/>
      <c r="H93" s="732" t="n"/>
      <c r="I93" s="685" t="n"/>
      <c r="J93" s="685" t="n"/>
      <c r="K93" s="685" t="n"/>
      <c r="L93" s="685" t="n"/>
      <c r="M93" s="685" t="n"/>
      <c r="N93" s="685" t="n"/>
      <c r="O93" s="733" t="n"/>
    </row>
    <row r="94" ht="15" customHeight="1" thickBot="1">
      <c r="F94" s="779" t="n"/>
      <c r="G94" s="664" t="n"/>
      <c r="H94" s="732" t="n"/>
      <c r="I94" s="685" t="n"/>
      <c r="J94" s="685" t="n"/>
      <c r="K94" s="685" t="n"/>
      <c r="L94" s="685" t="n"/>
      <c r="M94" s="685" t="n"/>
      <c r="N94" s="685" t="n"/>
      <c r="O94" s="733" t="n"/>
      <c r="P94" s="664" t="n"/>
      <c r="Q94" s="664" t="n"/>
      <c r="R94" s="664" t="n"/>
      <c r="S94" s="664" t="n"/>
      <c r="T94" s="664" t="n"/>
      <c r="U94" s="664" t="n"/>
      <c r="V94" s="664" t="n"/>
    </row>
    <row r="95">
      <c r="A95" s="251" t="inlineStr">
        <is>
          <t>Action not assigned</t>
        </is>
      </c>
      <c r="B95" s="251" t="inlineStr">
        <is>
          <t>Action assigned</t>
        </is>
      </c>
      <c r="C95" s="252" t="inlineStr">
        <is>
          <t>Action started</t>
        </is>
      </c>
      <c r="D95" s="252" t="inlineStr">
        <is>
          <t>Action in progress</t>
        </is>
      </c>
      <c r="E95" s="780" t="inlineStr">
        <is>
          <t>Action completed</t>
        </is>
      </c>
      <c r="F95" s="781" t="n"/>
      <c r="G95" s="664" t="n"/>
      <c r="H95" s="664" t="n"/>
      <c r="I95" s="664" t="n"/>
      <c r="J95" s="664" t="n"/>
      <c r="K95" s="664" t="n"/>
      <c r="L95" s="664" t="n"/>
      <c r="M95" s="664" t="n"/>
      <c r="N95" s="664" t="n"/>
      <c r="O95" s="664" t="n"/>
      <c r="P95" s="664" t="n"/>
      <c r="Q95" s="664" t="n"/>
      <c r="R95" s="664" t="n"/>
      <c r="S95" s="664" t="n"/>
      <c r="T95" s="664" t="n"/>
      <c r="U95" s="664" t="n"/>
      <c r="V95" s="664" t="n"/>
    </row>
    <row r="96">
      <c r="A96" s="664" t="n"/>
      <c r="B96" s="664" t="n"/>
      <c r="C96" s="225" t="n"/>
      <c r="D96" s="225" t="n"/>
      <c r="E96" s="225" t="n"/>
      <c r="F96" s="664" t="n"/>
      <c r="G96" s="664" t="n"/>
      <c r="H96" s="664" t="n"/>
      <c r="I96" s="664" t="n"/>
      <c r="J96" s="664" t="n"/>
      <c r="K96" s="664" t="n"/>
      <c r="L96" s="664" t="n"/>
      <c r="M96" s="664" t="n"/>
      <c r="N96" s="664" t="n"/>
      <c r="O96" s="664" t="n"/>
      <c r="P96" s="664" t="n"/>
      <c r="Q96" s="664" t="n"/>
      <c r="R96" s="664" t="n"/>
      <c r="S96" s="664" t="n"/>
      <c r="T96" s="664" t="n"/>
      <c r="U96" s="664" t="n"/>
      <c r="V96" s="664" t="n"/>
    </row>
    <row r="97">
      <c r="A97" s="664" t="n"/>
      <c r="B97" s="664" t="n"/>
      <c r="C97" s="225" t="n"/>
      <c r="D97" s="225" t="n"/>
      <c r="E97" s="225" t="n"/>
      <c r="F97" s="664" t="n"/>
      <c r="G97" s="664" t="n"/>
      <c r="H97" s="664" t="n"/>
      <c r="J97" s="664" t="n"/>
      <c r="K97" s="664" t="n"/>
      <c r="L97" s="664" t="n"/>
      <c r="M97" s="664" t="n"/>
      <c r="N97" s="664" t="n"/>
      <c r="O97" s="664" t="n"/>
      <c r="P97" s="664" t="n"/>
      <c r="Q97" s="664" t="n"/>
      <c r="R97" s="664" t="n"/>
      <c r="S97" s="664" t="n"/>
      <c r="T97" s="664" t="n"/>
      <c r="U97" s="664" t="n"/>
      <c r="V97" s="664" t="n"/>
    </row>
    <row r="98">
      <c r="A98" s="664" t="n"/>
      <c r="B98" s="664" t="n"/>
      <c r="C98" s="225" t="n"/>
      <c r="D98" s="225" t="n"/>
      <c r="E98" s="225" t="n"/>
      <c r="F98" s="664" t="n"/>
      <c r="G98" s="664" t="n"/>
      <c r="H98" s="664" t="n"/>
      <c r="J98" s="664" t="n"/>
      <c r="K98" s="664" t="n"/>
      <c r="L98" s="664" t="n"/>
      <c r="M98" s="664" t="n"/>
      <c r="N98" s="664" t="n"/>
      <c r="O98" s="664" t="n"/>
      <c r="P98" s="664" t="n"/>
      <c r="Q98" s="664" t="n"/>
      <c r="R98" s="664" t="n"/>
      <c r="S98" s="664" t="n"/>
      <c r="T98" s="664" t="n"/>
      <c r="U98" s="664" t="n"/>
      <c r="V98" s="664" t="n"/>
    </row>
    <row r="99">
      <c r="A99" s="664" t="n"/>
      <c r="B99" s="664" t="n"/>
      <c r="C99" s="225" t="n"/>
      <c r="D99" s="225" t="n"/>
      <c r="E99" s="225" t="n"/>
      <c r="F99" s="664" t="n"/>
      <c r="G99" s="664" t="n"/>
      <c r="H99" s="664" t="n"/>
      <c r="J99" s="664" t="n"/>
      <c r="K99" s="664" t="n"/>
      <c r="L99" s="664" t="n"/>
      <c r="M99" s="664" t="n"/>
      <c r="N99" s="664" t="n"/>
      <c r="O99" s="664" t="n"/>
      <c r="P99" s="664" t="n"/>
      <c r="Q99" s="664" t="n"/>
      <c r="R99" s="664" t="n"/>
      <c r="S99" s="664" t="n"/>
      <c r="T99" s="664" t="n"/>
      <c r="U99" s="664" t="n"/>
      <c r="V99" s="664" t="n"/>
    </row>
    <row r="100">
      <c r="A100" s="664" t="n"/>
      <c r="B100" s="664" t="n"/>
      <c r="C100" s="225" t="n"/>
      <c r="D100" s="225" t="n"/>
      <c r="E100" s="225" t="n"/>
      <c r="F100" s="664" t="n"/>
      <c r="G100" s="664" t="n"/>
      <c r="H100" s="664" t="n"/>
      <c r="I100" s="664" t="n"/>
      <c r="J100" s="664" t="n"/>
      <c r="K100" s="664" t="n"/>
      <c r="L100" s="664" t="n"/>
      <c r="M100" s="664" t="n"/>
      <c r="N100" s="664" t="n"/>
      <c r="O100" s="664" t="n"/>
      <c r="P100" s="664" t="n"/>
      <c r="Q100" s="664" t="n"/>
      <c r="R100" s="664" t="n"/>
      <c r="S100" s="664" t="n"/>
      <c r="T100" s="664" t="n"/>
      <c r="U100" s="664" t="n"/>
      <c r="V100" s="664" t="n"/>
    </row>
  </sheetData>
  <mergeCells count="149">
    <mergeCell ref="F84:F85"/>
    <mergeCell ref="H82:H83"/>
    <mergeCell ref="E92:E93"/>
    <mergeCell ref="J82:J83"/>
    <mergeCell ref="E8:E9"/>
    <mergeCell ref="K88:K89"/>
    <mergeCell ref="G8:G9"/>
    <mergeCell ref="M88:M89"/>
    <mergeCell ref="D22:D23"/>
    <mergeCell ref="E88:E89"/>
    <mergeCell ref="B86:B87"/>
    <mergeCell ref="D86:D87"/>
    <mergeCell ref="F86:F87"/>
    <mergeCell ref="A16:A17"/>
    <mergeCell ref="C10:C11"/>
    <mergeCell ref="C16:C17"/>
    <mergeCell ref="E10:E11"/>
    <mergeCell ref="B14:B15"/>
    <mergeCell ref="G10:G11"/>
    <mergeCell ref="F18:F19"/>
    <mergeCell ref="M90:M91"/>
    <mergeCell ref="F92:F94"/>
    <mergeCell ref="H88:H89"/>
    <mergeCell ref="K90:K91"/>
    <mergeCell ref="D16:D17"/>
    <mergeCell ref="B6:B7"/>
    <mergeCell ref="G18:G19"/>
    <mergeCell ref="K82:K83"/>
    <mergeCell ref="H90:H91"/>
    <mergeCell ref="A22:A23"/>
    <mergeCell ref="D18:D19"/>
    <mergeCell ref="I82:I83"/>
    <mergeCell ref="D8:D9"/>
    <mergeCell ref="A20:A21"/>
    <mergeCell ref="N90:N91"/>
    <mergeCell ref="C86:C87"/>
    <mergeCell ref="G22:G23"/>
    <mergeCell ref="I84:I85"/>
    <mergeCell ref="D10:D11"/>
    <mergeCell ref="O82:O83"/>
    <mergeCell ref="J88:J89"/>
    <mergeCell ref="C6:C7"/>
    <mergeCell ref="L82:L83"/>
    <mergeCell ref="I86:I87"/>
    <mergeCell ref="F16:F17"/>
    <mergeCell ref="C14:C15"/>
    <mergeCell ref="E14:E15"/>
    <mergeCell ref="A88:A89"/>
    <mergeCell ref="I92:I94"/>
    <mergeCell ref="B90:B91"/>
    <mergeCell ref="A45:A46"/>
    <mergeCell ref="F20:F21"/>
    <mergeCell ref="A90:A91"/>
    <mergeCell ref="F22:F23"/>
    <mergeCell ref="I96:I99"/>
    <mergeCell ref="B84:B85"/>
    <mergeCell ref="A8:A9"/>
    <mergeCell ref="L84:L85"/>
    <mergeCell ref="C8:C9"/>
    <mergeCell ref="N84:N85"/>
    <mergeCell ref="C82:C83"/>
    <mergeCell ref="A10:A11"/>
    <mergeCell ref="L86:L87"/>
    <mergeCell ref="N86:N87"/>
    <mergeCell ref="B92:B93"/>
    <mergeCell ref="D88:D89"/>
    <mergeCell ref="L92:L94"/>
    <mergeCell ref="F88:F89"/>
    <mergeCell ref="A92:A93"/>
    <mergeCell ref="N92:N94"/>
    <mergeCell ref="B45:F45"/>
    <mergeCell ref="B16:B17"/>
    <mergeCell ref="O86:O87"/>
    <mergeCell ref="C18:C19"/>
    <mergeCell ref="F10:F11"/>
    <mergeCell ref="D90:D91"/>
    <mergeCell ref="B18:B19"/>
    <mergeCell ref="A84:A85"/>
    <mergeCell ref="C20:C21"/>
    <mergeCell ref="E20:E21"/>
    <mergeCell ref="E82:E83"/>
    <mergeCell ref="B8:B9"/>
    <mergeCell ref="A6:A7"/>
    <mergeCell ref="B82:B83"/>
    <mergeCell ref="C84:C85"/>
    <mergeCell ref="C22:C23"/>
    <mergeCell ref="E84:E85"/>
    <mergeCell ref="F8:F9"/>
    <mergeCell ref="N88:N89"/>
    <mergeCell ref="G6:G7"/>
    <mergeCell ref="E86:E87"/>
    <mergeCell ref="A3:B3"/>
    <mergeCell ref="A14:A15"/>
    <mergeCell ref="H84:H85"/>
    <mergeCell ref="N82:N83"/>
    <mergeCell ref="O92:O94"/>
    <mergeCell ref="A42:E42"/>
    <mergeCell ref="E95:F95"/>
    <mergeCell ref="I88:I89"/>
    <mergeCell ref="D92:D93"/>
    <mergeCell ref="J90:J91"/>
    <mergeCell ref="H86:H87"/>
    <mergeCell ref="L90:L91"/>
    <mergeCell ref="B20:B21"/>
    <mergeCell ref="E16:E17"/>
    <mergeCell ref="D20:D21"/>
    <mergeCell ref="G16:G17"/>
    <mergeCell ref="H80:O80"/>
    <mergeCell ref="D14:D15"/>
    <mergeCell ref="F14:F15"/>
    <mergeCell ref="I90:I91"/>
    <mergeCell ref="B22:B23"/>
    <mergeCell ref="E18:E19"/>
    <mergeCell ref="O90:O91"/>
    <mergeCell ref="D6:D7"/>
    <mergeCell ref="M82:M83"/>
    <mergeCell ref="F6:F7"/>
    <mergeCell ref="J84:J85"/>
    <mergeCell ref="A80:F80"/>
    <mergeCell ref="J86:J87"/>
    <mergeCell ref="C88:C89"/>
    <mergeCell ref="K84:K85"/>
    <mergeCell ref="O88:O89"/>
    <mergeCell ref="M84:M85"/>
    <mergeCell ref="O84:O85"/>
    <mergeCell ref="H92:H94"/>
    <mergeCell ref="B88:B89"/>
    <mergeCell ref="J92:J94"/>
    <mergeCell ref="C90:C91"/>
    <mergeCell ref="A86:A87"/>
    <mergeCell ref="L88:L89"/>
    <mergeCell ref="E90:E91"/>
    <mergeCell ref="E6:E7"/>
    <mergeCell ref="K86:K87"/>
    <mergeCell ref="B10:B11"/>
    <mergeCell ref="M86:M87"/>
    <mergeCell ref="A18:A19"/>
    <mergeCell ref="G20:G21"/>
    <mergeCell ref="G14:G15"/>
    <mergeCell ref="K92:K94"/>
    <mergeCell ref="M92:M94"/>
    <mergeCell ref="F90:F91"/>
    <mergeCell ref="F82:F83"/>
    <mergeCell ref="D82:D83"/>
    <mergeCell ref="E22:E23"/>
    <mergeCell ref="A44:B44"/>
    <mergeCell ref="A82:A83"/>
    <mergeCell ref="D84:D85"/>
    <mergeCell ref="C92:C93"/>
  </mergeCells>
  <conditionalFormatting sqref="I7:T7">
    <cfRule type="containsBlanks" priority="11" dxfId="3">
      <formula>LEN(TRIM(I7))=0</formula>
    </cfRule>
    <cfRule type="expression" priority="12" dxfId="0">
      <formula>AND(OR($F6="Lower the better", $F6="Lower the Better"), I7&gt;I6)</formula>
    </cfRule>
    <cfRule type="expression" priority="13" dxfId="1">
      <formula>AND(OR($F6="Lower the better", $F6="Lower the Better"), I7&lt;=I6)</formula>
    </cfRule>
    <cfRule type="expression" priority="14" dxfId="0">
      <formula>AND(OR($F6="Higher the better", $F6="Higher the Better"), I7&lt;I6)</formula>
    </cfRule>
    <cfRule type="expression" priority="15" dxfId="1" stopIfTrue="1">
      <formula>AND(OR($F6="Higher the better", $F6="Higher the Better"), I7&gt;=I6)</formula>
    </cfRule>
  </conditionalFormatting>
  <conditionalFormatting sqref="I9:T9">
    <cfRule type="containsBlanks" priority="6" dxfId="3">
      <formula>LEN(TRIM(I9))=0</formula>
    </cfRule>
    <cfRule type="expression" priority="7" dxfId="0">
      <formula>AND(OR($F8="Lower the better", $F8="Lower the Better"), I9&gt;I8)</formula>
    </cfRule>
    <cfRule type="expression" priority="8" dxfId="1">
      <formula>AND(OR($F8="Lower the better", $F8="Lower the Better"), I9&lt;=I8)</formula>
    </cfRule>
    <cfRule type="expression" priority="9" dxfId="0">
      <formula>AND(OR($F8="Higher the better", $F8="Higher the Better"), I9&lt;I8)</formula>
    </cfRule>
    <cfRule type="expression" priority="10" dxfId="1" stopIfTrue="1">
      <formula>AND(OR($F8="Higher the better", $F8="Higher the Better"), I9&gt;=I8)</formula>
    </cfRule>
  </conditionalFormatting>
  <conditionalFormatting sqref="I11:T11">
    <cfRule type="containsBlanks" priority="1" dxfId="3">
      <formula>LEN(TRIM(I11))=0</formula>
    </cfRule>
    <cfRule type="expression" priority="2" dxfId="0">
      <formula>AND(OR($F10="Lower the better", $F10="Lower the Better"), I11&gt;I10)</formula>
    </cfRule>
    <cfRule type="expression" priority="3" dxfId="1">
      <formula>AND(OR($F10="Lower the better", $F10="Lower the Better"), I11&lt;=I10)</formula>
    </cfRule>
    <cfRule type="expression" priority="4" dxfId="0">
      <formula>AND(OR($F10="Higher the better", $F10="Higher the Better"), I11&lt;I10)</formula>
    </cfRule>
    <cfRule type="expression" priority="5" dxfId="1" stopIfTrue="1">
      <formula>AND(OR($F10="Higher the better", $F10="Higher the Better"), I11&gt;=I10)</formula>
    </cfRule>
  </conditionalFormatting>
  <conditionalFormatting sqref="I15:T15">
    <cfRule type="expression" priority="40" dxfId="1" stopIfTrue="1">
      <formula>AND(OR($F14="Higher the better", $F14="Higher the Better"), I15&gt;=I14)</formula>
    </cfRule>
    <cfRule type="containsBlanks" priority="36" dxfId="3">
      <formula>LEN(TRIM(I15))=0</formula>
    </cfRule>
    <cfRule type="expression" priority="37" dxfId="0">
      <formula>AND(OR($F14="Lower the better", $F14="Lower the Better"), I15&gt;I14)</formula>
    </cfRule>
    <cfRule type="expression" priority="38" dxfId="1">
      <formula>AND(OR($F14="Lower the better", $F14="Lower the Better"), I15&lt;=I14)</formula>
    </cfRule>
    <cfRule type="expression" priority="39" dxfId="0">
      <formula>AND(OR($F14="Higher the better", $F14="Higher the Better"), I15&lt;I14)</formula>
    </cfRule>
  </conditionalFormatting>
  <conditionalFormatting sqref="I17:T17">
    <cfRule type="containsBlanks" priority="31" dxfId="3">
      <formula>LEN(TRIM(I17))=0</formula>
    </cfRule>
    <cfRule type="expression" priority="32" dxfId="0">
      <formula>AND(OR($F16="Lower the better", $F16="Lower the Better"), I17&gt;I16)</formula>
    </cfRule>
    <cfRule type="expression" priority="33" dxfId="1">
      <formula>AND(OR($F16="Lower the better", $F16="Lower the Better"), I17&lt;=I16)</formula>
    </cfRule>
    <cfRule type="expression" priority="34" dxfId="0">
      <formula>AND(OR($F16="Higher the better", $F16="Higher the Better"), I17&lt;I16)</formula>
    </cfRule>
    <cfRule type="expression" priority="35" dxfId="1" stopIfTrue="1">
      <formula>AND(OR($F16="Higher the better", $F16="Higher the Better"), I17&gt;=I16)</formula>
    </cfRule>
  </conditionalFormatting>
  <conditionalFormatting sqref="I19:T19">
    <cfRule type="containsBlanks" priority="26" dxfId="3">
      <formula>LEN(TRIM(I19))=0</formula>
    </cfRule>
    <cfRule type="expression" priority="27" dxfId="0">
      <formula>AND(OR($F18="Lower the better", $F18="Lower the Better"), I19&gt;I18)</formula>
    </cfRule>
    <cfRule type="expression" priority="28" dxfId="1">
      <formula>AND(OR($F18="Lower the better", $F18="Lower the Better"), I19&lt;=I18)</formula>
    </cfRule>
    <cfRule type="expression" priority="29" dxfId="0">
      <formula>AND(OR($F18="Higher the better", $F18="Higher the Better"), I19&lt;I18)</formula>
    </cfRule>
    <cfRule type="expression" priority="30" dxfId="1" stopIfTrue="1">
      <formula>AND(OR($F18="Higher the better", $F18="Higher the Better"), I19&gt;=I18)</formula>
    </cfRule>
  </conditionalFormatting>
  <conditionalFormatting sqref="I21:T21">
    <cfRule type="expression" priority="22" dxfId="0">
      <formula>AND(OR($F20="Lower the better", $F20="Lower the Better"), I21&gt;I20)</formula>
    </cfRule>
    <cfRule type="expression" priority="23" dxfId="1">
      <formula>AND(OR($F20="Lower the better", $F20="Lower the Better"), I21&lt;=I20)</formula>
    </cfRule>
    <cfRule type="expression" priority="24" dxfId="0">
      <formula>AND(OR($F20="Higher the better", $F20="Higher the Better"), I21&lt;I20)</formula>
    </cfRule>
    <cfRule type="expression" priority="25" dxfId="1" stopIfTrue="1">
      <formula>AND(OR($F20="Higher the better", $F20="Higher the Better"), I21&gt;=I20)</formula>
    </cfRule>
    <cfRule type="containsBlanks" priority="21" dxfId="3">
      <formula>LEN(TRIM(I21))=0</formula>
    </cfRule>
  </conditionalFormatting>
  <conditionalFormatting sqref="I23:T23">
    <cfRule type="containsBlanks" priority="16" dxfId="3">
      <formula>LEN(TRIM(I23))=0</formula>
    </cfRule>
    <cfRule type="expression" priority="17" dxfId="0">
      <formula>AND(OR($F22="Lower the better", $F22="Lower the Better"), I23&gt;I22)</formula>
    </cfRule>
    <cfRule type="expression" priority="18" dxfId="1">
      <formula>AND(OR($F22="Lower the better", $F22="Lower the Better"), I23&lt;=I22)</formula>
    </cfRule>
    <cfRule type="expression" priority="19" dxfId="0">
      <formula>AND(OR($F22="Higher the better", $F22="Higher the Better"), I23&lt;I22)</formula>
    </cfRule>
    <cfRule type="expression" priority="20" dxfId="1" stopIfTrue="1">
      <formula>AND(OR($F22="Higher the better", $F22="Higher the Better"), I23&gt;=I22)</formula>
    </cfRule>
  </conditionalFormatting>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2.xml><?xml version="1.0" encoding="utf-8"?>
<worksheet xmlns="http://schemas.openxmlformats.org/spreadsheetml/2006/main">
  <sheetPr codeName="Sheet11">
    <outlinePr summaryBelow="1" summaryRight="1"/>
    <pageSetUpPr/>
  </sheetPr>
  <dimension ref="A1:AI104"/>
  <sheetViews>
    <sheetView topLeftCell="A88" zoomScale="82" zoomScaleNormal="80" workbookViewId="0">
      <selection activeCell="B111" sqref="B111"/>
    </sheetView>
  </sheetViews>
  <sheetFormatPr baseColWidth="8" defaultRowHeight="14.45"/>
  <cols>
    <col width="20.42578125" customWidth="1" min="1" max="1"/>
    <col width="37.42578125" customWidth="1" style="639" min="2" max="2"/>
    <col width="20.42578125" customWidth="1" min="3" max="3"/>
    <col hidden="1" width="19.5703125" customWidth="1" min="4" max="4"/>
    <col hidden="1" width="20.5703125" customWidth="1" min="5" max="5"/>
    <col hidden="1" width="13.42578125" customWidth="1" min="6" max="6"/>
    <col hidden="1" width="9.5703125" customWidth="1" min="7" max="7"/>
    <col hidden="1" width="14.5703125" customWidth="1" min="8" max="8"/>
    <col width="15.42578125" customWidth="1" min="9" max="9"/>
    <col width="16.42578125" customWidth="1" min="10" max="10"/>
    <col width="17" customWidth="1" min="11" max="11"/>
    <col width="16.5703125" customWidth="1" min="12" max="12"/>
    <col width="15.5703125" customWidth="1" min="13" max="13"/>
    <col width="16" customWidth="1" min="14" max="14"/>
    <col width="17" customWidth="1" min="15" max="15"/>
    <col width="17.5703125" customWidth="1" min="16" max="16"/>
    <col width="14.5703125" customWidth="1" min="17" max="17"/>
    <col width="14.42578125" customWidth="1" min="18" max="18"/>
    <col width="14.5703125" customWidth="1" min="19" max="19"/>
    <col width="14.42578125" customWidth="1" min="20" max="20"/>
    <col width="13.5703125" customWidth="1" min="21" max="21"/>
    <col width="17.42578125" customWidth="1" min="22" max="22"/>
    <col hidden="1" width="11.42578125" customWidth="1" min="23" max="23"/>
    <col hidden="1" width="8.5703125" customWidth="1" min="24" max="24"/>
    <col hidden="1" width="14.42578125" customWidth="1" min="25" max="25"/>
    <col hidden="1" width="8.5703125" customWidth="1" min="26" max="35"/>
    <col width="8.5703125" customWidth="1" min="36" max="48"/>
    <col width="14.42578125" customWidth="1" min="49" max="50"/>
  </cols>
  <sheetData>
    <row r="1" ht="19.35" customHeight="1">
      <c r="A1" s="12" t="inlineStr">
        <is>
          <t>Month</t>
        </is>
      </c>
      <c r="B1" s="666" t="n">
        <v>46023</v>
      </c>
      <c r="C1" s="12" t="inlineStr">
        <is>
          <t xml:space="preserve">MT Owner: </t>
        </is>
      </c>
      <c r="D1" s="12" t="inlineStr">
        <is>
          <t>Mark L</t>
        </is>
      </c>
      <c r="E1" s="12" t="inlineStr">
        <is>
          <t>MT Delegate:</t>
        </is>
      </c>
      <c r="F1" s="12" t="inlineStr">
        <is>
          <t>Maryam C</t>
        </is>
      </c>
      <c r="W1" t="inlineStr">
        <is>
          <t>Actual green</t>
        </is>
      </c>
      <c r="X1">
        <f>IF(I15&lt;&gt;"",IF($F14="Higher the better",IF(I15&gt;=I14,I15,NA()),IF(I15&lt;=I14,I15,NA())),NA())</f>
        <v/>
      </c>
      <c r="Y1">
        <f>IF(J15&lt;&gt;"",IF($F14="Higher the better",IF(J15&gt;=J14,J15,NA()),IF(J15&lt;=J14,J15,NA())),NA())</f>
        <v/>
      </c>
      <c r="Z1">
        <f>IF(K15&lt;&gt;"",IF($F14="Higher the better",IF(K15&gt;=K14,K15,NA()),IF(K15&lt;=K14,K15,NA())),NA())</f>
        <v/>
      </c>
      <c r="AA1">
        <f>IF(L15&lt;&gt;"",IF($F14="Higher the better",IF(L15&gt;=L14,L15,NA()),IF(L15&lt;=L14,L15,NA())),NA())</f>
        <v/>
      </c>
      <c r="AB1">
        <f>IF(M15&lt;&gt;"",IF($F14="Higher the better",IF(M15&gt;=M14,M15,NA()),IF(M15&lt;=M14,M15,NA())),NA())</f>
        <v/>
      </c>
      <c r="AC1">
        <f>IF(N15&lt;&gt;"",IF($F14="Higher the better",IF(N15&gt;=N14,N15,NA()),IF(N15&lt;=N14,N15,NA())),NA())</f>
        <v/>
      </c>
      <c r="AD1">
        <f>IF(O15&lt;&gt;"",IF($F14="Higher the better",IF(O15&gt;=O14,O15,NA()),IF(O15&lt;=O14,O15,NA())),NA())</f>
        <v/>
      </c>
      <c r="AE1">
        <f>IF(P15&lt;&gt;"",IF($F14="Higher the better",IF(P15&gt;=P14,P15,NA()),IF(P15&lt;=P14,P15,NA())),NA())</f>
        <v/>
      </c>
      <c r="AF1">
        <f>IF(Q15&lt;&gt;"",IF($F14="Higher the better",IF(Q15&gt;=Q14,Q15,NA()),IF(Q15&lt;=Q14,Q15,NA())),NA())</f>
        <v/>
      </c>
      <c r="AG1">
        <f>IF(R15&lt;&gt;"",IF($F14="Higher the better",IF(R15&gt;=R14,R15,NA()),IF(R15&lt;=R14,R15,NA())),NA())</f>
        <v/>
      </c>
      <c r="AH1">
        <f>IF(S15&lt;&gt;"",IF($F14="Higher the better",IF(S15&gt;=S14,S15,NA()),IF(S15&lt;=S14,S15,NA())),NA())</f>
        <v/>
      </c>
      <c r="AI1">
        <f>IF(T15&lt;&gt;"",IF($F14="Higher the better",IF(T15&gt;=T14,T15,NA()),IF(T15&lt;=T14,T15,NA())),NA())</f>
        <v/>
      </c>
    </row>
    <row r="2" ht="19.35" customHeight="1">
      <c r="A2" s="13" t="n"/>
      <c r="B2" s="683" t="n"/>
      <c r="D2" s="13" t="n"/>
      <c r="E2" s="13" t="n"/>
      <c r="W2" t="inlineStr">
        <is>
          <t>Actual red</t>
        </is>
      </c>
      <c r="X2">
        <f>IF(I15&lt;&gt;"",IF($F14="Higher the better",IF(I15&lt;I14,I15,NA()),IF(I15&gt;I14,I15,NA())),NA())</f>
        <v/>
      </c>
      <c r="Y2">
        <f>IF(J15&lt;&gt;"",IF($F14="Higher the better",IF(J15&lt;J14,J15,NA()),IF(J15&gt;J14,J15,NA())),NA())</f>
        <v/>
      </c>
      <c r="Z2">
        <f>IF(K15&lt;&gt;"",IF($F14="Higher the better",IF(K15&lt;K14,K15,NA()),IF(K15&gt;K14,K15,NA())),NA())</f>
        <v/>
      </c>
      <c r="AA2">
        <f>IF(L15&lt;&gt;"",IF($F14="Higher the better",IF(L15&lt;L14,L15,NA()),IF(L15&gt;L14,L15,NA())),NA())</f>
        <v/>
      </c>
      <c r="AB2">
        <f>IF(M15&lt;&gt;"",IF($F14="Higher the better",IF(M15&lt;M14,M15,NA()),IF(M15&gt;M14,M15,NA())),NA())</f>
        <v/>
      </c>
      <c r="AC2">
        <f>IF(N15&lt;&gt;"",IF($F14="Higher the better",IF(N15&lt;N14,N15,NA()),IF(N15&gt;N14,N15,NA())),NA())</f>
        <v/>
      </c>
      <c r="AD2">
        <f>IF(O15&lt;&gt;"",IF($F14="Higher the better",IF(O15&lt;O14,O15,NA()),IF(O15&gt;O14,O15,NA())),NA())</f>
        <v/>
      </c>
      <c r="AE2">
        <f>IF(P15&lt;&gt;"",IF($F14="Higher the better",IF(P15&lt;P14,P15,NA()),IF(P15&gt;P14,P15,NA())),NA())</f>
        <v/>
      </c>
      <c r="AF2">
        <f>IF(Q15&lt;&gt;"",IF($F14="Higher the better",IF(Q15&lt;Q14,Q15,NA()),IF(Q15&gt;Q14,Q15,NA())),NA())</f>
        <v/>
      </c>
      <c r="AG2">
        <f>IF(R15&lt;&gt;"",IF($F14="Higher the better",IF(R15&lt;R14,R15,NA()),IF(R15&gt;R14,R15,NA())),NA())</f>
        <v/>
      </c>
      <c r="AH2">
        <f>IF(S15&lt;&gt;"",IF($F14="Higher the better",IF(S15&lt;S14,S15,NA()),IF(S15&gt;S14,S15,NA())),NA())</f>
        <v/>
      </c>
      <c r="AI2">
        <f>IF(T15&lt;&gt;"",IF($F14="Higher the better",IF(T15&lt;T14,T15,NA()),IF(T15&gt;T14,T15,NA())),NA())</f>
        <v/>
      </c>
    </row>
    <row r="3" ht="20.1" customHeight="1">
      <c r="A3" s="449" t="inlineStr">
        <is>
          <t>Commercial Excellence DMB</t>
        </is>
      </c>
      <c r="W3" t="inlineStr">
        <is>
          <t>Actual green</t>
        </is>
      </c>
      <c r="X3">
        <f>IF(I17&lt;&gt;"",IF($F16="Higher the better",IF(I17&gt;=I16,I17,NA()),IF(I17&lt;=I16,I17,NA())),NA())</f>
        <v/>
      </c>
      <c r="Y3">
        <f>IF(J17&lt;&gt;"",IF($F16="Higher the better",IF(J17&gt;=J16,J17,NA()),IF(J17&lt;=J16,J17,NA())),NA())</f>
        <v/>
      </c>
      <c r="Z3">
        <f>IF(K17&lt;&gt;"",IF($F16="Higher the better",IF(K17&gt;=K16,K17,NA()),IF(K17&lt;=K16,K17,NA())),NA())</f>
        <v/>
      </c>
      <c r="AA3">
        <f>IF(L17&lt;&gt;"",IF($F16="Higher the better",IF(L17&gt;=L16,L17,NA()),IF(L17&lt;=L16,L17,NA())),NA())</f>
        <v/>
      </c>
      <c r="AB3">
        <f>IF(M17&lt;&gt;"",IF($F16="Higher the better",IF(M17&gt;=M16,M17,NA()),IF(M17&lt;=M16,M17,NA())),NA())</f>
        <v/>
      </c>
      <c r="AC3">
        <f>IF(N17&lt;&gt;"",IF($F16="Higher the better",IF(N17&gt;=N16,N17,NA()),IF(N17&lt;=N16,N17,NA())),NA())</f>
        <v/>
      </c>
      <c r="AD3">
        <f>IF(O17&lt;&gt;"",IF($F16="Higher the better",IF(O17&gt;=O16,O17,NA()),IF(O17&lt;=O16,O17,NA())),NA())</f>
        <v/>
      </c>
      <c r="AE3">
        <f>IF(P17&lt;&gt;"",IF($F16="Higher the better",IF(P17&gt;=P16,P17,NA()),IF(P17&lt;=P16,P17,NA())),NA())</f>
        <v/>
      </c>
      <c r="AF3">
        <f>IF(Q17&lt;&gt;"",IF($F16="Higher the better",IF(Q17&gt;=Q16,Q17,NA()),IF(Q17&lt;=Q16,Q17,NA())),NA())</f>
        <v/>
      </c>
      <c r="AG3">
        <f>IF(R17&lt;&gt;"",IF($F16="Higher the better",IF(R17&gt;=R16,R17,NA()),IF(R17&lt;=R16,R17,NA())),NA())</f>
        <v/>
      </c>
      <c r="AH3">
        <f>IF(S17&lt;&gt;"",IF($F16="Higher the better",IF(S17&gt;=S16,S17,NA()),IF(S17&lt;=S16,S17,NA())),NA())</f>
        <v/>
      </c>
      <c r="AI3">
        <f>IF(T17&lt;&gt;"",IF($F16="Higher the better",IF(T17&gt;=T16,T17,NA()),IF(T17&lt;=T16,T17,NA())),NA())</f>
        <v/>
      </c>
    </row>
    <row r="4" ht="18.6" customHeight="1">
      <c r="A4" s="11" t="inlineStr">
        <is>
          <t>Mandatory Outcome KPI's (1-3)</t>
        </is>
      </c>
      <c r="B4" s="11" t="n"/>
      <c r="W4" t="inlineStr">
        <is>
          <t>Actual red</t>
        </is>
      </c>
      <c r="X4">
        <f>IF(I17&lt;&gt;"",IF($F16="Higher the better",IF(I17&lt;I16,I17,NA()),IF(I17&gt;I16,I17,NA())),NA())</f>
        <v/>
      </c>
      <c r="Y4">
        <f>IF(J17&lt;&gt;"",IF($F16="Higher the better",IF(J17&lt;J16,J17,NA()),IF(J17&gt;J16,J17,NA())),NA())</f>
        <v/>
      </c>
      <c r="Z4">
        <f>IF(K17&lt;&gt;"",IF($F16="Higher the better",IF(K17&lt;K16,K17,NA()),IF(K17&gt;K16,K17,NA())),NA())</f>
        <v/>
      </c>
      <c r="AA4">
        <f>IF(L17&lt;&gt;"",IF($F16="Higher the better",IF(L17&lt;L16,L17,NA()),IF(L17&gt;L16,L17,NA())),NA())</f>
        <v/>
      </c>
      <c r="AB4">
        <f>IF(M17&lt;&gt;"",IF($F16="Higher the better",IF(M17&lt;M16,M17,NA()),IF(M17&gt;M16,M17,NA())),NA())</f>
        <v/>
      </c>
      <c r="AC4">
        <f>IF(N17&lt;&gt;"",IF($F16="Higher the better",IF(N17&lt;N16,N17,NA()),IF(N17&gt;N16,N17,NA())),NA())</f>
        <v/>
      </c>
      <c r="AD4">
        <f>IF(O17&lt;&gt;"",IF($F16="Higher the better",IF(O17&lt;O16,O17,NA()),IF(O17&gt;O16,O17,NA())),NA())</f>
        <v/>
      </c>
      <c r="AE4">
        <f>IF(P17&lt;&gt;"",IF($F16="Higher the better",IF(P17&lt;P16,P17,NA()),IF(P17&gt;P16,P17,NA())),NA())</f>
        <v/>
      </c>
      <c r="AF4">
        <f>IF(Q17&lt;&gt;"",IF($F16="Higher the better",IF(Q17&lt;Q16,Q17,NA()),IF(Q17&gt;Q16,Q17,NA())),NA())</f>
        <v/>
      </c>
      <c r="AG4">
        <f>IF(R17&lt;&gt;"",IF($F16="Higher the better",IF(R17&lt;R16,R17,NA()),IF(R17&gt;R16,R17,NA())),NA())</f>
        <v/>
      </c>
      <c r="AH4">
        <f>IF(S17&lt;&gt;"",IF($F16="Higher the better",IF(S17&lt;S16,S17,NA()),IF(S17&gt;S16,S17,NA())),NA())</f>
        <v/>
      </c>
      <c r="AI4">
        <f>IF(T17&lt;&gt;"",IF($F16="Higher the better",IF(T17&lt;T16,T17,NA()),IF(T17&gt;T16,T17,NA())),NA())</f>
        <v/>
      </c>
    </row>
    <row r="5" ht="29.1"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t="inlineStr">
        <is>
          <t>Actual green</t>
        </is>
      </c>
      <c r="X5">
        <f>IF(I19&lt;&gt;"",IF($F18="Higher the better",IF(I19&gt;=I18,I19,NA()),IF(I19&lt;=I18,I19,NA())),NA())</f>
        <v/>
      </c>
      <c r="Y5">
        <f>IF(J19&lt;&gt;"",IF($F18="Higher the better",IF(J19&gt;=J18,J19,NA()),IF(J19&lt;=J18,J19,NA())),NA())</f>
        <v/>
      </c>
      <c r="Z5">
        <f>IF(K19&lt;&gt;"",IF($F18="Higher the better",IF(K19&gt;=K18,K19,NA()),IF(K19&lt;=K18,K19,NA())),NA())</f>
        <v/>
      </c>
      <c r="AA5">
        <f>IF(L19&lt;&gt;"",IF($F18="Higher the better",IF(L19&gt;=L18,L19,NA()),IF(L19&lt;=L18,L19,NA())),NA())</f>
        <v/>
      </c>
      <c r="AB5">
        <f>IF(M19&lt;&gt;"",IF($F18="Higher the better",IF(M19&gt;=M18,M19,NA()),IF(M19&lt;=M18,M19,NA())),NA())</f>
        <v/>
      </c>
      <c r="AC5">
        <f>IF(N19&lt;&gt;"",IF($F18="Higher the better",IF(N19&gt;=N18,N19,NA()),IF(N19&lt;=N18,N19,NA())),NA())</f>
        <v/>
      </c>
      <c r="AD5">
        <f>IF(O19&lt;&gt;"",IF($F18="Higher the better",IF(O19&gt;=O18,O19,NA()),IF(O19&lt;=O18,O19,NA())),NA())</f>
        <v/>
      </c>
      <c r="AE5">
        <f>IF(P19&lt;&gt;"",IF($F18="Higher the better",IF(P19&gt;=P18,P19,NA()),IF(P19&lt;=P18,P19,NA())),NA())</f>
        <v/>
      </c>
      <c r="AF5">
        <f>IF(Q19&lt;&gt;"",IF($F18="Higher the better",IF(Q19&gt;=Q18,Q19,NA()),IF(Q19&lt;=Q18,Q19,NA())),NA())</f>
        <v/>
      </c>
      <c r="AG5">
        <f>IF(R19&lt;&gt;"",IF($F18="Higher the better",IF(R19&gt;=R18,R19,NA()),IF(R19&lt;=R18,R19,NA())),NA())</f>
        <v/>
      </c>
      <c r="AH5">
        <f>IF(S19&lt;&gt;"",IF($F18="Higher the better",IF(S19&gt;=S18,S19,NA()),IF(S19&lt;=S18,S19,NA())),NA())</f>
        <v/>
      </c>
      <c r="AI5">
        <f>IF(T19&lt;&gt;"",IF($F18="Higher the better",IF(T19&gt;=T18,T19,NA()),IF(T19&lt;=T18,T19,NA())),NA())</f>
        <v/>
      </c>
    </row>
    <row r="6">
      <c r="A6" s="782" t="inlineStr">
        <is>
          <t>Market Share</t>
        </is>
      </c>
      <c r="B6" s="461" t="inlineStr">
        <is>
          <t>Win Rate X Visibility Rate</t>
        </is>
      </c>
      <c r="C6" s="230" t="inlineStr">
        <is>
          <t>=</t>
        </is>
      </c>
      <c r="D6" s="257" t="n">
        <v>0.09</v>
      </c>
      <c r="E6" s="230" t="inlineStr">
        <is>
          <t>No.</t>
        </is>
      </c>
      <c r="F6" s="388" t="inlineStr">
        <is>
          <t>Higher the better</t>
        </is>
      </c>
      <c r="G6" s="230" t="inlineStr">
        <is>
          <t>Quarterly</t>
        </is>
      </c>
      <c r="H6" s="14" t="inlineStr">
        <is>
          <t>Target</t>
        </is>
      </c>
      <c r="I6" s="4" t="n">
        <v>0.07000000000000001</v>
      </c>
      <c r="J6" s="4" t="n">
        <v>0.07000000000000001</v>
      </c>
      <c r="K6" s="4" t="n">
        <v>0.07000000000000001</v>
      </c>
      <c r="L6" s="4" t="n">
        <v>0.07000000000000001</v>
      </c>
      <c r="M6" s="4" t="n">
        <v>0.07000000000000001</v>
      </c>
      <c r="N6" s="4" t="n">
        <v>0.07000000000000001</v>
      </c>
      <c r="O6" s="4" t="n">
        <v>0.07000000000000001</v>
      </c>
      <c r="P6" s="4" t="n">
        <v>0.07000000000000001</v>
      </c>
      <c r="Q6" s="4" t="n">
        <v>0.07000000000000001</v>
      </c>
      <c r="R6" s="4" t="n">
        <v>0.07000000000000001</v>
      </c>
      <c r="S6" s="4" t="n">
        <v>0.07000000000000001</v>
      </c>
      <c r="T6" s="4" t="n">
        <v>0.07000000000000001</v>
      </c>
      <c r="W6" t="inlineStr">
        <is>
          <t>Actual red</t>
        </is>
      </c>
      <c r="X6">
        <f>IF(I19&lt;&gt;"",IF($F18="Higher the better",IF(I19&lt;I18,I19,NA()),IF(I19&gt;I18,I19,NA())),NA())</f>
        <v/>
      </c>
      <c r="Y6">
        <f>IF(J19&lt;&gt;"",IF($F18="Higher the better",IF(J19&lt;J18,J19,NA()),IF(J19&gt;J18,J19,NA())),NA())</f>
        <v/>
      </c>
      <c r="Z6">
        <f>IF(K19&lt;&gt;"",IF($F18="Higher the better",IF(K19&lt;K18,K19,NA()),IF(K19&gt;K18,K19,NA())),NA())</f>
        <v/>
      </c>
      <c r="AA6">
        <f>IF(L19&lt;&gt;"",IF($F18="Higher the better",IF(L19&lt;L18,L19,NA()),IF(L19&gt;L18,L19,NA())),NA())</f>
        <v/>
      </c>
      <c r="AB6">
        <f>IF(M19&lt;&gt;"",IF($F18="Higher the better",IF(M19&lt;M18,M19,NA()),IF(M19&gt;M18,M19,NA())),NA())</f>
        <v/>
      </c>
      <c r="AC6">
        <f>IF(N19&lt;&gt;"",IF($F18="Higher the better",IF(N19&lt;N18,N19,NA()),IF(N19&gt;N18,N19,NA())),NA())</f>
        <v/>
      </c>
      <c r="AD6">
        <f>IF(O19&lt;&gt;"",IF($F18="Higher the better",IF(O19&lt;O18,O19,NA()),IF(O19&gt;O18,O19,NA())),NA())</f>
        <v/>
      </c>
      <c r="AE6">
        <f>IF(P19&lt;&gt;"",IF($F18="Higher the better",IF(P19&lt;P18,P19,NA()),IF(P19&gt;P18,P19,NA())),NA())</f>
        <v/>
      </c>
      <c r="AF6">
        <f>IF(Q19&lt;&gt;"",IF($F18="Higher the better",IF(Q19&lt;Q18,Q19,NA()),IF(Q19&gt;Q18,Q19,NA())),NA())</f>
        <v/>
      </c>
      <c r="AG6">
        <f>IF(R19&lt;&gt;"",IF($F18="Higher the better",IF(R19&lt;R18,R19,NA()),IF(R19&gt;R18,R19,NA())),NA())</f>
        <v/>
      </c>
      <c r="AH6">
        <f>IF(S19&lt;&gt;"",IF($F18="Higher the better",IF(S19&lt;S18,S19,NA()),IF(S19&gt;S18,S19,NA())),NA())</f>
        <v/>
      </c>
      <c r="AI6">
        <f>IF(T19&lt;&gt;"",IF($F18="Higher the better",IF(T19&lt;T18,T19,NA()),IF(T19&gt;T18,T19,NA())),NA())</f>
        <v/>
      </c>
    </row>
    <row r="7">
      <c r="A7" s="671" t="n"/>
      <c r="B7" s="671" t="n"/>
      <c r="C7" s="671" t="n"/>
      <c r="D7" s="671" t="n"/>
      <c r="E7" s="671" t="n"/>
      <c r="F7" s="671" t="n"/>
      <c r="G7" s="671" t="n"/>
      <c r="H7" s="14" t="inlineStr">
        <is>
          <t>Actual</t>
        </is>
      </c>
      <c r="I7" s="686" t="n">
        <v>0.056</v>
      </c>
      <c r="J7" s="686" t="n">
        <v>0.056</v>
      </c>
      <c r="K7" s="686" t="n">
        <v>0.056</v>
      </c>
      <c r="L7" s="5" t="n"/>
      <c r="M7" s="5" t="n"/>
      <c r="N7" s="5" t="n"/>
      <c r="O7" s="5" t="n"/>
      <c r="P7" s="5" t="n"/>
      <c r="Q7" s="5" t="n"/>
      <c r="R7" s="5" t="n"/>
      <c r="S7" s="5" t="n"/>
      <c r="T7" s="5" t="n"/>
      <c r="W7" t="inlineStr">
        <is>
          <t>Actual green</t>
        </is>
      </c>
      <c r="X7">
        <f>IF(I21&lt;&gt;"",IF($F20="Higher the better",IF(I21&gt;=I20,I21,NA()),IF(I21&lt;=I20,I21,NA())),NA())</f>
        <v/>
      </c>
      <c r="Y7">
        <f>IF(J21&lt;&gt;"",IF($F20="Higher the better",IF(J21&gt;=J20,J21,NA()),IF(J21&lt;=J20,J21,NA())),NA())</f>
        <v/>
      </c>
      <c r="Z7">
        <f>IF(K21&lt;&gt;"",IF($F20="Higher the better",IF(K21&gt;=K20,K21,NA()),IF(K21&lt;=K20,K21,NA())),NA())</f>
        <v/>
      </c>
      <c r="AA7">
        <f>IF(L21&lt;&gt;"",IF($F20="Higher the better",IF(L21&gt;=L20,L21,NA()),IF(L21&lt;=L20,L21,NA())),NA())</f>
        <v/>
      </c>
      <c r="AB7">
        <f>IF(M21&lt;&gt;"",IF($F20="Higher the better",IF(M21&gt;=M20,M21,NA()),IF(M21&lt;=M20,M21,NA())),NA())</f>
        <v/>
      </c>
      <c r="AC7">
        <f>IF(N21&lt;&gt;"",IF($F20="Higher the better",IF(N21&gt;=N20,N21,NA()),IF(N21&lt;=N20,N21,NA())),NA())</f>
        <v/>
      </c>
      <c r="AD7">
        <f>IF(O21&lt;&gt;"",IF($F20="Higher the better",IF(O21&gt;=O20,O21,NA()),IF(O21&lt;=O20,O21,NA())),NA())</f>
        <v/>
      </c>
      <c r="AE7">
        <f>IF(P21&lt;&gt;"",IF($F20="Higher the better",IF(P21&gt;=P20,P21,NA()),IF(P21&lt;=P20,P21,NA())),NA())</f>
        <v/>
      </c>
      <c r="AF7">
        <f>IF(Q21&lt;&gt;"",IF($F20="Higher the better",IF(Q21&gt;=Q20,Q21,NA()),IF(Q21&lt;=Q20,Q21,NA())),NA())</f>
        <v/>
      </c>
      <c r="AG7">
        <f>IF(R21&lt;&gt;"",IF($F20="Higher the better",IF(R21&gt;=R20,R21,NA()),IF(R21&lt;=R20,R21,NA())),NA())</f>
        <v/>
      </c>
      <c r="AH7">
        <f>IF(S21&lt;&gt;"",IF($F20="Higher the better",IF(S21&gt;=S20,S21,NA()),IF(S21&lt;=S20,S21,NA())),NA())</f>
        <v/>
      </c>
      <c r="AI7">
        <f>IF(T21&lt;&gt;"",IF($F20="Higher the better",IF(T21&gt;=T20,T21,NA()),IF(T21&lt;=T20,T21,NA())),NA())</f>
        <v/>
      </c>
    </row>
    <row r="8" ht="15" customHeight="1" thickBot="1">
      <c r="A8" s="782" t="inlineStr">
        <is>
          <t>Order Intake</t>
        </is>
      </c>
      <c r="B8" s="427" t="inlineStr">
        <is>
          <t>Financial OIT vs AOP</t>
        </is>
      </c>
      <c r="C8" s="230" t="inlineStr">
        <is>
          <t>&gt;</t>
        </is>
      </c>
      <c r="D8" s="230" t="inlineStr">
        <is>
          <t>€40</t>
        </is>
      </c>
      <c r="E8" s="230" t="inlineStr">
        <is>
          <t>Mn</t>
        </is>
      </c>
      <c r="F8" s="388" t="inlineStr">
        <is>
          <t>Higher the better</t>
        </is>
      </c>
      <c r="G8" s="230" t="inlineStr">
        <is>
          <t>Monthly</t>
        </is>
      </c>
      <c r="H8" s="14" t="inlineStr">
        <is>
          <t>Target</t>
        </is>
      </c>
      <c r="I8" s="50" t="n">
        <v>2.4</v>
      </c>
      <c r="J8" s="50" t="n">
        <v>2.4</v>
      </c>
      <c r="K8" s="50" t="n">
        <v>3.2</v>
      </c>
      <c r="L8" s="50" t="n">
        <v>2.1</v>
      </c>
      <c r="M8" s="50" t="n">
        <v>2.1</v>
      </c>
      <c r="N8" s="50" t="n">
        <v>4.8</v>
      </c>
      <c r="O8" s="50" t="n">
        <v>2.8</v>
      </c>
      <c r="P8" s="50" t="n">
        <v>2.8</v>
      </c>
      <c r="Q8" s="50" t="n">
        <v>5.6</v>
      </c>
      <c r="R8" s="50" t="n">
        <v>3.7</v>
      </c>
      <c r="S8" s="50" t="n">
        <v>4.1</v>
      </c>
      <c r="T8" s="50" t="n">
        <v>4.2</v>
      </c>
      <c r="W8" t="inlineStr">
        <is>
          <t>Actual red</t>
        </is>
      </c>
      <c r="X8">
        <f>IF(I21&lt;&gt;"",IF($F20="Higher the better",IF(I21&lt;I20,I21,NA()),IF(I21&gt;I20,I21,NA())),NA())</f>
        <v/>
      </c>
      <c r="Y8">
        <f>IF(J21&lt;&gt;"",IF($F20="Higher the better",IF(J21&lt;J20,J21,NA()),IF(J21&gt;J20,J21,NA())),NA())</f>
        <v/>
      </c>
      <c r="Z8">
        <f>IF(K21&lt;&gt;"",IF($F20="Higher the better",IF(K21&lt;K20,K21,NA()),IF(K21&gt;K20,K21,NA())),NA())</f>
        <v/>
      </c>
      <c r="AA8">
        <f>IF(L21&lt;&gt;"",IF($F20="Higher the better",IF(L21&lt;L20,L21,NA()),IF(L21&gt;L20,L21,NA())),NA())</f>
        <v/>
      </c>
      <c r="AB8">
        <f>IF(M21&lt;&gt;"",IF($F20="Higher the better",IF(M21&lt;M20,M21,NA()),IF(M21&gt;M20,M21,NA())),NA())</f>
        <v/>
      </c>
      <c r="AC8">
        <f>IF(N21&lt;&gt;"",IF($F20="Higher the better",IF(N21&lt;N20,N21,NA()),IF(N21&gt;N20,N21,NA())),NA())</f>
        <v/>
      </c>
      <c r="AD8">
        <f>IF(O21&lt;&gt;"",IF($F20="Higher the better",IF(O21&lt;O20,O21,NA()),IF(O21&gt;O20,O21,NA())),NA())</f>
        <v/>
      </c>
      <c r="AE8">
        <f>IF(P21&lt;&gt;"",IF($F20="Higher the better",IF(P21&lt;P20,P21,NA()),IF(P21&gt;P20,P21,NA())),NA())</f>
        <v/>
      </c>
      <c r="AF8">
        <f>IF(Q21&lt;&gt;"",IF($F20="Higher the better",IF(Q21&lt;Q20,Q21,NA()),IF(Q21&gt;Q20,Q21,NA())),NA())</f>
        <v/>
      </c>
      <c r="AG8">
        <f>IF(R21&lt;&gt;"",IF($F20="Higher the better",IF(R21&lt;R20,R21,NA()),IF(R21&gt;R20,R21,NA())),NA())</f>
        <v/>
      </c>
      <c r="AH8">
        <f>IF(S21&lt;&gt;"",IF($F20="Higher the better",IF(S21&lt;S20,S21,NA()),IF(S21&gt;S20,S21,NA())),NA())</f>
        <v/>
      </c>
      <c r="AI8">
        <f>IF(T21&lt;&gt;"",IF($F20="Higher the better",IF(T21&lt;T20,T21,NA()),IF(T21&gt;T20,T21,NA())),NA())</f>
        <v/>
      </c>
    </row>
    <row r="9">
      <c r="A9" s="671" t="n"/>
      <c r="B9" s="671" t="n"/>
      <c r="C9" s="671" t="n"/>
      <c r="D9" s="671" t="n"/>
      <c r="E9" s="671" t="n"/>
      <c r="F9" s="671" t="n"/>
      <c r="G9" s="671" t="n"/>
      <c r="H9" s="14" t="inlineStr">
        <is>
          <t>Actual</t>
        </is>
      </c>
      <c r="I9" s="45" t="n">
        <v>2.1</v>
      </c>
      <c r="J9" s="45" t="n">
        <v>2.1</v>
      </c>
      <c r="K9" s="209" t="n">
        <v>3.1</v>
      </c>
      <c r="L9" s="45" t="n">
        <v>4.1</v>
      </c>
      <c r="M9" s="45" t="n">
        <v>2.6</v>
      </c>
      <c r="N9" s="45" t="n">
        <v>3.2</v>
      </c>
      <c r="O9" s="45" t="n">
        <v>0.8</v>
      </c>
      <c r="P9" s="45" t="n"/>
      <c r="Q9" s="45" t="n"/>
      <c r="R9" s="45" t="n"/>
      <c r="S9" s="45" t="n"/>
      <c r="T9" s="45" t="n"/>
      <c r="W9" t="inlineStr">
        <is>
          <t>Actual green</t>
        </is>
      </c>
      <c r="X9">
        <f>IF(I23&lt;&gt;"",IF($F22="Higher the better",IF(I23&gt;=I22,I23,NA()),IF(I23&lt;=I22,I23,NA())),NA())</f>
        <v/>
      </c>
      <c r="Y9">
        <f>IF(J23&lt;&gt;"",IF($F22="Higher the better",IF(J23&gt;=J22,J23,NA()),IF(J23&lt;=J22,J23,NA())),NA())</f>
        <v/>
      </c>
      <c r="Z9">
        <f>IF(K23&lt;&gt;"",IF($F22="Higher the better",IF(K23&gt;=K22,K23,NA()),IF(K23&lt;=K22,K23,NA())),NA())</f>
        <v/>
      </c>
      <c r="AA9">
        <f>IF(L23&lt;&gt;"",IF($F22="Higher the better",IF(L23&gt;=L22,L23,NA()),IF(L23&lt;=L22,L23,NA())),NA())</f>
        <v/>
      </c>
      <c r="AB9">
        <f>IF(M23&lt;&gt;"",IF($F22="Higher the better",IF(M23&gt;=M22,M23,NA()),IF(M23&lt;=M22,M23,NA())),NA())</f>
        <v/>
      </c>
      <c r="AC9">
        <f>IF(N23&lt;&gt;"",IF($F22="Higher the better",IF(N23&gt;=N22,N23,NA()),IF(N23&lt;=N22,N23,NA())),NA())</f>
        <v/>
      </c>
      <c r="AD9">
        <f>IF(O23&lt;&gt;"",IF($F22="Higher the better",IF(O23&gt;=O22,O23,NA()),IF(O23&lt;=O22,O23,NA())),NA())</f>
        <v/>
      </c>
      <c r="AE9">
        <f>IF(P23&lt;&gt;"",IF($F22="Higher the better",IF(P23&gt;=P22,P23,NA()),IF(P23&lt;=P22,P23,NA())),NA())</f>
        <v/>
      </c>
      <c r="AF9">
        <f>IF(Q23&lt;&gt;"",IF($F22="Higher the better",IF(Q23&gt;=Q22,Q23,NA()),IF(Q23&lt;=Q22,Q23,NA())),NA())</f>
        <v/>
      </c>
      <c r="AG9">
        <f>IF(R23&lt;&gt;"",IF($F22="Higher the better",IF(R23&gt;=R22,R23,NA()),IF(R23&lt;=R22,R23,NA())),NA())</f>
        <v/>
      </c>
      <c r="AH9">
        <f>IF(S23&lt;&gt;"",IF($F22="Higher the better",IF(S23&gt;=S22,S23,NA()),IF(S23&lt;=S22,S23,NA())),NA())</f>
        <v/>
      </c>
      <c r="AI9">
        <f>IF(T23&lt;&gt;"",IF($F22="Higher the better",IF(T23&gt;=T22,T23,NA()),IF(T23&lt;=T22,T23,NA())),NA())</f>
        <v/>
      </c>
    </row>
    <row r="10">
      <c r="A10" s="783" t="inlineStr">
        <is>
          <t xml:space="preserve">POS  Attachment Rate </t>
        </is>
      </c>
      <c r="B10" s="426" t="inlineStr">
        <is>
          <t>PoS Attachement</t>
        </is>
      </c>
      <c r="C10" s="230" t="inlineStr">
        <is>
          <t>&gt;=</t>
        </is>
      </c>
      <c r="D10" s="257" t="inlineStr">
        <is>
          <t>%</t>
        </is>
      </c>
      <c r="E10" s="230" t="inlineStr">
        <is>
          <t>%</t>
        </is>
      </c>
      <c r="F10" s="388" t="inlineStr">
        <is>
          <t>Higher the better</t>
        </is>
      </c>
      <c r="G10" s="230" t="inlineStr">
        <is>
          <t>Monthly</t>
        </is>
      </c>
      <c r="H10" s="14" t="inlineStr">
        <is>
          <t>Target</t>
        </is>
      </c>
      <c r="I10" s="47" t="n">
        <v>40</v>
      </c>
      <c r="J10" s="47" t="n">
        <v>40</v>
      </c>
      <c r="K10" s="47" t="n">
        <v>40</v>
      </c>
      <c r="L10" s="47" t="n">
        <v>40</v>
      </c>
      <c r="M10" s="47" t="n">
        <v>40</v>
      </c>
      <c r="N10" s="47" t="n">
        <v>40</v>
      </c>
      <c r="O10" s="47" t="n">
        <v>40</v>
      </c>
      <c r="P10" s="47" t="n">
        <v>40</v>
      </c>
      <c r="Q10" s="47" t="n">
        <v>40</v>
      </c>
      <c r="R10" s="47" t="n">
        <v>40</v>
      </c>
      <c r="S10" s="47" t="n">
        <v>40</v>
      </c>
      <c r="T10" s="47" t="n">
        <v>40</v>
      </c>
      <c r="W10" t="inlineStr">
        <is>
          <t>Actual red</t>
        </is>
      </c>
      <c r="X10">
        <f>IF(I23&lt;&gt;"",IF($F22="Higher the better",IF(I23&lt;I22,I23,NA()),IF(I23&gt;I22,I23,NA())),NA())</f>
        <v/>
      </c>
      <c r="Y10">
        <f>IF(J23&lt;&gt;"",IF($F22="Higher the better",IF(J23&lt;J22,J23,NA()),IF(J23&gt;J22,J23,NA())),NA())</f>
        <v/>
      </c>
      <c r="Z10">
        <f>IF(K23&lt;&gt;"",IF($F22="Higher the better",IF(K23&lt;K22,K23,NA()),IF(K23&gt;K22,K23,NA())),NA())</f>
        <v/>
      </c>
      <c r="AA10">
        <f>IF(L23&lt;&gt;"",IF($F22="Higher the better",IF(L23&lt;L22,L23,NA()),IF(L23&gt;L22,L23,NA())),NA())</f>
        <v/>
      </c>
      <c r="AB10">
        <f>IF(M23&lt;&gt;"",IF($F22="Higher the better",IF(M23&lt;M22,M23,NA()),IF(M23&gt;M22,M23,NA())),NA())</f>
        <v/>
      </c>
      <c r="AC10">
        <f>IF(N23&lt;&gt;"",IF($F22="Higher the better",IF(N23&lt;N22,N23,NA()),IF(N23&gt;N22,N23,NA())),NA())</f>
        <v/>
      </c>
      <c r="AD10">
        <f>IF(O23&lt;&gt;"",IF($F22="Higher the better",IF(O23&lt;O22,O23,NA()),IF(O23&gt;O22,O23,NA())),NA())</f>
        <v/>
      </c>
      <c r="AE10">
        <f>IF(P23&lt;&gt;"",IF($F22="Higher the better",IF(P23&lt;P22,P23,NA()),IF(P23&gt;P22,P23,NA())),NA())</f>
        <v/>
      </c>
      <c r="AF10">
        <f>IF(Q23&lt;&gt;"",IF($F22="Higher the better",IF(Q23&lt;Q22,Q23,NA()),IF(Q23&gt;Q22,Q23,NA())),NA())</f>
        <v/>
      </c>
      <c r="AG10">
        <f>IF(R23&lt;&gt;"",IF($F22="Higher the better",IF(R23&lt;R22,R23,NA()),IF(R23&gt;R22,R23,NA())),NA())</f>
        <v/>
      </c>
      <c r="AH10">
        <f>IF(S23&lt;&gt;"",IF($F22="Higher the better",IF(S23&lt;S22,S23,NA()),IF(S23&gt;S22,S23,NA())),NA())</f>
        <v/>
      </c>
      <c r="AI10">
        <f>IF(T23&lt;&gt;"",IF($F22="Higher the better",IF(T23&lt;T22,T23,NA()),IF(T23&gt;T22,T23,NA())),NA())</f>
        <v/>
      </c>
    </row>
    <row r="11">
      <c r="A11" s="669" t="n"/>
      <c r="B11" s="671" t="n"/>
      <c r="C11" s="671" t="n"/>
      <c r="D11" s="671" t="n"/>
      <c r="E11" s="671" t="n"/>
      <c r="F11" s="671" t="n"/>
      <c r="G11" s="671" t="n"/>
      <c r="H11" s="14" t="inlineStr">
        <is>
          <t>Actual</t>
        </is>
      </c>
      <c r="I11" s="45" t="n">
        <v>60</v>
      </c>
      <c r="J11" s="286" t="n">
        <v>20</v>
      </c>
      <c r="K11" s="286" t="n">
        <v>21</v>
      </c>
      <c r="L11" s="286" t="n">
        <v>68</v>
      </c>
      <c r="M11" s="45" t="n">
        <v>38</v>
      </c>
      <c r="N11" s="45" t="n"/>
      <c r="O11" s="45" t="n"/>
      <c r="P11" s="45" t="n"/>
      <c r="Q11" s="45" t="n"/>
      <c r="R11" s="45" t="n"/>
      <c r="S11" s="45" t="n"/>
      <c r="T11" s="45" t="n"/>
      <c r="W11" t="inlineStr">
        <is>
          <t>Actual green</t>
        </is>
      </c>
      <c r="X11">
        <f>IF(I25&lt;&gt;"",IF($F24="Higher the better",IF(I25&gt;=I24,I25,NA()),IF(I25&lt;=I24,I25,NA())),NA())</f>
        <v/>
      </c>
      <c r="Y11">
        <f>IF(J25&lt;&gt;"",IF($F24="Higher the better",IF(J25&gt;=J24,J25,NA()),IF(J25&lt;=J24,J25,NA())),NA())</f>
        <v/>
      </c>
      <c r="Z11">
        <f>IF(K25&lt;&gt;"",IF($F24="Higher the better",IF(K25&gt;=K24,K25,NA()),IF(K25&lt;=K24,K25,NA())),NA())</f>
        <v/>
      </c>
      <c r="AA11">
        <f>IF(L25&lt;&gt;"",IF($F24="Higher the better",IF(L25&gt;=L24,L25,NA()),IF(L25&lt;=L24,L25,NA())),NA())</f>
        <v/>
      </c>
      <c r="AB11">
        <f>IF(M25&lt;&gt;"",IF($F24="Higher the better",IF(M25&gt;=M24,M25,NA()),IF(M25&lt;=M24,M25,NA())),NA())</f>
        <v/>
      </c>
      <c r="AC11">
        <f>IF(N25&lt;&gt;"",IF($F24="Higher the better",IF(N25&gt;=N24,N25,NA()),IF(N25&lt;=N24,N25,NA())),NA())</f>
        <v/>
      </c>
      <c r="AD11">
        <f>IF(O25&lt;&gt;"",IF($F24="Higher the better",IF(O25&gt;=O24,O25,NA()),IF(O25&lt;=O24,O25,NA())),NA())</f>
        <v/>
      </c>
      <c r="AE11">
        <f>IF(P25&lt;&gt;"",IF($F24="Higher the better",IF(P25&gt;=P24,P25,NA()),IF(P25&lt;=P24,P25,NA())),NA())</f>
        <v/>
      </c>
      <c r="AF11">
        <f>IF(Q25&lt;&gt;"",IF($F24="Higher the better",IF(Q25&gt;=Q24,Q25,NA()),IF(Q25&lt;=Q24,Q25,NA())),NA())</f>
        <v/>
      </c>
      <c r="AG11">
        <f>IF(R25&lt;&gt;"",IF($F24="Higher the better",IF(R25&gt;=R24,R25,NA()),IF(R25&lt;=R24,R25,NA())),NA())</f>
        <v/>
      </c>
      <c r="AH11">
        <f>IF(S25&lt;&gt;"",IF($F24="Higher the better",IF(S25&gt;=S24,S25,NA()),IF(S25&lt;=S24,S25,NA())),NA())</f>
        <v/>
      </c>
      <c r="AI11">
        <f>IF(T25&lt;&gt;"",IF($F24="Higher the better",IF(T25&gt;=T24,T25,NA()),IF(T25&lt;=T24,T25,NA())),NA())</f>
        <v/>
      </c>
    </row>
    <row r="12" ht="18.6" customHeight="1">
      <c r="A12" s="31" t="inlineStr">
        <is>
          <t>Critical Enabling/Leading KPI's (3-5)</t>
        </is>
      </c>
      <c r="G12" s="38" t="n"/>
      <c r="I12" s="43" t="n"/>
      <c r="J12" s="43" t="n"/>
      <c r="K12" s="43" t="n"/>
      <c r="L12" s="43" t="n"/>
      <c r="M12" s="43" t="n"/>
      <c r="N12" s="43" t="n"/>
      <c r="O12" s="43" t="n"/>
      <c r="P12" s="43" t="n"/>
      <c r="Q12" s="43" t="n"/>
      <c r="R12" s="43" t="n"/>
      <c r="S12" s="43" t="n"/>
      <c r="T12" s="43" t="n"/>
      <c r="W12" t="inlineStr">
        <is>
          <t>Actual red</t>
        </is>
      </c>
      <c r="X12">
        <f>IF(I25&lt;&gt;"",IF($F24="Higher the better",IF(I25&lt;I24,I25,NA()),IF(I25&gt;I24,I25,NA())),NA())</f>
        <v/>
      </c>
      <c r="Y12">
        <f>IF(J25&lt;&gt;"",IF($F24="Higher the better",IF(J25&lt;J24,J25,NA()),IF(J25&gt;J24,J25,NA())),NA())</f>
        <v/>
      </c>
      <c r="Z12">
        <f>IF(K25&lt;&gt;"",IF($F24="Higher the better",IF(K25&lt;K24,K25,NA()),IF(K25&gt;K24,K25,NA())),NA())</f>
        <v/>
      </c>
      <c r="AA12">
        <f>IF(L25&lt;&gt;"",IF($F24="Higher the better",IF(L25&lt;L24,L25,NA()),IF(L25&gt;L24,L25,NA())),NA())</f>
        <v/>
      </c>
      <c r="AB12">
        <f>IF(M25&lt;&gt;"",IF($F24="Higher the better",IF(M25&lt;M24,M25,NA()),IF(M25&gt;M24,M25,NA())),NA())</f>
        <v/>
      </c>
      <c r="AC12">
        <f>IF(N25&lt;&gt;"",IF($F24="Higher the better",IF(N25&lt;N24,N25,NA()),IF(N25&gt;N24,N25,NA())),NA())</f>
        <v/>
      </c>
      <c r="AD12">
        <f>IF(O25&lt;&gt;"",IF($F24="Higher the better",IF(O25&lt;O24,O25,NA()),IF(O25&gt;O24,O25,NA())),NA())</f>
        <v/>
      </c>
      <c r="AE12">
        <f>IF(P25&lt;&gt;"",IF($F24="Higher the better",IF(P25&lt;P24,P25,NA()),IF(P25&gt;P24,P25,NA())),NA())</f>
        <v/>
      </c>
      <c r="AF12">
        <f>IF(Q25&lt;&gt;"",IF($F24="Higher the better",IF(Q25&lt;Q24,Q25,NA()),IF(Q25&gt;Q24,Q25,NA())),NA())</f>
        <v/>
      </c>
      <c r="AG12">
        <f>IF(R25&lt;&gt;"",IF($F24="Higher the better",IF(R25&lt;R24,R25,NA()),IF(R25&gt;R24,R25,NA())),NA())</f>
        <v/>
      </c>
      <c r="AH12">
        <f>IF(S25&lt;&gt;"",IF($F24="Higher the better",IF(S25&lt;S24,S25,NA()),IF(S25&gt;S24,S25,NA())),NA())</f>
        <v/>
      </c>
      <c r="AI12">
        <f>IF(T25&lt;&gt;"",IF($F24="Higher the better",IF(T25&lt;T24,T25,NA()),IF(T25&gt;T24,T25,NA())),NA())</f>
        <v/>
      </c>
    </row>
    <row r="13" ht="27.6"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row>
    <row r="14" ht="14.85" customHeight="1">
      <c r="A14" s="783" t="inlineStr">
        <is>
          <t>Funnel Coverage</t>
        </is>
      </c>
      <c r="B14" s="426" t="inlineStr">
        <is>
          <t>Funnel Sufficiency</t>
        </is>
      </c>
      <c r="C14" s="230" t="inlineStr">
        <is>
          <t>&gt;=</t>
        </is>
      </c>
      <c r="D14" s="388" t="inlineStr">
        <is>
          <t>3x Funnel Qualify to OP</t>
        </is>
      </c>
      <c r="E14" s="230" t="inlineStr">
        <is>
          <t>No.</t>
        </is>
      </c>
      <c r="F14" s="388" t="inlineStr">
        <is>
          <t>Higher the better</t>
        </is>
      </c>
      <c r="G14" s="230" t="inlineStr">
        <is>
          <t>Monthly</t>
        </is>
      </c>
      <c r="H14" s="14" t="inlineStr">
        <is>
          <t>Target</t>
        </is>
      </c>
      <c r="I14" s="44" t="n">
        <v>7.2</v>
      </c>
      <c r="J14" s="44" t="n">
        <v>7.2</v>
      </c>
      <c r="K14" s="44" t="n">
        <v>9.6</v>
      </c>
      <c r="L14" s="44" t="n">
        <v>7.2</v>
      </c>
      <c r="M14" s="44" t="n">
        <v>7.2</v>
      </c>
      <c r="N14" s="44" t="n">
        <v>9.6</v>
      </c>
      <c r="O14" s="44" t="n">
        <v>8.4</v>
      </c>
      <c r="P14" s="44" t="n">
        <v>8.4</v>
      </c>
      <c r="Q14" s="44" t="n">
        <v>16.8</v>
      </c>
      <c r="R14" s="44" t="n">
        <v>11.1</v>
      </c>
      <c r="S14" s="44" t="n">
        <v>12.3</v>
      </c>
      <c r="T14" s="44" t="n">
        <v>12.6</v>
      </c>
    </row>
    <row r="15">
      <c r="A15" s="669" t="n"/>
      <c r="B15" s="671" t="n"/>
      <c r="C15" s="671" t="n"/>
      <c r="D15" s="671" t="n"/>
      <c r="E15" s="671" t="n"/>
      <c r="F15" s="671" t="n"/>
      <c r="G15" s="671" t="n"/>
      <c r="H15" s="14" t="inlineStr">
        <is>
          <t>Actual</t>
        </is>
      </c>
      <c r="I15" s="45" t="n">
        <v>7.4</v>
      </c>
      <c r="J15" s="45" t="n">
        <v>7.1</v>
      </c>
      <c r="K15" s="45" t="n">
        <v>10</v>
      </c>
      <c r="L15" s="45" t="n">
        <v>9.81</v>
      </c>
      <c r="M15" s="45" t="n">
        <v>12.3</v>
      </c>
      <c r="N15" s="45" t="n">
        <v>7.7</v>
      </c>
      <c r="O15" s="45" t="n">
        <v>9.800000000000001</v>
      </c>
      <c r="P15" s="45" t="n">
        <v>5.2</v>
      </c>
      <c r="Q15" s="45" t="n"/>
      <c r="R15" s="45" t="n"/>
      <c r="S15" s="45" t="n"/>
      <c r="T15" s="45" t="n"/>
    </row>
    <row r="16">
      <c r="A16" s="783" t="inlineStr">
        <is>
          <t># Of Demos</t>
        </is>
      </c>
      <c r="B16" s="426" t="inlineStr">
        <is>
          <t>Qtrly Phasing: Q1 20%, Q2 25%, Q3 25%, Q4 30%</t>
        </is>
      </c>
      <c r="C16" s="230" t="inlineStr">
        <is>
          <t>&gt;=</t>
        </is>
      </c>
      <c r="D16" s="388" t="n">
        <v>125</v>
      </c>
      <c r="E16" s="230" t="inlineStr">
        <is>
          <t>No.</t>
        </is>
      </c>
      <c r="F16" s="388" t="inlineStr">
        <is>
          <t>Higher the better</t>
        </is>
      </c>
      <c r="G16" s="230" t="inlineStr">
        <is>
          <t>Monthly</t>
        </is>
      </c>
      <c r="H16" s="14" t="inlineStr">
        <is>
          <t>Target</t>
        </is>
      </c>
      <c r="I16" s="44" t="n">
        <v>7</v>
      </c>
      <c r="J16" s="44" t="n">
        <v>8</v>
      </c>
      <c r="K16" s="44" t="n">
        <v>10</v>
      </c>
      <c r="L16" s="44" t="n">
        <v>9</v>
      </c>
      <c r="M16" s="44" t="n">
        <v>10</v>
      </c>
      <c r="N16" s="44" t="n">
        <v>12</v>
      </c>
      <c r="O16" s="44" t="n">
        <v>9</v>
      </c>
      <c r="P16" s="44" t="n">
        <v>10</v>
      </c>
      <c r="Q16" s="44" t="n">
        <v>12</v>
      </c>
      <c r="R16" s="44" t="n">
        <v>11</v>
      </c>
      <c r="S16" s="44" t="n">
        <v>13</v>
      </c>
      <c r="T16" s="44" t="n">
        <v>14</v>
      </c>
    </row>
    <row r="17">
      <c r="A17" s="669" t="n"/>
      <c r="B17" s="671" t="n"/>
      <c r="C17" s="671" t="n"/>
      <c r="D17" s="671" t="n"/>
      <c r="E17" s="671" t="n"/>
      <c r="F17" s="671" t="n"/>
      <c r="G17" s="671" t="n"/>
      <c r="H17" s="14" t="inlineStr">
        <is>
          <t>Actual</t>
        </is>
      </c>
      <c r="I17" s="45" t="n">
        <v>10</v>
      </c>
      <c r="J17" s="45" t="n">
        <v>9</v>
      </c>
      <c r="K17" s="45" t="n">
        <v>6</v>
      </c>
      <c r="L17" s="45" t="n">
        <v>7.5</v>
      </c>
      <c r="M17" s="45" t="n">
        <v>8</v>
      </c>
      <c r="N17" s="45" t="n">
        <v>11</v>
      </c>
      <c r="O17" s="45" t="n">
        <v>10</v>
      </c>
      <c r="P17" s="45" t="n"/>
      <c r="Q17" s="45" t="n"/>
      <c r="R17" s="45" t="n"/>
      <c r="S17" s="45" t="n"/>
      <c r="T17" s="45" t="n"/>
    </row>
    <row r="18">
      <c r="A18" s="783" t="inlineStr">
        <is>
          <t>Demo Winrate</t>
        </is>
      </c>
      <c r="B18" s="426" t="inlineStr">
        <is>
          <t>ITM Demo Winrate</t>
        </is>
      </c>
      <c r="C18" s="230" t="inlineStr">
        <is>
          <t>&gt;=</t>
        </is>
      </c>
      <c r="D18" s="257" t="n">
        <v>0.5</v>
      </c>
      <c r="E18" s="230" t="inlineStr">
        <is>
          <t>%</t>
        </is>
      </c>
      <c r="F18" s="388" t="inlineStr">
        <is>
          <t>Higher the better</t>
        </is>
      </c>
      <c r="G18" s="230" t="inlineStr">
        <is>
          <t>Monthly</t>
        </is>
      </c>
      <c r="H18" s="14" t="inlineStr">
        <is>
          <t>Target</t>
        </is>
      </c>
      <c r="I18" s="44" t="n">
        <v>50</v>
      </c>
      <c r="J18" s="44" t="n">
        <v>50</v>
      </c>
      <c r="K18" s="44" t="n">
        <v>50</v>
      </c>
      <c r="L18" s="44" t="n">
        <v>50</v>
      </c>
      <c r="M18" s="44" t="n">
        <v>50</v>
      </c>
      <c r="N18" s="44" t="n">
        <v>50</v>
      </c>
      <c r="O18" s="44" t="n">
        <v>50</v>
      </c>
      <c r="P18" s="44" t="n">
        <v>50</v>
      </c>
      <c r="Q18" s="44" t="n">
        <v>50</v>
      </c>
      <c r="R18" s="44" t="n">
        <v>50</v>
      </c>
      <c r="S18" s="44" t="n">
        <v>50</v>
      </c>
      <c r="T18" s="44" t="n">
        <v>50</v>
      </c>
    </row>
    <row r="19">
      <c r="A19" s="669" t="n"/>
      <c r="B19" s="671" t="n"/>
      <c r="C19" s="671" t="n"/>
      <c r="D19" s="671" t="n"/>
      <c r="E19" s="671" t="n"/>
      <c r="F19" s="671" t="n"/>
      <c r="G19" s="671" t="n"/>
      <c r="H19" s="14" t="inlineStr">
        <is>
          <t>Actual</t>
        </is>
      </c>
      <c r="I19" s="179" t="n">
        <v>85.7</v>
      </c>
      <c r="J19" s="179" t="n">
        <v>61.5</v>
      </c>
      <c r="K19" s="179" t="n">
        <v>50</v>
      </c>
      <c r="L19" s="285" t="n">
        <v>38.5</v>
      </c>
      <c r="M19" s="45" t="n">
        <v>85.7</v>
      </c>
      <c r="N19" s="45" t="n">
        <v>42.9</v>
      </c>
      <c r="O19" s="45" t="n">
        <v>100</v>
      </c>
      <c r="P19" s="45" t="n"/>
      <c r="Q19" s="45" t="n"/>
      <c r="R19" s="45" t="n"/>
      <c r="S19" s="45" t="n"/>
      <c r="T19" s="45" t="n"/>
    </row>
    <row r="20" ht="14.85" customHeight="1">
      <c r="A20" s="783" t="inlineStr">
        <is>
          <t>Visiblity</t>
        </is>
      </c>
      <c r="B20" s="426" t="inlineStr">
        <is>
          <t>OIT+Lost+ NP / Market Size</t>
        </is>
      </c>
      <c r="C20" s="230" t="inlineStr">
        <is>
          <t>&gt;=</t>
        </is>
      </c>
      <c r="D20" s="257" t="n">
        <v>0.26</v>
      </c>
      <c r="E20" s="230" t="inlineStr">
        <is>
          <t>%</t>
        </is>
      </c>
      <c r="F20" s="388" t="inlineStr">
        <is>
          <t>Higher the better</t>
        </is>
      </c>
      <c r="G20" s="230" t="inlineStr">
        <is>
          <t>Quarterly</t>
        </is>
      </c>
      <c r="H20" s="14" t="inlineStr">
        <is>
          <t>Target</t>
        </is>
      </c>
      <c r="I20" s="44" t="n">
        <v>26</v>
      </c>
      <c r="J20" s="44" t="n">
        <v>26</v>
      </c>
      <c r="K20" s="44" t="n">
        <v>26</v>
      </c>
      <c r="L20" s="44" t="n">
        <v>26</v>
      </c>
      <c r="M20" s="44" t="n">
        <v>26</v>
      </c>
      <c r="N20" s="44" t="n">
        <v>26</v>
      </c>
      <c r="O20" s="44" t="n">
        <v>26</v>
      </c>
      <c r="P20" s="44" t="n">
        <v>26</v>
      </c>
      <c r="Q20" s="44" t="n">
        <v>26</v>
      </c>
      <c r="R20" s="44" t="n">
        <v>26</v>
      </c>
      <c r="S20" s="44" t="n">
        <v>26</v>
      </c>
      <c r="T20" s="44" t="n">
        <v>26</v>
      </c>
    </row>
    <row r="21" ht="15.6" customHeight="1">
      <c r="A21" s="669" t="n"/>
      <c r="B21" s="671" t="n"/>
      <c r="C21" s="671" t="n"/>
      <c r="D21" s="671" t="n"/>
      <c r="E21" s="671" t="n"/>
      <c r="F21" s="671" t="n"/>
      <c r="G21" s="671" t="n"/>
      <c r="H21" s="14" t="inlineStr">
        <is>
          <t>Actual</t>
        </is>
      </c>
      <c r="I21" s="45" t="n">
        <v>17.8</v>
      </c>
      <c r="J21" s="45" t="n">
        <v>17.8</v>
      </c>
      <c r="K21" s="45" t="n">
        <v>17.8</v>
      </c>
      <c r="L21" s="45" t="n"/>
      <c r="M21" s="45" t="n"/>
      <c r="N21" s="45" t="n"/>
      <c r="O21" s="45" t="n"/>
      <c r="P21" s="45" t="n"/>
      <c r="Q21" s="45" t="n"/>
      <c r="R21" s="45" t="n"/>
      <c r="S21" s="45" t="n"/>
      <c r="T21" s="45" t="n"/>
    </row>
    <row r="22">
      <c r="A22" s="782" t="inlineStr">
        <is>
          <t>IB Winrate (Competition)</t>
        </is>
      </c>
      <c r="B22" s="735" t="inlineStr">
        <is>
          <t>Competition IB Winrate(Philips Opptys won/ Total Opps )</t>
        </is>
      </c>
      <c r="C22" s="230" t="inlineStr">
        <is>
          <t>&gt;=</t>
        </is>
      </c>
      <c r="D22" s="257" t="n">
        <v>0.28</v>
      </c>
      <c r="E22" s="350" t="inlineStr">
        <is>
          <t>%</t>
        </is>
      </c>
      <c r="F22" s="388" t="inlineStr">
        <is>
          <t>Higher the better</t>
        </is>
      </c>
      <c r="G22" s="230" t="inlineStr">
        <is>
          <t>Monthly</t>
        </is>
      </c>
      <c r="H22" s="14" t="inlineStr">
        <is>
          <t>Target</t>
        </is>
      </c>
      <c r="I22" s="44" t="n">
        <v>28</v>
      </c>
      <c r="J22" s="44" t="n">
        <v>28</v>
      </c>
      <c r="K22" s="44" t="n">
        <v>28</v>
      </c>
      <c r="L22" s="44" t="n">
        <v>28</v>
      </c>
      <c r="M22" s="44" t="n">
        <v>28</v>
      </c>
      <c r="N22" s="44" t="n">
        <v>28</v>
      </c>
      <c r="O22" s="44" t="n">
        <v>28</v>
      </c>
      <c r="P22" s="44" t="n">
        <v>28</v>
      </c>
      <c r="Q22" s="44" t="n">
        <v>28</v>
      </c>
      <c r="R22" s="44" t="n">
        <v>28</v>
      </c>
      <c r="S22" s="44" t="n">
        <v>28</v>
      </c>
      <c r="T22" s="44" t="n">
        <v>28</v>
      </c>
    </row>
    <row r="23" ht="13.5" customHeight="1">
      <c r="A23" s="671" t="n"/>
      <c r="B23" s="671" t="n"/>
      <c r="C23" s="671" t="n"/>
      <c r="D23" s="671" t="n"/>
      <c r="E23" s="460" t="n"/>
      <c r="F23" s="671" t="n"/>
      <c r="G23" s="671" t="n"/>
      <c r="H23" s="14" t="inlineStr">
        <is>
          <t>Actual</t>
        </is>
      </c>
      <c r="I23" s="45" t="n">
        <v>26</v>
      </c>
      <c r="J23" s="45" t="n">
        <v>45.7</v>
      </c>
      <c r="K23" s="45" t="n">
        <v>44</v>
      </c>
      <c r="L23" s="45" t="n">
        <v>31.5</v>
      </c>
      <c r="M23" s="45" t="n">
        <v>26.5</v>
      </c>
      <c r="N23" s="45" t="n">
        <v>52</v>
      </c>
      <c r="O23" s="45" t="n">
        <v>38</v>
      </c>
      <c r="P23" s="45" t="n"/>
      <c r="Q23" s="45" t="n"/>
      <c r="R23" s="45" t="n"/>
      <c r="S23" s="45" t="n"/>
      <c r="T23" s="45" t="n"/>
    </row>
    <row r="24" ht="13.5" customHeight="1">
      <c r="A24" s="782" t="inlineStr">
        <is>
          <t>Win Rate (Total)</t>
        </is>
      </c>
      <c r="B24" s="426" t="inlineStr">
        <is>
          <t>PH OIT / PH OIT+Lost+ NP</t>
        </is>
      </c>
      <c r="C24" s="230" t="inlineStr">
        <is>
          <t>&gt;=</t>
        </is>
      </c>
      <c r="D24" s="106" t="n">
        <v>0.34</v>
      </c>
      <c r="E24" s="230" t="inlineStr">
        <is>
          <t>%</t>
        </is>
      </c>
      <c r="F24" s="388" t="inlineStr">
        <is>
          <t>Higher the better</t>
        </is>
      </c>
      <c r="G24" s="230" t="inlineStr">
        <is>
          <t>Monthly</t>
        </is>
      </c>
      <c r="H24" s="14" t="inlineStr">
        <is>
          <t>Target</t>
        </is>
      </c>
      <c r="I24" s="4" t="n">
        <v>0.34</v>
      </c>
      <c r="J24" s="4" t="n">
        <v>0.34</v>
      </c>
      <c r="K24" s="4" t="n">
        <v>0.34</v>
      </c>
      <c r="L24" s="4" t="n">
        <v>0.34</v>
      </c>
      <c r="M24" s="4" t="n">
        <v>0.34</v>
      </c>
      <c r="N24" s="4" t="n">
        <v>0.34</v>
      </c>
      <c r="O24" s="4" t="n">
        <v>0.34</v>
      </c>
      <c r="P24" s="4" t="n">
        <v>0.34</v>
      </c>
      <c r="Q24" s="4" t="n">
        <v>0.34</v>
      </c>
      <c r="R24" s="4" t="n">
        <v>0.34</v>
      </c>
      <c r="S24" s="4" t="n">
        <v>0.34</v>
      </c>
      <c r="T24" s="4" t="n">
        <v>0.34</v>
      </c>
    </row>
    <row r="25" ht="13.5" customHeight="1">
      <c r="A25" s="671" t="n"/>
      <c r="B25" s="671" t="n"/>
      <c r="C25" s="671" t="n"/>
      <c r="D25" s="671" t="n"/>
      <c r="E25" s="671" t="n"/>
      <c r="F25" s="671" t="n"/>
      <c r="G25" s="671" t="n"/>
      <c r="H25" s="14" t="inlineStr">
        <is>
          <t>Actual</t>
        </is>
      </c>
      <c r="I25" s="5" t="n">
        <v>0.34</v>
      </c>
      <c r="J25" s="5" t="n">
        <v>0.354</v>
      </c>
      <c r="K25" s="5" t="n">
        <v>0.402</v>
      </c>
      <c r="L25" s="5" t="n">
        <v>0.5629999999999999</v>
      </c>
      <c r="M25" s="5" t="n">
        <v>0.59</v>
      </c>
      <c r="N25" s="5" t="n">
        <v>0.494</v>
      </c>
      <c r="O25" s="45" t="n">
        <v>58.4</v>
      </c>
      <c r="P25" s="45" t="n"/>
      <c r="Q25" s="45" t="n"/>
      <c r="R25" s="45" t="n"/>
      <c r="S25" s="45" t="n"/>
      <c r="T25" s="45" t="n"/>
    </row>
    <row r="26" ht="15" customHeight="1">
      <c r="E26" s="32" t="inlineStr">
        <is>
          <t xml:space="preserve">
</t>
        </is>
      </c>
      <c r="H26" s="33" t="n"/>
    </row>
    <row r="27" ht="21" customHeight="1">
      <c r="A27" s="10" t="inlineStr">
        <is>
          <t>Trends-</t>
        </is>
      </c>
      <c r="I27" t="inlineStr">
        <is>
          <t xml:space="preserve">To be updated </t>
        </is>
      </c>
    </row>
    <row r="28">
      <c r="A28" s="639" t="n"/>
    </row>
    <row r="29">
      <c r="A29" s="639" t="n"/>
    </row>
    <row r="30">
      <c r="A30" s="639" t="n"/>
    </row>
    <row r="31">
      <c r="A31" s="639" t="n"/>
    </row>
    <row r="32">
      <c r="A32" s="639" t="n"/>
    </row>
    <row r="33">
      <c r="A33" s="639" t="n"/>
    </row>
    <row r="34">
      <c r="A34" s="639" t="n"/>
    </row>
    <row r="35">
      <c r="A35" s="639" t="n"/>
    </row>
    <row r="36">
      <c r="A36" s="639" t="n"/>
    </row>
    <row r="37">
      <c r="A37" s="639" t="n"/>
    </row>
    <row r="38">
      <c r="A38" s="639" t="n"/>
    </row>
    <row r="39">
      <c r="A39" s="639" t="n"/>
    </row>
    <row r="40">
      <c r="A40" s="639" t="n"/>
    </row>
    <row r="41">
      <c r="A41" s="639" t="n"/>
    </row>
    <row r="42">
      <c r="A42" s="639" t="n"/>
    </row>
    <row r="43">
      <c r="A43" s="639" t="n"/>
    </row>
    <row r="44" ht="21" customHeight="1">
      <c r="A44" s="500" t="inlineStr">
        <is>
          <t>If the KPI is reported Red, fill all the details as mentioned below for analysis &amp; actions:</t>
        </is>
      </c>
    </row>
    <row r="45">
      <c r="A45" s="639" t="n"/>
    </row>
    <row r="46" ht="21" customHeight="1">
      <c r="A46" s="449" t="inlineStr">
        <is>
          <t>Root Cause Analysis-</t>
        </is>
      </c>
    </row>
    <row r="47" ht="20.1" customHeight="1">
      <c r="A47" s="466" t="inlineStr">
        <is>
          <t xml:space="preserve"> Red KPI</t>
        </is>
      </c>
      <c r="B47" s="361" t="inlineStr">
        <is>
          <t xml:space="preserve">Top  Causes </t>
        </is>
      </c>
      <c r="C47" s="693" t="n"/>
      <c r="D47" s="693" t="n"/>
      <c r="E47" s="693" t="n"/>
      <c r="F47" s="692" t="n"/>
    </row>
    <row r="48" ht="15" customHeight="1">
      <c r="A48" s="694" t="n"/>
      <c r="B48" s="361" t="inlineStr">
        <is>
          <t xml:space="preserve">Cause 1 </t>
        </is>
      </c>
      <c r="C48" s="361" t="inlineStr">
        <is>
          <t>Cause 2</t>
        </is>
      </c>
      <c r="D48" s="361" t="inlineStr">
        <is>
          <t>Cause 3</t>
        </is>
      </c>
      <c r="E48" s="361" t="inlineStr">
        <is>
          <t>Cause 4</t>
        </is>
      </c>
      <c r="F48" s="361" t="inlineStr">
        <is>
          <t>Cause 5</t>
        </is>
      </c>
    </row>
    <row r="49" ht="19.35" customHeight="1">
      <c r="A49" s="40" t="inlineStr">
        <is>
          <t>Market Share</t>
        </is>
      </c>
      <c r="B49" s="41" t="inlineStr">
        <is>
          <t>OPEN HC</t>
        </is>
      </c>
      <c r="C49" s="41" t="inlineStr">
        <is>
          <t>New Sales Team</t>
        </is>
      </c>
      <c r="D49" s="41" t="inlineStr">
        <is>
          <t>Lack of 3D</t>
        </is>
      </c>
      <c r="E49" s="41" t="n"/>
      <c r="F49" s="41" t="n"/>
    </row>
    <row r="50" ht="19.35" customHeight="1">
      <c r="A50" s="27" t="inlineStr">
        <is>
          <t>% impact on KPI gap</t>
        </is>
      </c>
      <c r="B50" s="42" t="n">
        <v>0.1</v>
      </c>
      <c r="C50" s="42" t="n">
        <v>0.2</v>
      </c>
      <c r="D50" s="42" t="n">
        <v>0.3</v>
      </c>
      <c r="E50" s="42" t="n">
        <v>0.4</v>
      </c>
      <c r="F50" s="42" t="n">
        <v>0.13</v>
      </c>
    </row>
    <row r="51" ht="19.35" customHeight="1">
      <c r="A51" s="361" t="inlineStr">
        <is>
          <t>Red KPI</t>
        </is>
      </c>
      <c r="B51" s="361" t="inlineStr">
        <is>
          <t xml:space="preserve">Cause 1 </t>
        </is>
      </c>
      <c r="C51" s="361" t="inlineStr">
        <is>
          <t>Cause 2</t>
        </is>
      </c>
      <c r="D51" s="361" t="inlineStr">
        <is>
          <t>Cause 3</t>
        </is>
      </c>
      <c r="E51" s="361" t="inlineStr">
        <is>
          <t>Cause 4</t>
        </is>
      </c>
      <c r="F51" s="361" t="inlineStr">
        <is>
          <t>Cause 5</t>
        </is>
      </c>
    </row>
    <row r="52" ht="19.35" customHeight="1">
      <c r="A52" s="27" t="inlineStr">
        <is>
          <t>Order Intake</t>
        </is>
      </c>
      <c r="B52" t="inlineStr">
        <is>
          <t>Insufficient early-quarter funnel conversion</t>
        </is>
      </c>
      <c r="C52" t="inlineStr">
        <is>
          <t>slower progression from Develop → Propose impacting close velocity</t>
        </is>
      </c>
      <c r="D52" s="41" t="n"/>
      <c r="E52" s="41" t="n"/>
      <c r="F52" s="41" t="n"/>
    </row>
    <row r="53" ht="19.35" customHeight="1">
      <c r="A53" s="27" t="inlineStr">
        <is>
          <t>% impact on KPI gap</t>
        </is>
      </c>
      <c r="B53" s="42" t="n">
        <v>0.5</v>
      </c>
      <c r="C53" s="42" t="n">
        <v>0.5</v>
      </c>
      <c r="D53" s="42" t="n"/>
      <c r="E53" s="42" t="n"/>
      <c r="F53" s="42" t="n"/>
    </row>
    <row r="54" ht="19.35" customHeight="1">
      <c r="A54" s="361" t="inlineStr">
        <is>
          <t>Red KPI</t>
        </is>
      </c>
      <c r="B54" s="361" t="inlineStr">
        <is>
          <t xml:space="preserve">Cause 1 </t>
        </is>
      </c>
      <c r="C54" s="361" t="inlineStr">
        <is>
          <t>Cause 2</t>
        </is>
      </c>
      <c r="D54" s="361" t="inlineStr">
        <is>
          <t>Cause 3</t>
        </is>
      </c>
      <c r="E54" s="361" t="inlineStr">
        <is>
          <t>Cause 4</t>
        </is>
      </c>
      <c r="F54" s="361" t="inlineStr">
        <is>
          <t>Cause 5</t>
        </is>
      </c>
    </row>
    <row r="55" ht="19.35" customHeight="1">
      <c r="A55" s="27" t="inlineStr">
        <is>
          <t>IB Competitive Win Rate(Total)</t>
        </is>
      </c>
      <c r="B55" t="inlineStr">
        <is>
          <t>Competitive intensity</t>
        </is>
      </c>
      <c r="C55" t="inlineStr">
        <is>
          <t>IB prioritization</t>
        </is>
      </c>
      <c r="D55" t="inlineStr">
        <is>
          <t>Playbook execution</t>
        </is>
      </c>
      <c r="E55" s="41" t="n"/>
      <c r="F55" s="41" t="n"/>
    </row>
    <row r="56" ht="19.35" customHeight="1">
      <c r="A56" s="27" t="inlineStr">
        <is>
          <t>% impact on KPI gap</t>
        </is>
      </c>
      <c r="B56" s="42" t="n">
        <v>0.4</v>
      </c>
      <c r="C56" s="42" t="n">
        <v>0.35</v>
      </c>
      <c r="D56" s="42" t="n">
        <v>0.25</v>
      </c>
      <c r="E56" s="42" t="n"/>
      <c r="F56" s="42" t="n"/>
    </row>
    <row r="57" ht="19.35" customHeight="1">
      <c r="A57" s="361" t="inlineStr">
        <is>
          <t>Red KPI</t>
        </is>
      </c>
      <c r="B57" s="361" t="inlineStr">
        <is>
          <t xml:space="preserve">Cause 1 </t>
        </is>
      </c>
      <c r="C57" s="361" t="inlineStr">
        <is>
          <t>Cause 2</t>
        </is>
      </c>
      <c r="D57" s="361" t="inlineStr">
        <is>
          <t>Cause 3</t>
        </is>
      </c>
      <c r="E57" s="361" t="inlineStr">
        <is>
          <t>Cause 4</t>
        </is>
      </c>
      <c r="F57" s="361" t="inlineStr">
        <is>
          <t>Cause 5</t>
        </is>
      </c>
    </row>
    <row r="58" ht="19.35" customHeight="1">
      <c r="A58" s="27" t="inlineStr">
        <is>
          <t>Funnel Coverage</t>
        </is>
      </c>
      <c r="B58" s="41" t="n"/>
      <c r="C58" s="41" t="n"/>
      <c r="D58" s="41" t="n"/>
      <c r="E58" s="41" t="n"/>
      <c r="F58" s="41" t="n"/>
    </row>
    <row r="59" ht="19.35" customHeight="1">
      <c r="A59" s="27" t="inlineStr">
        <is>
          <t>% impact on KPI gap</t>
        </is>
      </c>
      <c r="B59" s="42" t="n"/>
      <c r="C59" s="42" t="n"/>
      <c r="D59" s="42" t="n"/>
      <c r="E59" s="42" t="n"/>
      <c r="F59" s="42" t="n"/>
    </row>
    <row r="60" ht="19.35" customHeight="1">
      <c r="A60" s="361" t="inlineStr">
        <is>
          <t>Red KPI</t>
        </is>
      </c>
      <c r="B60" s="361" t="inlineStr">
        <is>
          <t xml:space="preserve">Cause 1 </t>
        </is>
      </c>
      <c r="C60" s="361" t="inlineStr">
        <is>
          <t>Cause 2</t>
        </is>
      </c>
      <c r="D60" s="361" t="inlineStr">
        <is>
          <t>Cause 3</t>
        </is>
      </c>
      <c r="E60" s="361" t="inlineStr">
        <is>
          <t>Cause 4</t>
        </is>
      </c>
      <c r="F60" s="361" t="inlineStr">
        <is>
          <t>Cause 5</t>
        </is>
      </c>
    </row>
    <row r="61" ht="33.75" customHeight="1">
      <c r="A61" s="27" t="inlineStr">
        <is>
          <t># of Demos</t>
        </is>
      </c>
      <c r="B61" t="inlineStr">
        <is>
          <t>Demo planning discipline</t>
        </is>
      </c>
      <c r="C61" s="41" t="inlineStr">
        <is>
          <t>System Availibility</t>
        </is>
      </c>
      <c r="D61" s="33" t="inlineStr">
        <is>
          <t>Late opportunity identification</t>
        </is>
      </c>
      <c r="E61" s="41" t="n"/>
      <c r="F61" s="41" t="n"/>
    </row>
    <row r="62" ht="19.35" customHeight="1">
      <c r="A62" s="27" t="inlineStr">
        <is>
          <t>% impact on KPI gap</t>
        </is>
      </c>
      <c r="B62" s="42" t="n"/>
      <c r="C62" s="42" t="n"/>
      <c r="D62" s="42" t="n"/>
      <c r="E62" s="42" t="n"/>
      <c r="F62" s="42" t="n"/>
    </row>
    <row r="63" ht="19.35" customHeight="1">
      <c r="A63" s="361" t="inlineStr">
        <is>
          <t>Red KPI</t>
        </is>
      </c>
      <c r="B63" s="361" t="inlineStr">
        <is>
          <t xml:space="preserve">Cause 1 </t>
        </is>
      </c>
      <c r="C63" s="361" t="inlineStr">
        <is>
          <t>Cause 2</t>
        </is>
      </c>
      <c r="D63" s="361" t="inlineStr">
        <is>
          <t>Cause 3</t>
        </is>
      </c>
      <c r="E63" s="361" t="inlineStr">
        <is>
          <t>Cause 4</t>
        </is>
      </c>
      <c r="F63" s="361" t="inlineStr">
        <is>
          <t>Cause 5</t>
        </is>
      </c>
    </row>
    <row r="64" ht="31.5" customHeight="1">
      <c r="A64" s="27" t="inlineStr">
        <is>
          <t>Visiblity</t>
        </is>
      </c>
      <c r="B64" s="41" t="inlineStr">
        <is>
          <t>Underreporting on competitive losses</t>
        </is>
      </c>
      <c r="C64" s="127" t="inlineStr">
        <is>
          <t>Funnel review  Rigor for losses</t>
        </is>
      </c>
      <c r="D64" s="41" t="n"/>
      <c r="E64" s="41" t="n"/>
      <c r="F64" s="41" t="n"/>
    </row>
    <row r="65" ht="19.35" customHeight="1">
      <c r="A65" s="27" t="inlineStr">
        <is>
          <t>% impact on KPI gap</t>
        </is>
      </c>
      <c r="B65" s="42" t="n">
        <v>0.5</v>
      </c>
      <c r="C65" s="42" t="n">
        <v>0.5</v>
      </c>
      <c r="D65" s="42" t="n"/>
      <c r="E65" s="42" t="n"/>
      <c r="F65" s="42" t="n"/>
    </row>
    <row r="66" ht="21" customHeight="1">
      <c r="A66" s="10" t="inlineStr">
        <is>
          <t>Paretos for RCA</t>
        </is>
      </c>
    </row>
    <row r="67">
      <c r="A67" s="639" t="n"/>
    </row>
    <row r="68">
      <c r="A68" s="639" t="n"/>
    </row>
    <row r="69">
      <c r="A69" s="639" t="n"/>
    </row>
    <row r="70">
      <c r="A70" s="639" t="n"/>
    </row>
    <row r="71">
      <c r="A71" s="639" t="n"/>
    </row>
    <row r="72">
      <c r="A72" s="639" t="n"/>
    </row>
    <row r="73">
      <c r="A73" s="639" t="n"/>
    </row>
    <row r="74">
      <c r="A74" s="639" t="n"/>
    </row>
    <row r="75">
      <c r="A75" s="639" t="n"/>
    </row>
    <row r="76">
      <c r="A76" s="639" t="n"/>
    </row>
    <row r="77">
      <c r="A77" s="639" t="n"/>
    </row>
    <row r="78">
      <c r="A78" s="639" t="n"/>
    </row>
    <row r="79">
      <c r="A79" s="639" t="n"/>
    </row>
    <row r="80">
      <c r="A80" s="639" t="n"/>
    </row>
    <row r="81" ht="15" customHeight="1" thickBot="1">
      <c r="A81" s="639" t="n"/>
    </row>
    <row r="82" ht="18.95" customHeight="1" thickBot="1">
      <c r="A82" s="695" t="inlineStr">
        <is>
          <t>Action tracker</t>
        </is>
      </c>
      <c r="B82" s="696" t="n"/>
      <c r="C82" s="696" t="n"/>
      <c r="D82" s="696" t="n"/>
      <c r="E82" s="696" t="n"/>
      <c r="F82" s="697" t="n"/>
      <c r="H82" s="698" t="inlineStr">
        <is>
          <t>Handshake Escalations/Support required</t>
        </is>
      </c>
      <c r="I82" s="696" t="n"/>
      <c r="J82" s="696" t="n"/>
      <c r="K82" s="696" t="n"/>
      <c r="L82" s="696" t="n"/>
      <c r="M82" s="696" t="n"/>
      <c r="N82" s="696" t="n"/>
      <c r="O82" s="697" t="n"/>
    </row>
    <row r="83" ht="41.85" customFormat="1" customHeight="1" s="15">
      <c r="A83" s="16" t="inlineStr">
        <is>
          <t>Red KPI</t>
        </is>
      </c>
      <c r="B83" s="17" t="inlineStr">
        <is>
          <t>Root cause description</t>
        </is>
      </c>
      <c r="C83" s="18" t="inlineStr">
        <is>
          <t>Corrective action</t>
        </is>
      </c>
      <c r="D83" s="19" t="inlineStr">
        <is>
          <t>Owner</t>
        </is>
      </c>
      <c r="E83" s="17" t="inlineStr">
        <is>
          <t>Due Date</t>
        </is>
      </c>
      <c r="F83" s="20" t="inlineStr">
        <is>
          <t>Status</t>
        </is>
      </c>
      <c r="H83" s="21" t="inlineStr">
        <is>
          <t>KPI Name</t>
        </is>
      </c>
      <c r="I83" s="22" t="inlineStr">
        <is>
          <t>Key Dependency</t>
        </is>
      </c>
      <c r="J83" s="22" t="inlineStr">
        <is>
          <t>Function Name</t>
        </is>
      </c>
      <c r="K83" s="23" t="inlineStr">
        <is>
          <t>What action/s from
 Function is expected</t>
        </is>
      </c>
      <c r="L83" s="23" t="inlineStr">
        <is>
          <t>Success measure for
Action Closure</t>
        </is>
      </c>
      <c r="M83" s="24" t="inlineStr">
        <is>
          <t>Handshaked
(Yes or No)</t>
        </is>
      </c>
      <c r="N83" s="23" t="inlineStr">
        <is>
          <t>Open issue description</t>
        </is>
      </c>
      <c r="O83" s="36" t="inlineStr">
        <is>
          <t>Solutions to 
Open issues</t>
        </is>
      </c>
    </row>
    <row r="84" ht="16.5" customHeight="1">
      <c r="A84" s="784" t="inlineStr">
        <is>
          <t>Market Share</t>
        </is>
      </c>
      <c r="B84" s="388" t="inlineStr">
        <is>
          <t>Low competitive market coverage</t>
        </is>
      </c>
      <c r="C84" s="388" t="inlineStr">
        <is>
          <t xml:space="preserve">Expand Coverage </t>
        </is>
      </c>
      <c r="D84" s="388" t="inlineStr">
        <is>
          <t xml:space="preserve">Mark &amp; BU </t>
        </is>
      </c>
      <c r="E84" s="379" t="inlineStr">
        <is>
          <t xml:space="preserve">on going </t>
        </is>
      </c>
      <c r="F84" s="700" t="n">
        <v>5</v>
      </c>
      <c r="H84" s="699" t="inlineStr">
        <is>
          <t>C &amp; R</t>
        </is>
      </c>
      <c r="I84" s="701" t="n"/>
      <c r="J84" s="701" t="n"/>
      <c r="K84" s="701" t="n"/>
      <c r="L84" s="701" t="n"/>
      <c r="M84" s="703" t="inlineStr">
        <is>
          <t>Yes</t>
        </is>
      </c>
      <c r="N84" s="701" t="n"/>
      <c r="O84" s="704" t="n"/>
    </row>
    <row r="85" ht="18" customHeight="1">
      <c r="A85" s="671" t="n"/>
      <c r="B85" s="671" t="n"/>
      <c r="C85" s="671" t="n"/>
      <c r="D85" s="671" t="n"/>
      <c r="E85" s="671" t="n"/>
      <c r="F85" s="672" t="n"/>
      <c r="H85" s="705" t="n"/>
      <c r="I85" s="671" t="n"/>
      <c r="J85" s="671" t="n"/>
      <c r="K85" s="671" t="n"/>
      <c r="L85" s="671" t="n"/>
      <c r="M85" s="671" t="n"/>
      <c r="N85" s="671" t="n"/>
      <c r="O85" s="672" t="n"/>
    </row>
    <row r="86" ht="17.1" customHeight="1">
      <c r="A86" s="784" t="inlineStr">
        <is>
          <t>Order Intake</t>
        </is>
      </c>
      <c r="B86" s="388" t="inlineStr">
        <is>
          <t>Cause 1: Insufficient early-quarter funnel conversion (limited FC-flagged deals entering the month)
Cause 2: New direct sales team ramp in South  — slower progression from Develop → Propose impacting close velocity</t>
        </is>
      </c>
      <c r="C86" s="388" t="inlineStr">
        <is>
          <t xml:space="preserve">Gap Pans </t>
        </is>
      </c>
      <c r="D86" s="388" t="inlineStr">
        <is>
          <t xml:space="preserve">Sean Cartee </t>
        </is>
      </c>
      <c r="E86" s="379" t="inlineStr">
        <is>
          <t xml:space="preserve">on going </t>
        </is>
      </c>
      <c r="F86" s="700" t="n">
        <v>3</v>
      </c>
      <c r="H86" s="699" t="n"/>
      <c r="I86" s="701" t="n"/>
      <c r="J86" s="701" t="n"/>
      <c r="K86" s="701" t="n"/>
      <c r="L86" s="701" t="n"/>
      <c r="M86" s="703" t="n"/>
      <c r="N86" s="701" t="n"/>
      <c r="O86" s="704" t="n"/>
    </row>
    <row r="87" ht="17.1" customHeight="1">
      <c r="A87" s="671" t="n"/>
      <c r="B87" s="671" t="n"/>
      <c r="C87" s="671" t="n"/>
      <c r="D87" s="671" t="n"/>
      <c r="E87" s="671" t="n"/>
      <c r="F87" s="672" t="n"/>
      <c r="H87" s="705" t="n"/>
      <c r="I87" s="671" t="n"/>
      <c r="J87" s="671" t="n"/>
      <c r="K87" s="671" t="n"/>
      <c r="L87" s="671" t="n"/>
      <c r="M87" s="671" t="n"/>
      <c r="N87" s="671" t="n"/>
      <c r="O87" s="672" t="n"/>
    </row>
    <row r="88" ht="17.1" customHeight="1">
      <c r="A88" s="785" t="inlineStr">
        <is>
          <t>Win Rate</t>
        </is>
      </c>
      <c r="B88" s="388" t="n"/>
      <c r="C88" s="388" t="n"/>
      <c r="D88" s="388" t="n"/>
      <c r="E88" s="379" t="n"/>
      <c r="F88" s="700" t="n">
        <v>1</v>
      </c>
      <c r="H88" s="699" t="n"/>
      <c r="I88" s="701" t="n"/>
      <c r="J88" s="701" t="n"/>
      <c r="K88" s="701" t="n"/>
      <c r="L88" s="701" t="n"/>
      <c r="M88" s="703" t="n"/>
      <c r="N88" s="701" t="n"/>
      <c r="O88" s="704" t="n"/>
    </row>
    <row r="89" ht="16.5" customHeight="1">
      <c r="A89" s="671" t="n"/>
      <c r="B89" s="671" t="n"/>
      <c r="C89" s="671" t="n"/>
      <c r="D89" s="671" t="n"/>
      <c r="E89" s="671" t="n"/>
      <c r="F89" s="672" t="n"/>
      <c r="H89" s="705" t="n"/>
      <c r="I89" s="671" t="n"/>
      <c r="J89" s="671" t="n"/>
      <c r="K89" s="671" t="n"/>
      <c r="L89" s="671" t="n"/>
      <c r="M89" s="671" t="n"/>
      <c r="N89" s="671" t="n"/>
      <c r="O89" s="672" t="n"/>
    </row>
    <row r="90" ht="16.5" customHeight="1">
      <c r="A90" s="232" t="inlineStr">
        <is>
          <t>Equipment Funnel Size</t>
        </is>
      </c>
      <c r="B90" s="388" t="n"/>
      <c r="C90" s="388" t="n"/>
      <c r="D90" s="388" t="n"/>
      <c r="E90" s="379" t="n"/>
      <c r="F90" s="700" t="n">
        <v>1</v>
      </c>
      <c r="H90" s="699" t="n"/>
      <c r="I90" s="701" t="n"/>
      <c r="J90" s="701" t="n"/>
      <c r="K90" s="701" t="n"/>
      <c r="L90" s="701" t="n"/>
      <c r="M90" s="703" t="n"/>
      <c r="N90" s="701" t="n"/>
      <c r="O90" s="704" t="n"/>
    </row>
    <row r="91" ht="16.5" customHeight="1">
      <c r="A91" s="233" t="n"/>
      <c r="B91" s="671" t="n"/>
      <c r="C91" s="671" t="n"/>
      <c r="D91" s="671" t="n"/>
      <c r="E91" s="671" t="n"/>
      <c r="F91" s="672" t="n"/>
      <c r="H91" s="705" t="n"/>
      <c r="I91" s="671" t="n"/>
      <c r="J91" s="671" t="n"/>
      <c r="K91" s="671" t="n"/>
      <c r="L91" s="671" t="n"/>
      <c r="M91" s="671" t="n"/>
      <c r="N91" s="671" t="n"/>
      <c r="O91" s="672" t="n"/>
    </row>
    <row r="92" ht="16.5" customHeight="1">
      <c r="A92" s="625" t="inlineStr">
        <is>
          <t># Of Demos</t>
        </is>
      </c>
      <c r="B92" s="388" t="inlineStr">
        <is>
          <t>Inconsistent demo planning discipline</t>
        </is>
      </c>
      <c r="C92" s="388" t="inlineStr">
        <is>
          <t>Include demo plans in opportunity reviews.</t>
        </is>
      </c>
      <c r="D92" s="388" t="inlineStr">
        <is>
          <t>DSLs</t>
        </is>
      </c>
      <c r="E92" s="379" t="inlineStr">
        <is>
          <t xml:space="preserve">on going </t>
        </is>
      </c>
      <c r="F92" s="700" t="n">
        <v>2</v>
      </c>
      <c r="H92" s="699" t="n"/>
      <c r="I92" s="701" t="n"/>
      <c r="J92" s="701" t="n"/>
      <c r="K92" s="701" t="n"/>
      <c r="L92" s="701" t="n"/>
      <c r="M92" s="703" t="n"/>
      <c r="N92" s="701" t="n"/>
      <c r="O92" s="704" t="n"/>
    </row>
    <row r="93" ht="16.5" customHeight="1">
      <c r="A93" s="626" t="n"/>
      <c r="B93" s="671" t="n"/>
      <c r="C93" s="671" t="n"/>
      <c r="D93" s="671" t="n"/>
      <c r="E93" s="671" t="n"/>
      <c r="F93" s="672" t="n"/>
      <c r="H93" s="705" t="n"/>
      <c r="I93" s="671" t="n"/>
      <c r="J93" s="671" t="n"/>
      <c r="K93" s="671" t="n"/>
      <c r="L93" s="671" t="n"/>
      <c r="M93" s="671" t="n"/>
      <c r="N93" s="671" t="n"/>
      <c r="O93" s="672" t="n"/>
    </row>
    <row r="94" ht="16.5" customHeight="1">
      <c r="A94" s="232" t="inlineStr">
        <is>
          <t>Demo Winrate</t>
        </is>
      </c>
      <c r="B94" s="388" t="n"/>
      <c r="C94" s="388" t="n"/>
      <c r="D94" s="388" t="n"/>
      <c r="E94" s="379" t="n"/>
      <c r="F94" s="700" t="n">
        <v>1</v>
      </c>
      <c r="H94" s="699" t="n"/>
      <c r="I94" s="701" t="n"/>
      <c r="J94" s="701" t="n"/>
      <c r="K94" s="701" t="n"/>
      <c r="L94" s="701" t="n"/>
      <c r="M94" s="703" t="n"/>
      <c r="N94" s="701" t="n"/>
      <c r="O94" s="704" t="n"/>
    </row>
    <row r="95" ht="16.5" customHeight="1">
      <c r="A95" s="233" t="n"/>
      <c r="B95" s="671" t="n"/>
      <c r="C95" s="671" t="n"/>
      <c r="D95" s="671" t="n"/>
      <c r="E95" s="671" t="n"/>
      <c r="F95" s="672" t="n"/>
      <c r="H95" s="705" t="n"/>
      <c r="I95" s="671" t="n"/>
      <c r="J95" s="671" t="n"/>
      <c r="K95" s="671" t="n"/>
      <c r="L95" s="671" t="n"/>
      <c r="M95" s="671" t="n"/>
      <c r="N95" s="671" t="n"/>
      <c r="O95" s="672" t="n"/>
    </row>
    <row r="96" ht="16.5" customHeight="1">
      <c r="A96" s="625" t="inlineStr">
        <is>
          <t>IB Winrate Competition</t>
        </is>
      </c>
      <c r="B96" s="388" t="inlineStr">
        <is>
          <t>Increased competitive pressure in IB accounts</t>
        </is>
      </c>
      <c r="C96" s="388" t="inlineStr">
        <is>
          <t>Enhance replacement strategies and competitive intelligence.</t>
        </is>
      </c>
      <c r="D96" s="388" t="inlineStr">
        <is>
          <t>KAMS</t>
        </is>
      </c>
      <c r="E96" s="379" t="inlineStr">
        <is>
          <t xml:space="preserve">on going </t>
        </is>
      </c>
      <c r="F96" s="700" t="n">
        <v>2</v>
      </c>
      <c r="H96" s="699" t="n"/>
      <c r="I96" s="701" t="n"/>
      <c r="J96" s="701" t="n"/>
      <c r="K96" s="701" t="n"/>
      <c r="L96" s="701" t="n"/>
      <c r="M96" s="703" t="n"/>
      <c r="N96" s="701" t="n"/>
      <c r="O96" s="704" t="n"/>
    </row>
    <row r="97" ht="16.5" customHeight="1">
      <c r="A97" s="626" t="n"/>
      <c r="B97" s="671" t="n"/>
      <c r="C97" s="671" t="n"/>
      <c r="D97" s="671" t="n"/>
      <c r="E97" s="671" t="n"/>
      <c r="F97" s="672" t="n"/>
      <c r="H97" s="705" t="n"/>
      <c r="I97" s="671" t="n"/>
      <c r="J97" s="671" t="n"/>
      <c r="K97" s="671" t="n"/>
      <c r="L97" s="671" t="n"/>
      <c r="M97" s="671" t="n"/>
      <c r="N97" s="671" t="n"/>
      <c r="O97" s="672" t="n"/>
    </row>
    <row r="98" ht="16.5" customHeight="1">
      <c r="A98" s="786" t="inlineStr">
        <is>
          <t>Visiblity</t>
        </is>
      </c>
      <c r="B98" s="388" t="inlineStr">
        <is>
          <t xml:space="preserve">Low funnel discipline and documentation </t>
        </is>
      </c>
      <c r="C98" s="388" t="inlineStr">
        <is>
          <t xml:space="preserve">Improve hygiene &amp; document Market </t>
        </is>
      </c>
      <c r="D98" s="388" t="inlineStr">
        <is>
          <t>DSLs</t>
        </is>
      </c>
      <c r="E98" s="379" t="inlineStr">
        <is>
          <t xml:space="preserve">on going </t>
        </is>
      </c>
      <c r="F98" s="700" t="n">
        <v>3</v>
      </c>
      <c r="H98" s="699" t="n"/>
      <c r="I98" s="701" t="n"/>
      <c r="J98" s="701" t="n"/>
      <c r="K98" s="701" t="n"/>
      <c r="L98" s="701" t="n"/>
      <c r="M98" s="703" t="n"/>
      <c r="N98" s="701" t="n"/>
      <c r="O98" s="704" t="n"/>
    </row>
    <row r="99" ht="16.5" customHeight="1">
      <c r="A99" s="671" t="n"/>
      <c r="B99" s="671" t="n"/>
      <c r="C99" s="671" t="n"/>
      <c r="D99" s="671" t="n"/>
      <c r="E99" s="671" t="n"/>
      <c r="F99" s="672" t="n"/>
      <c r="H99" s="705" t="n"/>
      <c r="I99" s="671" t="n"/>
      <c r="J99" s="671" t="n"/>
      <c r="K99" s="671" t="n"/>
      <c r="L99" s="671" t="n"/>
      <c r="M99" s="671" t="n"/>
      <c r="N99" s="671" t="n"/>
      <c r="O99" s="672" t="n"/>
    </row>
    <row r="100" ht="16.5" customHeight="1">
      <c r="A100" s="699" t="n"/>
      <c r="B100" s="707" t="n"/>
      <c r="C100" s="707" t="n"/>
      <c r="D100" s="707" t="n"/>
      <c r="E100" s="708" t="n"/>
      <c r="F100" s="700" t="n">
        <v>1</v>
      </c>
      <c r="H100" s="709" t="n"/>
      <c r="I100" s="373" t="n"/>
      <c r="J100" s="373" t="n"/>
      <c r="K100" s="373" t="n"/>
      <c r="L100" s="373" t="n"/>
      <c r="M100" s="368" t="n"/>
      <c r="N100" s="373" t="n"/>
      <c r="O100" s="374" t="n"/>
    </row>
    <row r="101" ht="17.1" customHeight="1" thickBot="1">
      <c r="A101" s="705" t="n"/>
      <c r="B101" s="713" t="n"/>
      <c r="C101" s="713" t="n"/>
      <c r="D101" s="713" t="n"/>
      <c r="E101" s="713" t="n"/>
      <c r="F101" s="672" t="n"/>
      <c r="H101" s="714" t="n"/>
      <c r="I101" s="685" t="n"/>
      <c r="J101" s="685" t="n"/>
      <c r="K101" s="685" t="n"/>
      <c r="L101" s="685" t="n"/>
      <c r="M101" s="685" t="n"/>
      <c r="N101" s="685" t="n"/>
      <c r="O101" s="733" t="n"/>
    </row>
    <row r="102">
      <c r="A102" s="34" t="inlineStr">
        <is>
          <t>Action not assigned</t>
        </is>
      </c>
      <c r="B102" s="34" t="inlineStr">
        <is>
          <t>Action assigned</t>
        </is>
      </c>
      <c r="C102" s="35" t="inlineStr">
        <is>
          <t>Action started</t>
        </is>
      </c>
      <c r="D102" s="35" t="inlineStr">
        <is>
          <t>Action completed</t>
        </is>
      </c>
      <c r="E102" s="165" t="inlineStr">
        <is>
          <t>Resolution confirmed</t>
        </is>
      </c>
      <c r="F102" s="716" t="n"/>
      <c r="G102" s="639" t="n"/>
      <c r="I102" s="39" t="n"/>
      <c r="J102" s="39" t="inlineStr">
        <is>
          <t>Action in progress</t>
        </is>
      </c>
      <c r="K102" s="39" t="n"/>
      <c r="L102" s="39" t="inlineStr">
        <is>
          <t>Action completed</t>
        </is>
      </c>
      <c r="M102" s="39" t="n"/>
      <c r="N102" s="39" t="n"/>
      <c r="O102" s="39" t="n"/>
    </row>
    <row r="103">
      <c r="A103" s="639" t="n"/>
      <c r="C103" s="639" t="n"/>
      <c r="D103" s="639" t="n"/>
      <c r="E103" s="639" t="n"/>
      <c r="F103" s="639" t="n"/>
      <c r="G103" s="639" t="n"/>
    </row>
    <row r="104">
      <c r="C104" s="639" t="n"/>
      <c r="D104" s="639" t="n"/>
      <c r="E104" s="639" t="n"/>
      <c r="F104" s="639" t="n"/>
      <c r="G104" s="639" t="n"/>
      <c r="H104" s="639" t="n"/>
    </row>
  </sheetData>
  <mergeCells count="192">
    <mergeCell ref="F84:F85"/>
    <mergeCell ref="E92:E93"/>
    <mergeCell ref="K88:K89"/>
    <mergeCell ref="E8:E9"/>
    <mergeCell ref="M88:M89"/>
    <mergeCell ref="G8:G9"/>
    <mergeCell ref="D22:D23"/>
    <mergeCell ref="E88:E89"/>
    <mergeCell ref="B86:B87"/>
    <mergeCell ref="D86:D87"/>
    <mergeCell ref="C94:C95"/>
    <mergeCell ref="M98:M99"/>
    <mergeCell ref="F86:F87"/>
    <mergeCell ref="A16:A17"/>
    <mergeCell ref="C10:C11"/>
    <mergeCell ref="C16:C17"/>
    <mergeCell ref="E10:E11"/>
    <mergeCell ref="G10:G11"/>
    <mergeCell ref="M90:M91"/>
    <mergeCell ref="F18:F19"/>
    <mergeCell ref="B14:B15"/>
    <mergeCell ref="J98:J99"/>
    <mergeCell ref="H88:H89"/>
    <mergeCell ref="F94:F95"/>
    <mergeCell ref="K90:K91"/>
    <mergeCell ref="D16:D17"/>
    <mergeCell ref="H94:H95"/>
    <mergeCell ref="B6:B7"/>
    <mergeCell ref="G18:G19"/>
    <mergeCell ref="H90:H91"/>
    <mergeCell ref="J100:J101"/>
    <mergeCell ref="A22:A23"/>
    <mergeCell ref="D18:D19"/>
    <mergeCell ref="L100:L101"/>
    <mergeCell ref="J94:J95"/>
    <mergeCell ref="L94:L95"/>
    <mergeCell ref="D8:D9"/>
    <mergeCell ref="L96:L97"/>
    <mergeCell ref="A20:A21"/>
    <mergeCell ref="N90:N91"/>
    <mergeCell ref="C86:C87"/>
    <mergeCell ref="G22:G23"/>
    <mergeCell ref="I84:I85"/>
    <mergeCell ref="H92:H93"/>
    <mergeCell ref="M100:M101"/>
    <mergeCell ref="A82:F82"/>
    <mergeCell ref="D10:D11"/>
    <mergeCell ref="D98:D99"/>
    <mergeCell ref="M96:M97"/>
    <mergeCell ref="F98:F99"/>
    <mergeCell ref="J88:J89"/>
    <mergeCell ref="I86:I87"/>
    <mergeCell ref="C6:C7"/>
    <mergeCell ref="F16:F17"/>
    <mergeCell ref="E102:F102"/>
    <mergeCell ref="C14:C15"/>
    <mergeCell ref="C98:C99"/>
    <mergeCell ref="E14:E15"/>
    <mergeCell ref="K92:K93"/>
    <mergeCell ref="A88:A89"/>
    <mergeCell ref="B90:B91"/>
    <mergeCell ref="K94:K95"/>
    <mergeCell ref="F20:F21"/>
    <mergeCell ref="M94:M95"/>
    <mergeCell ref="O92:O93"/>
    <mergeCell ref="C100:C101"/>
    <mergeCell ref="N92:N93"/>
    <mergeCell ref="F22:F23"/>
    <mergeCell ref="A46:B46"/>
    <mergeCell ref="I96:I97"/>
    <mergeCell ref="B84:B85"/>
    <mergeCell ref="F100:F101"/>
    <mergeCell ref="L84:L85"/>
    <mergeCell ref="A8:A9"/>
    <mergeCell ref="N84:N85"/>
    <mergeCell ref="C8:C9"/>
    <mergeCell ref="F96:F97"/>
    <mergeCell ref="H96:H97"/>
    <mergeCell ref="I98:I99"/>
    <mergeCell ref="O100:O101"/>
    <mergeCell ref="L86:L87"/>
    <mergeCell ref="A10:A11"/>
    <mergeCell ref="N86:N87"/>
    <mergeCell ref="B92:B93"/>
    <mergeCell ref="D88:D89"/>
    <mergeCell ref="F88:F89"/>
    <mergeCell ref="B94:B95"/>
    <mergeCell ref="D94:D95"/>
    <mergeCell ref="M92:M93"/>
    <mergeCell ref="B16:B17"/>
    <mergeCell ref="O86:O87"/>
    <mergeCell ref="J92:J93"/>
    <mergeCell ref="N94:N95"/>
    <mergeCell ref="C18:C19"/>
    <mergeCell ref="F10:F11"/>
    <mergeCell ref="D90:D91"/>
    <mergeCell ref="F24:F25"/>
    <mergeCell ref="B47:F47"/>
    <mergeCell ref="H82:O82"/>
    <mergeCell ref="A84:A85"/>
    <mergeCell ref="B18:B19"/>
    <mergeCell ref="C20:C21"/>
    <mergeCell ref="E20:E21"/>
    <mergeCell ref="B8:B9"/>
    <mergeCell ref="A6:A7"/>
    <mergeCell ref="C84:C85"/>
    <mergeCell ref="C22:C23"/>
    <mergeCell ref="E84:E85"/>
    <mergeCell ref="I100:I101"/>
    <mergeCell ref="N96:N97"/>
    <mergeCell ref="K100:K101"/>
    <mergeCell ref="F8:F9"/>
    <mergeCell ref="N88:N89"/>
    <mergeCell ref="B98:B99"/>
    <mergeCell ref="E94:E95"/>
    <mergeCell ref="K96:K97"/>
    <mergeCell ref="G6:G7"/>
    <mergeCell ref="H100:H101"/>
    <mergeCell ref="E86:E87"/>
    <mergeCell ref="N98:N99"/>
    <mergeCell ref="G24:G25"/>
    <mergeCell ref="A3:B3"/>
    <mergeCell ref="A14:A15"/>
    <mergeCell ref="H84:H85"/>
    <mergeCell ref="K98:K99"/>
    <mergeCell ref="D92:D93"/>
    <mergeCell ref="I88:I89"/>
    <mergeCell ref="F92:F93"/>
    <mergeCell ref="J90:J91"/>
    <mergeCell ref="H86:H87"/>
    <mergeCell ref="L90:L91"/>
    <mergeCell ref="B20:B21"/>
    <mergeCell ref="E16:E17"/>
    <mergeCell ref="I94:I95"/>
    <mergeCell ref="D20:D21"/>
    <mergeCell ref="G16:G17"/>
    <mergeCell ref="D14:D15"/>
    <mergeCell ref="F14:F15"/>
    <mergeCell ref="I90:I91"/>
    <mergeCell ref="B22:B23"/>
    <mergeCell ref="E18:E19"/>
    <mergeCell ref="O90:O91"/>
    <mergeCell ref="A44:E44"/>
    <mergeCell ref="A98:A99"/>
    <mergeCell ref="D6:D7"/>
    <mergeCell ref="E96:E97"/>
    <mergeCell ref="F6:F7"/>
    <mergeCell ref="B100:B101"/>
    <mergeCell ref="J84:J85"/>
    <mergeCell ref="A24:A25"/>
    <mergeCell ref="N100:N101"/>
    <mergeCell ref="B96:B97"/>
    <mergeCell ref="D96:D97"/>
    <mergeCell ref="E98:E99"/>
    <mergeCell ref="J86:J87"/>
    <mergeCell ref="C88:C89"/>
    <mergeCell ref="C92:C93"/>
    <mergeCell ref="K84:K85"/>
    <mergeCell ref="O88:O89"/>
    <mergeCell ref="M84:M85"/>
    <mergeCell ref="L92:L93"/>
    <mergeCell ref="O84:O85"/>
    <mergeCell ref="B88:B89"/>
    <mergeCell ref="C90:C91"/>
    <mergeCell ref="H98:H99"/>
    <mergeCell ref="L88:L89"/>
    <mergeCell ref="E90:E91"/>
    <mergeCell ref="A86:A87"/>
    <mergeCell ref="I92:I93"/>
    <mergeCell ref="K86:K87"/>
    <mergeCell ref="E6:E7"/>
    <mergeCell ref="M86:M87"/>
    <mergeCell ref="B10:B11"/>
    <mergeCell ref="A18:A19"/>
    <mergeCell ref="B24:B25"/>
    <mergeCell ref="G20:G21"/>
    <mergeCell ref="D24:D25"/>
    <mergeCell ref="G14:G15"/>
    <mergeCell ref="A100:A101"/>
    <mergeCell ref="F90:F91"/>
    <mergeCell ref="A47:A48"/>
    <mergeCell ref="C96:C97"/>
    <mergeCell ref="O94:O95"/>
    <mergeCell ref="E100:E101"/>
    <mergeCell ref="J96:J97"/>
    <mergeCell ref="O96:O97"/>
    <mergeCell ref="D100:D101"/>
    <mergeCell ref="C24:C25"/>
    <mergeCell ref="L98:L99"/>
    <mergeCell ref="E24:E25"/>
    <mergeCell ref="D84:D85"/>
    <mergeCell ref="O98:O99"/>
  </mergeCells>
  <conditionalFormatting sqref="A49">
    <cfRule type="containsBlanks" priority="9" dxfId="3">
      <formula>LEN(TRIM(A49))=0</formula>
    </cfRule>
  </conditionalFormatting>
  <conditionalFormatting sqref="A52 A55 A58:F58 A61 A64:F64 B53:F53 B56:F56 B59:F59 B62:F62 B65:F65 C61 D52:F52 E55:F55 E61:F61">
    <cfRule type="containsBlanks" priority="16" dxfId="3">
      <formula>LEN(TRIM(A52))=0</formula>
    </cfRule>
  </conditionalFormatting>
  <conditionalFormatting sqref="A100:A101">
    <cfRule type="containsBlanks" priority="17" dxfId="3">
      <formula>LEN(TRIM(A100))=0</formula>
    </cfRule>
  </conditionalFormatting>
  <conditionalFormatting sqref="A84:E84 A86:E86 A88:E88">
    <cfRule type="containsBlanks" priority="12" dxfId="3">
      <formula>LEN(TRIM(A84))=0</formula>
    </cfRule>
  </conditionalFormatting>
  <conditionalFormatting sqref="A90:E90 A92:E92 A94:E94 A96:E96">
    <cfRule type="containsBlanks" priority="11" dxfId="3">
      <formula>LEN(TRIM(A90))=0</formula>
    </cfRule>
  </conditionalFormatting>
  <conditionalFormatting sqref="A98:E98">
    <cfRule type="containsBlanks" priority="1" dxfId="3">
      <formula>LEN(TRIM(A98))=0</formula>
    </cfRule>
  </conditionalFormatting>
  <conditionalFormatting sqref="A6:G6 A8:G8">
    <cfRule type="containsBlanks" priority="5" dxfId="3">
      <formula>LEN(TRIM(A6))=0</formula>
    </cfRule>
  </conditionalFormatting>
  <conditionalFormatting sqref="A10:G10">
    <cfRule type="containsBlanks" priority="4" dxfId="3">
      <formula>LEN(TRIM(A10))=0</formula>
    </cfRule>
  </conditionalFormatting>
  <conditionalFormatting sqref="A14:G14 A16:G16 A18:G18">
    <cfRule type="containsBlanks" priority="6" dxfId="3">
      <formula>LEN(TRIM(A14))=0</formula>
    </cfRule>
  </conditionalFormatting>
  <conditionalFormatting sqref="A20:G20 A22:G22">
    <cfRule type="containsBlanks" priority="8" dxfId="3">
      <formula>LEN(TRIM(A20))=0</formula>
    </cfRule>
  </conditionalFormatting>
  <conditionalFormatting sqref="A24:G24">
    <cfRule type="containsBlanks" priority="7" dxfId="3">
      <formula>LEN(TRIM(A24))=0</formula>
    </cfRule>
  </conditionalFormatting>
  <conditionalFormatting sqref="B100:E100">
    <cfRule type="containsBlanks" priority="25" dxfId="3">
      <formula>LEN(TRIM(B100))=0</formula>
    </cfRule>
  </conditionalFormatting>
  <conditionalFormatting sqref="B49:F50">
    <cfRule type="containsBlanks" priority="10" dxfId="3">
      <formula>LEN(TRIM(B49))=0</formula>
    </cfRule>
  </conditionalFormatting>
  <conditionalFormatting sqref="D1">
    <cfRule type="containsBlanks" priority="3" dxfId="3">
      <formula>LEN(TRIM(D1))=0</formula>
    </cfRule>
  </conditionalFormatting>
  <conditionalFormatting sqref="F1">
    <cfRule type="containsBlanks" priority="2" dxfId="3">
      <formula>LEN(TRIM(F1))=0</formula>
    </cfRule>
  </conditionalFormatting>
  <conditionalFormatting sqref="F84 F86 F88 F90 F92 F94 F96 F98 F100">
    <cfRule type="expression" priority="27" dxfId="19">
      <formula>AND(#REF!&lt;&gt;"",E84&lt;TODAY(),F84&lt;4)</formula>
    </cfRule>
    <cfRule type="iconSet" priority="26">
      <iconSet iconSet="5Quarters" showValue="0">
        <cfvo type="percent" val="0"/>
        <cfvo type="num" val="2"/>
        <cfvo type="num" val="3"/>
        <cfvo type="num" val="4"/>
        <cfvo type="num" val="5"/>
      </iconSet>
    </cfRule>
  </conditionalFormatting>
  <conditionalFormatting sqref="H84:H101">
    <cfRule type="containsBlanks" priority="15" dxfId="3">
      <formula>LEN(TRIM(H84))=0</formula>
    </cfRule>
  </conditionalFormatting>
  <conditionalFormatting sqref="I84:O84 I86:O86 I88:O88 I90:O90 I92:O92 I94:O94 I96:O96 I98:O98 I100:O100">
    <cfRule type="containsBlanks" priority="24" dxfId="3">
      <formula>LEN(TRIM(I84))=0</formula>
    </cfRule>
  </conditionalFormatting>
  <conditionalFormatting sqref="I7:T7 I9:T9 I11:T11 I15:T15 I17:T17 I19:T19 I21:T21 I23:T23 I25:T25">
    <cfRule type="expression" priority="21" dxfId="1">
      <formula>AND(OR($F6="Lower the better", $F6="Lower the Better"), I7&lt;=I6)</formula>
    </cfRule>
    <cfRule type="expression" priority="22" dxfId="0">
      <formula>AND(OR($F6="Higher the better", $F6="Higher the Better"), I7&lt;I6)</formula>
    </cfRule>
    <cfRule type="expression" priority="23" dxfId="1" stopIfTrue="1">
      <formula>AND(OR($F6="Higher the better", $F6="Higher the Better"), I7&gt;=I6)</formula>
    </cfRule>
    <cfRule type="expression" priority="20" dxfId="0">
      <formula>AND(OR($F6="Lower the better", $F6="Lower the Better"), I7&gt;I6)</formula>
    </cfRule>
  </conditionalFormatting>
  <conditionalFormatting sqref="I7:T7 I9:T9 I11:T11">
    <cfRule type="containsBlanks" priority="18" dxfId="3">
      <formula>LEN(TRIM(I7))=0</formula>
    </cfRule>
  </conditionalFormatting>
  <conditionalFormatting sqref="I15:T15 I17:T17 I19:T19 I21:T21 I23:T23 I25:T25">
    <cfRule type="containsBlanks" priority="19" dxfId="3">
      <formula>LEN(TRIM(I15))=0</formula>
    </cfRule>
  </conditionalFormatting>
  <conditionalFormatting sqref="M84:M101">
    <cfRule type="containsText" priority="13" operator="containsText" dxfId="6" text="No">
      <formula>NOT(ISERROR(SEARCH("No",M84)))</formula>
    </cfRule>
    <cfRule type="containsText" priority="14" operator="containsText" dxfId="5" text="Yes">
      <formula>NOT(ISERROR(SEARCH("Yes",M84)))</formula>
    </cfRule>
  </conditionalFormatting>
  <dataValidations count="7">
    <dataValidation sqref="F84:G84 F86:G86 F88:G88 F90 F92 F94 F96:G96 F98:G98 F100:G100" showDropDown="0" showInputMessage="1" showErrorMessage="1" allowBlank="1" type="list">
      <formula1>"1,2,3,4,5"</formula1>
    </dataValidation>
    <dataValidation sqref="F6:F11 F14:F18 F20:F22 F24:F25" showDropDown="0" showInputMessage="1" showErrorMessage="1" allowBlank="1" type="list">
      <formula1>"Higher the better, Lower the better"</formula1>
    </dataValidation>
    <dataValidation sqref="G6:G11 G14 G16:G22 G24:G25" showDropDown="0" showInputMessage="1" showErrorMessage="1" allowBlank="1" type="list">
      <formula1>"Monthly, Quarterly, Half yearly"</formula1>
    </dataValidation>
    <dataValidation sqref="C6:C11 C14 C16:C22 C24:C25" showDropDown="0" showInputMessage="1" showErrorMessage="1" allowBlank="1" type="list">
      <formula1>"&gt;, &lt;, &gt;=, &lt;=, ="</formula1>
    </dataValidation>
    <dataValidation sqref="M84 M86 M88 M90 M92 M94 M96 M98 M100" showDropDown="0" showInputMessage="1" showErrorMessage="1" allowBlank="1" type="list">
      <formula1>"Yes, No"</formula1>
    </dataValidation>
    <dataValidation sqref="B1:B2" showDropDown="0" showInputMessage="1" showErrorMessage="1" allowBlank="1" type="list">
      <formula1>"Jan-2026, Feb-2026, Mar-2026, Apr-2026, May-2026, Jun-2026, Jul-2026, Aug-2026, Sep-2026, Oct-2026, Nov-2026, Dec-2026"</formula1>
    </dataValidation>
    <dataValidation sqref="E6:E11 E14 E16:E25" showDropDown="0" showInputMessage="1" showErrorMessage="1" allowBlank="1" type="list">
      <formula1>"%, Mn, No., "</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3.xml><?xml version="1.0" encoding="utf-8"?>
<worksheet xmlns="http://schemas.openxmlformats.org/spreadsheetml/2006/main">
  <sheetPr codeName="Sheet12">
    <outlinePr summaryBelow="1" summaryRight="1"/>
    <pageSetUpPr/>
  </sheetPr>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baseColWidth="8" defaultRowHeight="14.45"/>
  <cols>
    <col width="19.5703125" customWidth="1" min="1" max="1"/>
    <col width="22.42578125" customWidth="1" style="639" min="2" max="2"/>
    <col width="20.42578125" customWidth="1" min="3" max="3"/>
    <col width="19.5703125" customWidth="1" min="4" max="4"/>
    <col width="20.5703125" customWidth="1" min="5" max="6"/>
    <col width="12" customWidth="1" min="7" max="7"/>
    <col width="14.5703125" customWidth="1" min="8" max="8"/>
    <col width="15.42578125" customWidth="1" min="9" max="9"/>
    <col width="16.42578125" customWidth="1" min="10" max="10"/>
    <col width="17" customWidth="1" min="11" max="11"/>
    <col width="16.5703125" customWidth="1" min="12" max="12"/>
    <col width="15.5703125" customWidth="1" min="13" max="13"/>
    <col width="16" customWidth="1" min="14" max="14"/>
    <col width="17" customWidth="1" min="15" max="15"/>
    <col width="17.5703125" customWidth="1" min="16" max="16"/>
    <col width="14.5703125" customWidth="1" min="17" max="17"/>
    <col width="14.42578125" customWidth="1" min="18" max="18"/>
    <col width="14.5703125" customWidth="1" min="19" max="19"/>
    <col width="14.42578125" customWidth="1" min="20" max="20"/>
    <col width="13.5703125" customWidth="1" min="21" max="21"/>
    <col width="17.42578125" customWidth="1" min="22" max="22"/>
    <col hidden="1" width="11.42578125" customWidth="1" min="23" max="23"/>
    <col hidden="1" width="8.5703125" customWidth="1" min="24" max="24"/>
    <col hidden="1" width="14.42578125" customWidth="1" min="25" max="25"/>
    <col hidden="1" width="8.5703125" customWidth="1" min="26" max="35"/>
    <col width="8.5703125" customWidth="1" min="36" max="49"/>
  </cols>
  <sheetData>
    <row r="1" ht="19.35" customHeight="1">
      <c r="A1" s="12" t="inlineStr">
        <is>
          <t>Month</t>
        </is>
      </c>
      <c r="B1" s="666" t="n">
        <v>46023</v>
      </c>
      <c r="C1" s="12" t="inlineStr">
        <is>
          <t xml:space="preserve">MT Owner: </t>
        </is>
      </c>
      <c r="D1" s="12" t="inlineStr">
        <is>
          <t>Silvia Marini</t>
        </is>
      </c>
      <c r="E1" s="12" t="inlineStr">
        <is>
          <t>MT Delegate:</t>
        </is>
      </c>
      <c r="F1" s="12" t="inlineStr">
        <is>
          <t>Julia Wahl</t>
        </is>
      </c>
      <c r="W1" t="inlineStr">
        <is>
          <t>Actual green</t>
        </is>
      </c>
      <c r="X1">
        <f>IF(I15&lt;&gt;"",IF($F14="Higher the better",IF(I15&gt;=I14,I15,NA()),IF(I15&lt;=I14,I15,NA())),NA())</f>
        <v/>
      </c>
      <c r="Y1">
        <f>IF(J15&lt;&gt;"",IF($F14="Higher the better",IF(J15&gt;=J14,J15,NA()),IF(J15&lt;=J14,J15,NA())),NA())</f>
        <v/>
      </c>
      <c r="Z1">
        <f>IF(K15&lt;&gt;"",IF($F14="Higher the better",IF(K15&gt;=K14,K15,NA()),IF(K15&lt;=K14,K15,NA())),NA())</f>
        <v/>
      </c>
      <c r="AA1">
        <f>IF(L15&lt;&gt;"",IF($F14="Higher the better",IF(L15&gt;=L14,L15,NA()),IF(L15&lt;=L14,L15,NA())),NA())</f>
        <v/>
      </c>
      <c r="AB1">
        <f>IF(M15&lt;&gt;"",IF($F14="Higher the better",IF(M15&gt;=M14,M15,NA()),IF(M15&lt;=M14,M15,NA())),NA())</f>
        <v/>
      </c>
      <c r="AC1">
        <f>IF(N15&lt;&gt;"",IF($F14="Higher the better",IF(N15&gt;=N14,N15,NA()),IF(N15&lt;=N14,N15,NA())),NA())</f>
        <v/>
      </c>
      <c r="AD1">
        <f>IF(O15&lt;&gt;"",IF($F14="Higher the better",IF(O15&gt;=O14,O15,NA()),IF(O15&lt;=O14,O15,NA())),NA())</f>
        <v/>
      </c>
      <c r="AE1">
        <f>IF(P15&lt;&gt;"",IF($F14="Higher the better",IF(P15&gt;=P14,P15,NA()),IF(P15&lt;=P14,P15,NA())),NA())</f>
        <v/>
      </c>
      <c r="AF1">
        <f>IF(Q15&lt;&gt;"",IF($F14="Higher the better",IF(Q15&gt;=Q14,Q15,NA()),IF(Q15&lt;=Q14,Q15,NA())),NA())</f>
        <v/>
      </c>
      <c r="AG1">
        <f>IF(R15&lt;&gt;"",IF($F14="Higher the better",IF(R15&gt;=R14,R15,NA()),IF(R15&lt;=R14,R15,NA())),NA())</f>
        <v/>
      </c>
      <c r="AH1">
        <f>IF(S15&lt;&gt;"",IF($F14="Higher the better",IF(S15&gt;=S14,S15,NA()),IF(S15&lt;=S14,S15,NA())),NA())</f>
        <v/>
      </c>
      <c r="AI1">
        <f>IF(T15&lt;&gt;"",IF($F14="Higher the better",IF(T15&gt;=T14,T15,NA()),IF(T15&lt;=T14,T15,NA())),NA())</f>
        <v/>
      </c>
    </row>
    <row r="2" ht="19.35" customHeight="1">
      <c r="A2" s="13" t="n"/>
      <c r="B2" s="683" t="n"/>
      <c r="D2" s="13" t="n"/>
      <c r="E2" s="13" t="n"/>
      <c r="W2" t="inlineStr">
        <is>
          <t>Actual red</t>
        </is>
      </c>
      <c r="X2">
        <f>IF(I15&lt;&gt;"",IF($F14="Higher the better",IF(I15&lt;I14,I15,NA()),IF(I15&gt;I14,I15,NA())),NA())</f>
        <v/>
      </c>
      <c r="Y2">
        <f>IF(J15&lt;&gt;"",IF($F14="Higher the better",IF(J15&lt;J14,J15,NA()),IF(J15&gt;J14,J15,NA())),NA())</f>
        <v/>
      </c>
      <c r="Z2">
        <f>IF(K15&lt;&gt;"",IF($F14="Higher the better",IF(K15&lt;K14,K15,NA()),IF(K15&gt;K14,K15,NA())),NA())</f>
        <v/>
      </c>
      <c r="AA2">
        <f>IF(L15&lt;&gt;"",IF($F14="Higher the better",IF(L15&lt;L14,L15,NA()),IF(L15&gt;L14,L15,NA())),NA())</f>
        <v/>
      </c>
      <c r="AB2">
        <f>IF(M15&lt;&gt;"",IF($F14="Higher the better",IF(M15&lt;M14,M15,NA()),IF(M15&gt;M14,M15,NA())),NA())</f>
        <v/>
      </c>
      <c r="AC2">
        <f>IF(N15&lt;&gt;"",IF($F14="Higher the better",IF(N15&lt;N14,N15,NA()),IF(N15&gt;N14,N15,NA())),NA())</f>
        <v/>
      </c>
      <c r="AD2">
        <f>IF(O15&lt;&gt;"",IF($F14="Higher the better",IF(O15&lt;O14,O15,NA()),IF(O15&gt;O14,O15,NA())),NA())</f>
        <v/>
      </c>
      <c r="AE2">
        <f>IF(P15&lt;&gt;"",IF($F14="Higher the better",IF(P15&lt;P14,P15,NA()),IF(P15&gt;P14,P15,NA())),NA())</f>
        <v/>
      </c>
      <c r="AF2">
        <f>IF(Q15&lt;&gt;"",IF($F14="Higher the better",IF(Q15&lt;Q14,Q15,NA()),IF(Q15&gt;Q14,Q15,NA())),NA())</f>
        <v/>
      </c>
      <c r="AG2">
        <f>IF(R15&lt;&gt;"",IF($F14="Higher the better",IF(R15&lt;R14,R15,NA()),IF(R15&gt;R14,R15,NA())),NA())</f>
        <v/>
      </c>
      <c r="AH2">
        <f>IF(S15&lt;&gt;"",IF($F14="Higher the better",IF(S15&lt;S14,S15,NA()),IF(S15&gt;S14,S15,NA())),NA())</f>
        <v/>
      </c>
      <c r="AI2">
        <f>IF(T15&lt;&gt;"",IF($F14="Higher the better",IF(T15&lt;T14,T15,NA()),IF(T15&gt;T14,T15,NA())),NA())</f>
        <v/>
      </c>
    </row>
    <row r="3" ht="20.1" customHeight="1">
      <c r="A3" s="449" t="inlineStr">
        <is>
          <t>EUROPE - DMB</t>
        </is>
      </c>
      <c r="W3" t="inlineStr">
        <is>
          <t>Actual green</t>
        </is>
      </c>
      <c r="X3">
        <f>IF(I17&lt;&gt;"",IF($F16="Higher the better",IF(I17&gt;=I16,I17,NA()),IF(I17&lt;=I16,I17,NA())),NA())</f>
        <v/>
      </c>
      <c r="Y3">
        <f>IF(J17&lt;&gt;"",IF($F16="Higher the better",IF(J17&gt;=J16,J17,NA()),IF(J17&lt;=J16,J17,NA())),NA())</f>
        <v/>
      </c>
      <c r="Z3">
        <f>IF(K17&lt;&gt;"",IF($F16="Higher the better",IF(K17&gt;=K16,K17,NA()),IF(K17&lt;=K16,K17,NA())),NA())</f>
        <v/>
      </c>
      <c r="AA3">
        <f>IF(L17&lt;&gt;"",IF($F16="Higher the better",IF(L17&gt;=L16,L17,NA()),IF(L17&lt;=L16,L17,NA())),NA())</f>
        <v/>
      </c>
      <c r="AB3">
        <f>IF(M17&lt;&gt;"",IF($F16="Higher the better",IF(M17&gt;=M16,M17,NA()),IF(M17&lt;=M16,M17,NA())),NA())</f>
        <v/>
      </c>
      <c r="AC3">
        <f>IF(N17&lt;&gt;"",IF($F16="Higher the better",IF(N17&gt;=N16,N17,NA()),IF(N17&lt;=N16,N17,NA())),NA())</f>
        <v/>
      </c>
      <c r="AD3">
        <f>IF(O17&lt;&gt;"",IF($F16="Higher the better",IF(O17&gt;=O16,O17,NA()),IF(O17&lt;=O16,O17,NA())),NA())</f>
        <v/>
      </c>
      <c r="AE3">
        <f>IF(P17&lt;&gt;"",IF($F16="Higher the better",IF(P17&gt;=P16,P17,NA()),IF(P17&lt;=P16,P17,NA())),NA())</f>
        <v/>
      </c>
      <c r="AF3">
        <f>IF(Q17&lt;&gt;"",IF($F16="Higher the better",IF(Q17&gt;=Q16,Q17,NA()),IF(Q17&lt;=Q16,Q17,NA())),NA())</f>
        <v/>
      </c>
      <c r="AG3">
        <f>IF(R17&lt;&gt;"",IF($F16="Higher the better",IF(R17&gt;=R16,R17,NA()),IF(R17&lt;=R16,R17,NA())),NA())</f>
        <v/>
      </c>
      <c r="AH3">
        <f>IF(S17&lt;&gt;"",IF($F16="Higher the better",IF(S17&gt;=S16,S17,NA()),IF(S17&lt;=S16,S17,NA())),NA())</f>
        <v/>
      </c>
      <c r="AI3">
        <f>IF(T17&lt;&gt;"",IF($F16="Higher the better",IF(T17&gt;=T16,T17,NA()),IF(T17&lt;=T16,T17,NA())),NA())</f>
        <v/>
      </c>
    </row>
    <row r="4" ht="18.6" customHeight="1">
      <c r="A4" s="11" t="inlineStr">
        <is>
          <t>Mandatory Outcome KPI's (1-3)</t>
        </is>
      </c>
      <c r="B4" s="11" t="n"/>
      <c r="W4" t="inlineStr">
        <is>
          <t>Actual red</t>
        </is>
      </c>
      <c r="X4">
        <f>IF(I17&lt;&gt;"",IF($F16="Higher the better",IF(I17&lt;I16,I17,NA()),IF(I17&gt;I16,I17,NA())),NA())</f>
        <v/>
      </c>
      <c r="Y4">
        <f>IF(J17&lt;&gt;"",IF($F16="Higher the better",IF(J17&lt;J16,J17,NA()),IF(J17&gt;J16,J17,NA())),NA())</f>
        <v/>
      </c>
      <c r="Z4">
        <f>IF(K17&lt;&gt;"",IF($F16="Higher the better",IF(K17&lt;K16,K17,NA()),IF(K17&gt;K16,K17,NA())),NA())</f>
        <v/>
      </c>
      <c r="AA4">
        <f>IF(L17&lt;&gt;"",IF($F16="Higher the better",IF(L17&lt;L16,L17,NA()),IF(L17&gt;L16,L17,NA())),NA())</f>
        <v/>
      </c>
      <c r="AB4">
        <f>IF(M17&lt;&gt;"",IF($F16="Higher the better",IF(M17&lt;M16,M17,NA()),IF(M17&gt;M16,M17,NA())),NA())</f>
        <v/>
      </c>
      <c r="AC4">
        <f>IF(N17&lt;&gt;"",IF($F16="Higher the better",IF(N17&lt;N16,N17,NA()),IF(N17&gt;N16,N17,NA())),NA())</f>
        <v/>
      </c>
      <c r="AD4">
        <f>IF(O17&lt;&gt;"",IF($F16="Higher the better",IF(O17&lt;O16,O17,NA()),IF(O17&gt;O16,O17,NA())),NA())</f>
        <v/>
      </c>
      <c r="AE4">
        <f>IF(P17&lt;&gt;"",IF($F16="Higher the better",IF(P17&lt;P16,P17,NA()),IF(P17&gt;P16,P17,NA())),NA())</f>
        <v/>
      </c>
      <c r="AF4">
        <f>IF(Q17&lt;&gt;"",IF($F16="Higher the better",IF(Q17&lt;Q16,Q17,NA()),IF(Q17&gt;Q16,Q17,NA())),NA())</f>
        <v/>
      </c>
      <c r="AG4">
        <f>IF(R17&lt;&gt;"",IF($F16="Higher the better",IF(R17&lt;R16,R17,NA()),IF(R17&gt;R16,R17,NA())),NA())</f>
        <v/>
      </c>
      <c r="AH4">
        <f>IF(S17&lt;&gt;"",IF($F16="Higher the better",IF(S17&lt;S16,S17,NA()),IF(S17&gt;S16,S17,NA())),NA())</f>
        <v/>
      </c>
      <c r="AI4">
        <f>IF(T17&lt;&gt;"",IF($F16="Higher the better",IF(T17&lt;T16,T17,NA()),IF(T17&gt;T16,T17,NA())),NA())</f>
        <v/>
      </c>
    </row>
    <row r="5" ht="29.1"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t="inlineStr">
        <is>
          <t>Actual green</t>
        </is>
      </c>
      <c r="X5">
        <f>IF(I19&lt;&gt;"",IF($F18="Higher the better",IF(I19&gt;=I18,I19,NA()),IF(I19&lt;=I18,I19,NA())),NA())</f>
        <v/>
      </c>
      <c r="Y5">
        <f>IF(J19&lt;&gt;"",IF($F18="Higher the better",IF(J19&gt;=J18,J19,NA()),IF(J19&lt;=J18,J19,NA())),NA())</f>
        <v/>
      </c>
      <c r="Z5">
        <f>IF(K19&lt;&gt;"",IF($F18="Higher the better",IF(K19&gt;=K18,K19,NA()),IF(K19&lt;=K18,K19,NA())),NA())</f>
        <v/>
      </c>
      <c r="AA5">
        <f>IF(L19&lt;&gt;"",IF($F18="Higher the better",IF(L19&gt;=L18,L19,NA()),IF(L19&lt;=L18,L19,NA())),NA())</f>
        <v/>
      </c>
      <c r="AB5">
        <f>IF(M19&lt;&gt;"",IF($F18="Higher the better",IF(M19&gt;=M18,M19,NA()),IF(M19&lt;=M18,M19,NA())),NA())</f>
        <v/>
      </c>
      <c r="AC5">
        <f>IF(N19&lt;&gt;"",IF($F18="Higher the better",IF(N19&gt;=N18,N19,NA()),IF(N19&lt;=N18,N19,NA())),NA())</f>
        <v/>
      </c>
      <c r="AD5">
        <f>IF(O19&lt;&gt;"",IF($F18="Higher the better",IF(O19&gt;=O18,O19,NA()),IF(O19&lt;=O18,O19,NA())),NA())</f>
        <v/>
      </c>
      <c r="AE5">
        <f>IF(P19&lt;&gt;"",IF($F18="Higher the better",IF(P19&gt;=P18,P19,NA()),IF(P19&lt;=P18,P19,NA())),NA())</f>
        <v/>
      </c>
      <c r="AF5">
        <f>IF(Q19&lt;&gt;"",IF($F18="Higher the better",IF(Q19&gt;=Q18,Q19,NA()),IF(Q19&lt;=Q18,Q19,NA())),NA())</f>
        <v/>
      </c>
      <c r="AG5">
        <f>IF(R19&lt;&gt;"",IF($F18="Higher the better",IF(R19&gt;=R18,R19,NA()),IF(R19&lt;=R18,R19,NA())),NA())</f>
        <v/>
      </c>
      <c r="AH5">
        <f>IF(S19&lt;&gt;"",IF($F18="Higher the better",IF(S19&gt;=S18,S19,NA()),IF(S19&lt;=S18,S19,NA())),NA())</f>
        <v/>
      </c>
      <c r="AI5">
        <f>IF(T19&lt;&gt;"",IF($F18="Higher the better",IF(T19&gt;=T18,T19,NA()),IF(T19&lt;=T18,T19,NA())),NA())</f>
        <v/>
      </c>
    </row>
    <row r="6">
      <c r="A6" s="427" t="inlineStr">
        <is>
          <t>Market Share %</t>
        </is>
      </c>
      <c r="B6" s="461" t="inlineStr">
        <is>
          <t>Q4 '26  MAT Market Share %</t>
        </is>
      </c>
      <c r="C6" s="230" t="inlineStr">
        <is>
          <t>=</t>
        </is>
      </c>
      <c r="D6" s="763" t="n">
        <v>0.165</v>
      </c>
      <c r="E6" s="230" t="inlineStr">
        <is>
          <t>%</t>
        </is>
      </c>
      <c r="F6" s="388" t="inlineStr">
        <is>
          <t>Higher the better</t>
        </is>
      </c>
      <c r="G6" s="230" t="inlineStr">
        <is>
          <t>Quarterly</t>
        </is>
      </c>
      <c r="H6" s="14" t="inlineStr">
        <is>
          <t>Target</t>
        </is>
      </c>
      <c r="I6" s="44" t="n"/>
      <c r="J6" s="44" t="n"/>
      <c r="K6" s="44" t="n"/>
      <c r="L6" s="44" t="n"/>
      <c r="M6" s="44" t="n"/>
      <c r="N6" s="44" t="n"/>
      <c r="O6" s="44" t="n"/>
      <c r="P6" s="44" t="n"/>
      <c r="Q6" s="44" t="n"/>
      <c r="R6" s="44" t="n"/>
      <c r="S6" s="44" t="n"/>
      <c r="T6" s="51" t="n">
        <v>0.165</v>
      </c>
      <c r="W6" t="inlineStr">
        <is>
          <t>Actual red</t>
        </is>
      </c>
      <c r="X6">
        <f>IF(I19&lt;&gt;"",IF($F18="Higher the better",IF(I19&lt;I18,I19,NA()),IF(I19&gt;I18,I19,NA())),NA())</f>
        <v/>
      </c>
      <c r="Y6">
        <f>IF(J19&lt;&gt;"",IF($F18="Higher the better",IF(J19&lt;J18,J19,NA()),IF(J19&gt;J18,J19,NA())),NA())</f>
        <v/>
      </c>
      <c r="Z6">
        <f>IF(K19&lt;&gt;"",IF($F18="Higher the better",IF(K19&lt;K18,K19,NA()),IF(K19&gt;K18,K19,NA())),NA())</f>
        <v/>
      </c>
      <c r="AA6">
        <f>IF(L19&lt;&gt;"",IF($F18="Higher the better",IF(L19&lt;L18,L19,NA()),IF(L19&gt;L18,L19,NA())),NA())</f>
        <v/>
      </c>
      <c r="AB6">
        <f>IF(M19&lt;&gt;"",IF($F18="Higher the better",IF(M19&lt;M18,M19,NA()),IF(M19&gt;M18,M19,NA())),NA())</f>
        <v/>
      </c>
      <c r="AC6">
        <f>IF(N19&lt;&gt;"",IF($F18="Higher the better",IF(N19&lt;N18,N19,NA()),IF(N19&gt;N18,N19,NA())),NA())</f>
        <v/>
      </c>
      <c r="AD6">
        <f>IF(O19&lt;&gt;"",IF($F18="Higher the better",IF(O19&lt;O18,O19,NA()),IF(O19&gt;O18,O19,NA())),NA())</f>
        <v/>
      </c>
      <c r="AE6">
        <f>IF(P19&lt;&gt;"",IF($F18="Higher the better",IF(P19&lt;P18,P19,NA()),IF(P19&gt;P18,P19,NA())),NA())</f>
        <v/>
      </c>
      <c r="AF6">
        <f>IF(Q19&lt;&gt;"",IF($F18="Higher the better",IF(Q19&lt;Q18,Q19,NA()),IF(Q19&gt;Q18,Q19,NA())),NA())</f>
        <v/>
      </c>
      <c r="AG6">
        <f>IF(R19&lt;&gt;"",IF($F18="Higher the better",IF(R19&lt;R18,R19,NA()),IF(R19&gt;R18,R19,NA())),NA())</f>
        <v/>
      </c>
      <c r="AH6">
        <f>IF(S19&lt;&gt;"",IF($F18="Higher the better",IF(S19&lt;S18,S19,NA()),IF(S19&gt;S18,S19,NA())),NA())</f>
        <v/>
      </c>
      <c r="AI6">
        <f>IF(T19&lt;&gt;"",IF($F18="Higher the better",IF(T19&lt;T18,T19,NA()),IF(T19&gt;T18,T19,NA())),NA())</f>
        <v/>
      </c>
    </row>
    <row r="7">
      <c r="A7" s="671" t="n"/>
      <c r="B7" s="671" t="n"/>
      <c r="C7" s="671" t="n"/>
      <c r="D7" s="671" t="n"/>
      <c r="E7" s="671" t="n"/>
      <c r="F7" s="671" t="n"/>
      <c r="G7" s="671" t="n"/>
      <c r="H7" s="14" t="inlineStr">
        <is>
          <t>Actual</t>
        </is>
      </c>
      <c r="I7" s="45" t="n"/>
      <c r="J7" s="45" t="n"/>
      <c r="K7" s="67" t="n">
        <v>0.157</v>
      </c>
      <c r="L7" s="45" t="n"/>
      <c r="M7" s="67" t="n">
        <v>0.145</v>
      </c>
      <c r="N7" s="45" t="n"/>
      <c r="O7" s="45" t="n"/>
      <c r="P7" s="45" t="n"/>
      <c r="Q7" s="45" t="n"/>
      <c r="R7" s="45" t="n"/>
      <c r="S7" s="45" t="n"/>
      <c r="T7" s="45" t="n"/>
      <c r="W7" t="inlineStr">
        <is>
          <t>Actual green</t>
        </is>
      </c>
      <c r="X7">
        <f>IF(I21&lt;&gt;"",IF($F20="Higher the better",IF(I21&gt;=I20,I21,NA()),IF(I21&lt;=I20,I21,NA())),NA())</f>
        <v/>
      </c>
      <c r="Y7">
        <f>IF(J21&lt;&gt;"",IF($F20="Higher the better",IF(J21&gt;=J20,J21,NA()),IF(J21&lt;=J20,J21,NA())),NA())</f>
        <v/>
      </c>
      <c r="Z7">
        <f>IF(K21&lt;&gt;"",IF($F20="Higher the better",IF(K21&gt;=K20,K21,NA()),IF(K21&lt;=K20,K21,NA())),NA())</f>
        <v/>
      </c>
      <c r="AA7">
        <f>IF(L21&lt;&gt;"",IF($F20="Higher the better",IF(L21&gt;=L20,L21,NA()),IF(L21&lt;=L20,L21,NA())),NA())</f>
        <v/>
      </c>
      <c r="AB7">
        <f>IF(M21&lt;&gt;"",IF($F20="Higher the better",IF(M21&gt;=M20,M21,NA()),IF(M21&lt;=M20,M21,NA())),NA())</f>
        <v/>
      </c>
      <c r="AC7">
        <f>IF(N21&lt;&gt;"",IF($F20="Higher the better",IF(N21&gt;=N20,N21,NA()),IF(N21&lt;=N20,N21,NA())),NA())</f>
        <v/>
      </c>
      <c r="AD7">
        <f>IF(O21&lt;&gt;"",IF($F20="Higher the better",IF(O21&gt;=O20,O21,NA()),IF(O21&lt;=O20,O21,NA())),NA())</f>
        <v/>
      </c>
      <c r="AE7">
        <f>IF(P21&lt;&gt;"",IF($F20="Higher the better",IF(P21&gt;=P20,P21,NA()),IF(P21&lt;=P20,P21,NA())),NA())</f>
        <v/>
      </c>
      <c r="AF7">
        <f>IF(Q21&lt;&gt;"",IF($F20="Higher the better",IF(Q21&gt;=Q20,Q21,NA()),IF(Q21&lt;=Q20,Q21,NA())),NA())</f>
        <v/>
      </c>
      <c r="AG7">
        <f>IF(R21&lt;&gt;"",IF($F20="Higher the better",IF(R21&gt;=R20,R21,NA()),IF(R21&lt;=R20,R21,NA())),NA())</f>
        <v/>
      </c>
      <c r="AH7">
        <f>IF(S21&lt;&gt;"",IF($F20="Higher the better",IF(S21&gt;=S20,S21,NA()),IF(S21&lt;=S20,S21,NA())),NA())</f>
        <v/>
      </c>
      <c r="AI7">
        <f>IF(T21&lt;&gt;"",IF($F20="Higher the better",IF(T21&gt;=T20,T21,NA()),IF(T21&lt;=T20,T21,NA())),NA())</f>
        <v/>
      </c>
    </row>
    <row r="8">
      <c r="A8" s="427" t="inlineStr">
        <is>
          <t>Order Intake EQ</t>
        </is>
      </c>
      <c r="B8" s="427" t="inlineStr">
        <is>
          <t>2026 FY Order Intake EQ</t>
        </is>
      </c>
      <c r="C8" s="230" t="inlineStr">
        <is>
          <t>=</t>
        </is>
      </c>
      <c r="D8" s="230" t="n">
        <v>42</v>
      </c>
      <c r="E8" s="230" t="inlineStr">
        <is>
          <t>Mn</t>
        </is>
      </c>
      <c r="F8" s="388" t="inlineStr">
        <is>
          <t>Higher the better</t>
        </is>
      </c>
      <c r="G8" s="230" t="inlineStr">
        <is>
          <t>Monthly</t>
        </is>
      </c>
      <c r="H8" s="14" t="inlineStr">
        <is>
          <t>Target</t>
        </is>
      </c>
      <c r="I8" s="44" t="n">
        <v>3</v>
      </c>
      <c r="J8" s="44" t="n">
        <v>1.6</v>
      </c>
      <c r="K8" s="44" t="n">
        <v>3.9</v>
      </c>
      <c r="L8" s="44" t="n">
        <v>3.1</v>
      </c>
      <c r="M8" s="44" t="n">
        <v>2.1</v>
      </c>
      <c r="N8" s="44" t="n">
        <v>4.4</v>
      </c>
      <c r="O8" s="44" t="n">
        <v>2.9</v>
      </c>
      <c r="P8" s="44" t="n">
        <v>3</v>
      </c>
      <c r="Q8" s="44" t="n">
        <v>4.5</v>
      </c>
      <c r="R8" s="44" t="n">
        <v>3.8</v>
      </c>
      <c r="S8" s="44" t="n">
        <v>4.7</v>
      </c>
      <c r="T8" s="44" t="n">
        <v>7.1</v>
      </c>
      <c r="W8" t="inlineStr">
        <is>
          <t>Actual red</t>
        </is>
      </c>
      <c r="X8">
        <f>IF(I21&lt;&gt;"",IF($F20="Higher the better",IF(I21&lt;I20,I21,NA()),IF(I21&gt;I20,I21,NA())),NA())</f>
        <v/>
      </c>
      <c r="Y8">
        <f>IF(J21&lt;&gt;"",IF($F20="Higher the better",IF(J21&lt;J20,J21,NA()),IF(J21&gt;J20,J21,NA())),NA())</f>
        <v/>
      </c>
      <c r="Z8">
        <f>IF(K21&lt;&gt;"",IF($F20="Higher the better",IF(K21&lt;K20,K21,NA()),IF(K21&gt;K20,K21,NA())),NA())</f>
        <v/>
      </c>
      <c r="AA8">
        <f>IF(L21&lt;&gt;"",IF($F20="Higher the better",IF(L21&lt;L20,L21,NA()),IF(L21&gt;L20,L21,NA())),NA())</f>
        <v/>
      </c>
      <c r="AB8">
        <f>IF(M21&lt;&gt;"",IF($F20="Higher the better",IF(M21&lt;M20,M21,NA()),IF(M21&gt;M20,M21,NA())),NA())</f>
        <v/>
      </c>
      <c r="AC8">
        <f>IF(N21&lt;&gt;"",IF($F20="Higher the better",IF(N21&lt;N20,N21,NA()),IF(N21&gt;N20,N21,NA())),NA())</f>
        <v/>
      </c>
      <c r="AD8">
        <f>IF(O21&lt;&gt;"",IF($F20="Higher the better",IF(O21&lt;O20,O21,NA()),IF(O21&gt;O20,O21,NA())),NA())</f>
        <v/>
      </c>
      <c r="AE8">
        <f>IF(P21&lt;&gt;"",IF($F20="Higher the better",IF(P21&lt;P20,P21,NA()),IF(P21&gt;P20,P21,NA())),NA())</f>
        <v/>
      </c>
      <c r="AF8">
        <f>IF(Q21&lt;&gt;"",IF($F20="Higher the better",IF(Q21&lt;Q20,Q21,NA()),IF(Q21&gt;Q20,Q21,NA())),NA())</f>
        <v/>
      </c>
      <c r="AG8">
        <f>IF(R21&lt;&gt;"",IF($F20="Higher the better",IF(R21&lt;R20,R21,NA()),IF(R21&gt;R20,R21,NA())),NA())</f>
        <v/>
      </c>
      <c r="AH8">
        <f>IF(S21&lt;&gt;"",IF($F20="Higher the better",IF(S21&lt;S20,S21,NA()),IF(S21&gt;S20,S21,NA())),NA())</f>
        <v/>
      </c>
      <c r="AI8">
        <f>IF(T21&lt;&gt;"",IF($F20="Higher the better",IF(T21&lt;T20,T21,NA()),IF(T21&gt;T20,T21,NA())),NA())</f>
        <v/>
      </c>
    </row>
    <row r="9">
      <c r="A9" s="671" t="n"/>
      <c r="B9" s="671" t="n"/>
      <c r="C9" s="671" t="n"/>
      <c r="D9" s="671" t="n"/>
      <c r="E9" s="671" t="n"/>
      <c r="F9" s="671" t="n"/>
      <c r="G9" s="671" t="n"/>
      <c r="H9" s="14" t="inlineStr">
        <is>
          <t>Actual</t>
        </is>
      </c>
      <c r="I9" s="45" t="n">
        <v>1</v>
      </c>
      <c r="J9" s="45" t="n">
        <v>2.9</v>
      </c>
      <c r="K9" s="45" t="n">
        <v>5.4</v>
      </c>
      <c r="L9" s="45" t="n">
        <v>1.9</v>
      </c>
      <c r="M9" s="45" t="n">
        <v>1.7</v>
      </c>
      <c r="N9" s="45" t="n">
        <v>4.4</v>
      </c>
      <c r="O9" s="45" t="n">
        <v>1.5</v>
      </c>
      <c r="P9" s="45" t="n">
        <v>1.2</v>
      </c>
      <c r="Q9" s="45" t="n"/>
      <c r="R9" s="45" t="n"/>
      <c r="S9" s="45" t="n"/>
      <c r="T9" s="45" t="n"/>
      <c r="W9" t="inlineStr">
        <is>
          <t>Actual green</t>
        </is>
      </c>
      <c r="X9">
        <f>IF(I23&lt;&gt;"",IF($F22="Higher the better",IF(I23&gt;=I22,I23,NA()),IF(I23&lt;=I22,I23,NA())),NA())</f>
        <v/>
      </c>
      <c r="Y9">
        <f>IF(J23&lt;&gt;"",IF($F22="Higher the better",IF(J23&gt;=J22,J23,NA()),IF(J23&lt;=J22,J23,NA())),NA())</f>
        <v/>
      </c>
      <c r="Z9">
        <f>IF(K23&lt;&gt;"",IF($F22="Higher the better",IF(K23&gt;=K22,K23,NA()),IF(K23&lt;=K22,K23,NA())),NA())</f>
        <v/>
      </c>
      <c r="AA9">
        <f>IF(L23&lt;&gt;"",IF($F22="Higher the better",IF(L23&gt;=L22,L23,NA()),IF(L23&lt;=L22,L23,NA())),NA())</f>
        <v/>
      </c>
      <c r="AB9">
        <f>IF(M23&lt;&gt;"",IF($F22="Higher the better",IF(M23&gt;=M22,M23,NA()),IF(M23&lt;=M22,M23,NA())),NA())</f>
        <v/>
      </c>
      <c r="AC9">
        <f>IF(N23&lt;&gt;"",IF($F22="Higher the better",IF(N23&gt;=N22,N23,NA()),IF(N23&lt;=N22,N23,NA())),NA())</f>
        <v/>
      </c>
      <c r="AD9">
        <f>IF(O23&lt;&gt;"",IF($F22="Higher the better",IF(O23&gt;=O22,O23,NA()),IF(O23&lt;=O22,O23,NA())),NA())</f>
        <v/>
      </c>
      <c r="AE9">
        <f>IF(P23&lt;&gt;"",IF($F22="Higher the better",IF(P23&gt;=P22,P23,NA()),IF(P23&lt;=P22,P23,NA())),NA())</f>
        <v/>
      </c>
      <c r="AF9">
        <f>IF(Q23&lt;&gt;"",IF($F22="Higher the better",IF(Q23&gt;=Q22,Q23,NA()),IF(Q23&lt;=Q22,Q23,NA())),NA())</f>
        <v/>
      </c>
      <c r="AG9">
        <f>IF(R23&lt;&gt;"",IF($F22="Higher the better",IF(R23&gt;=R22,R23,NA()),IF(R23&lt;=R22,R23,NA())),NA())</f>
        <v/>
      </c>
      <c r="AH9">
        <f>IF(S23&lt;&gt;"",IF($F22="Higher the better",IF(S23&gt;=S22,S23,NA()),IF(S23&lt;=S22,S23,NA())),NA())</f>
        <v/>
      </c>
      <c r="AI9">
        <f>IF(T23&lt;&gt;"",IF($F22="Higher the better",IF(T23&gt;=T22,T23,NA()),IF(T23&lt;=T22,T23,NA())),NA())</f>
        <v/>
      </c>
    </row>
    <row r="10">
      <c r="A10" s="427" t="inlineStr">
        <is>
          <t>Order Intake CS</t>
        </is>
      </c>
      <c r="B10" s="427" t="inlineStr">
        <is>
          <t>2026 FY Order Intake CS</t>
        </is>
      </c>
      <c r="C10" s="230" t="inlineStr">
        <is>
          <t>=</t>
        </is>
      </c>
      <c r="D10" s="230" t="n">
        <v>26.9</v>
      </c>
      <c r="E10" s="230" t="inlineStr">
        <is>
          <t>Mn</t>
        </is>
      </c>
      <c r="F10" s="388" t="inlineStr">
        <is>
          <t>Higher the better</t>
        </is>
      </c>
      <c r="G10" s="230" t="inlineStr">
        <is>
          <t>Monthly</t>
        </is>
      </c>
      <c r="H10" s="14" t="inlineStr">
        <is>
          <t>Target</t>
        </is>
      </c>
      <c r="I10" s="44" t="n">
        <v>2</v>
      </c>
      <c r="J10" s="44" t="n">
        <v>2</v>
      </c>
      <c r="K10" s="44" t="n">
        <v>3.5</v>
      </c>
      <c r="L10" s="44" t="n">
        <v>1.8</v>
      </c>
      <c r="M10" s="44" t="n">
        <v>1.8</v>
      </c>
      <c r="N10" s="44" t="n">
        <v>1.8</v>
      </c>
      <c r="O10" s="44" t="n">
        <v>1.7</v>
      </c>
      <c r="P10" s="44" t="n">
        <v>1.3</v>
      </c>
      <c r="Q10" s="44" t="n">
        <v>2.5</v>
      </c>
      <c r="R10" s="44" t="n">
        <v>2.4</v>
      </c>
      <c r="S10" s="44" t="n">
        <v>2.3</v>
      </c>
      <c r="T10" s="44" t="n">
        <v>3.7</v>
      </c>
      <c r="W10" t="inlineStr">
        <is>
          <t>Actual red</t>
        </is>
      </c>
      <c r="X10">
        <f>IF(I23&lt;&gt;"",IF($F22="Higher the better",IF(I23&lt;I22,I23,NA()),IF(I23&gt;I22,I23,NA())),NA())</f>
        <v/>
      </c>
      <c r="Y10">
        <f>IF(J23&lt;&gt;"",IF($F22="Higher the better",IF(J23&lt;J22,J23,NA()),IF(J23&gt;J22,J23,NA())),NA())</f>
        <v/>
      </c>
      <c r="Z10">
        <f>IF(K23&lt;&gt;"",IF($F22="Higher the better",IF(K23&lt;K22,K23,NA()),IF(K23&gt;K22,K23,NA())),NA())</f>
        <v/>
      </c>
      <c r="AA10">
        <f>IF(L23&lt;&gt;"",IF($F22="Higher the better",IF(L23&lt;L22,L23,NA()),IF(L23&gt;L22,L23,NA())),NA())</f>
        <v/>
      </c>
      <c r="AB10">
        <f>IF(M23&lt;&gt;"",IF($F22="Higher the better",IF(M23&lt;M22,M23,NA()),IF(M23&gt;M22,M23,NA())),NA())</f>
        <v/>
      </c>
      <c r="AC10">
        <f>IF(N23&lt;&gt;"",IF($F22="Higher the better",IF(N23&lt;N22,N23,NA()),IF(N23&gt;N22,N23,NA())),NA())</f>
        <v/>
      </c>
      <c r="AD10">
        <f>IF(O23&lt;&gt;"",IF($F22="Higher the better",IF(O23&lt;O22,O23,NA()),IF(O23&gt;O22,O23,NA())),NA())</f>
        <v/>
      </c>
      <c r="AE10">
        <f>IF(P23&lt;&gt;"",IF($F22="Higher the better",IF(P23&lt;P22,P23,NA()),IF(P23&gt;P22,P23,NA())),NA())</f>
        <v/>
      </c>
      <c r="AF10">
        <f>IF(Q23&lt;&gt;"",IF($F22="Higher the better",IF(Q23&lt;Q22,Q23,NA()),IF(Q23&gt;Q22,Q23,NA())),NA())</f>
        <v/>
      </c>
      <c r="AG10">
        <f>IF(R23&lt;&gt;"",IF($F22="Higher the better",IF(R23&lt;R22,R23,NA()),IF(R23&gt;R22,R23,NA())),NA())</f>
        <v/>
      </c>
      <c r="AH10">
        <f>IF(S23&lt;&gt;"",IF($F22="Higher the better",IF(S23&lt;S22,S23,NA()),IF(S23&gt;S22,S23,NA())),NA())</f>
        <v/>
      </c>
      <c r="AI10">
        <f>IF(T23&lt;&gt;"",IF($F22="Higher the better",IF(T23&lt;T22,T23,NA()),IF(T23&gt;T22,T23,NA())),NA())</f>
        <v/>
      </c>
    </row>
    <row r="11">
      <c r="A11" s="671" t="n"/>
      <c r="B11" s="671" t="n"/>
      <c r="C11" s="671" t="n"/>
      <c r="D11" s="671" t="n"/>
      <c r="E11" s="671" t="n"/>
      <c r="F11" s="671" t="n"/>
      <c r="G11" s="671" t="n"/>
      <c r="H11" s="14" t="inlineStr">
        <is>
          <t>Actual</t>
        </is>
      </c>
      <c r="I11" s="45" t="n">
        <v>2.6</v>
      </c>
      <c r="J11" s="45" t="n">
        <v>1.9</v>
      </c>
      <c r="K11" s="45" t="n">
        <v>3.6</v>
      </c>
      <c r="L11" s="45" t="n">
        <v>2.9</v>
      </c>
      <c r="M11" s="45" t="n">
        <v>1.2</v>
      </c>
      <c r="N11" s="45" t="n">
        <v>2</v>
      </c>
      <c r="O11" s="45" t="n">
        <v>1.2</v>
      </c>
      <c r="P11" s="45" t="n">
        <v>1.3</v>
      </c>
      <c r="Q11" s="45" t="n"/>
      <c r="R11" s="45" t="n"/>
      <c r="S11" s="45" t="n"/>
      <c r="T11" s="45" t="n"/>
      <c r="W11" t="inlineStr">
        <is>
          <t>Actual green</t>
        </is>
      </c>
      <c r="X11">
        <f>IF(I25&lt;&gt;"",IF($F24="Higher the better",IF(I25&gt;=I24,I25,NA()),IF(I25&lt;=I24,I25,NA())),NA())</f>
        <v/>
      </c>
      <c r="Y11">
        <f>IF(J25&lt;&gt;"",IF($F24="Higher the better",IF(J25&gt;=J24,J25,NA()),IF(J25&lt;=J24,J25,NA())),NA())</f>
        <v/>
      </c>
      <c r="Z11">
        <f>IF(K25&lt;&gt;"",IF($F24="Higher the better",IF(K25&gt;=K24,K25,NA()),IF(K25&lt;=K24,K25,NA())),NA())</f>
        <v/>
      </c>
      <c r="AA11">
        <f>IF(L25&lt;&gt;"",IF($F24="Higher the better",IF(L25&gt;=L24,L25,NA()),IF(L25&lt;=L24,L25,NA())),NA())</f>
        <v/>
      </c>
      <c r="AB11">
        <f>IF(M25&lt;&gt;"",IF($F24="Higher the better",IF(M25&gt;=M24,M25,NA()),IF(M25&lt;=M24,M25,NA())),NA())</f>
        <v/>
      </c>
      <c r="AC11">
        <f>IF(N25&lt;&gt;"",IF($F24="Higher the better",IF(N25&gt;=N24,N25,NA()),IF(N25&lt;=N24,N25,NA())),NA())</f>
        <v/>
      </c>
      <c r="AD11">
        <f>IF(O25&lt;&gt;"",IF($F24="Higher the better",IF(O25&gt;=O24,O25,NA()),IF(O25&lt;=O24,O25,NA())),NA())</f>
        <v/>
      </c>
      <c r="AE11">
        <f>IF(P25&lt;&gt;"",IF($F24="Higher the better",IF(P25&gt;=P24,P25,NA()),IF(P25&lt;=P24,P25,NA())),NA())</f>
        <v/>
      </c>
      <c r="AF11">
        <f>IF(Q25&lt;&gt;"",IF($F24="Higher the better",IF(Q25&gt;=Q24,Q25,NA()),IF(Q25&lt;=Q24,Q25,NA())),NA())</f>
        <v/>
      </c>
      <c r="AG11">
        <f>IF(R25&lt;&gt;"",IF($F24="Higher the better",IF(R25&gt;=R24,R25,NA()),IF(R25&lt;=R24,R25,NA())),NA())</f>
        <v/>
      </c>
      <c r="AH11">
        <f>IF(S25&lt;&gt;"",IF($F24="Higher the better",IF(S25&gt;=S24,S25,NA()),IF(S25&lt;=S24,S25,NA())),NA())</f>
        <v/>
      </c>
      <c r="AI11">
        <f>IF(T25&lt;&gt;"",IF($F24="Higher the better",IF(T25&gt;=T24,T25,NA()),IF(T25&lt;=T24,T25,NA())),NA())</f>
        <v/>
      </c>
    </row>
    <row r="12" ht="18.6" customHeight="1">
      <c r="A12" s="31" t="inlineStr">
        <is>
          <t>Critical Enabling/Leading KPI's (3-5)</t>
        </is>
      </c>
      <c r="G12" s="38" t="n"/>
      <c r="I12" s="43" t="n"/>
      <c r="J12" s="43" t="n"/>
      <c r="K12" s="43" t="n"/>
      <c r="L12" s="43" t="n"/>
      <c r="M12" s="43" t="n"/>
      <c r="N12" s="43" t="n"/>
      <c r="O12" s="43" t="n"/>
      <c r="P12" s="43" t="n"/>
      <c r="Q12" s="43" t="n"/>
      <c r="R12" s="43" t="n"/>
      <c r="S12" s="43" t="n"/>
      <c r="T12" s="43" t="n"/>
      <c r="W12" t="inlineStr">
        <is>
          <t>Actual red</t>
        </is>
      </c>
      <c r="X12">
        <f>IF(I25&lt;&gt;"",IF($F24="Higher the better",IF(I25&lt;I24,I25,NA()),IF(I25&gt;I24,I25,NA())),NA())</f>
        <v/>
      </c>
      <c r="Y12">
        <f>IF(J25&lt;&gt;"",IF($F24="Higher the better",IF(J25&lt;J24,J25,NA()),IF(J25&gt;J24,J25,NA())),NA())</f>
        <v/>
      </c>
      <c r="Z12">
        <f>IF(K25&lt;&gt;"",IF($F24="Higher the better",IF(K25&lt;K24,K25,NA()),IF(K25&gt;K24,K25,NA())),NA())</f>
        <v/>
      </c>
      <c r="AA12">
        <f>IF(L25&lt;&gt;"",IF($F24="Higher the better",IF(L25&lt;L24,L25,NA()),IF(L25&gt;L24,L25,NA())),NA())</f>
        <v/>
      </c>
      <c r="AB12">
        <f>IF(M25&lt;&gt;"",IF($F24="Higher the better",IF(M25&lt;M24,M25,NA()),IF(M25&gt;M24,M25,NA())),NA())</f>
        <v/>
      </c>
      <c r="AC12">
        <f>IF(N25&lt;&gt;"",IF($F24="Higher the better",IF(N25&lt;N24,N25,NA()),IF(N25&gt;N24,N25,NA())),NA())</f>
        <v/>
      </c>
      <c r="AD12">
        <f>IF(O25&lt;&gt;"",IF($F24="Higher the better",IF(O25&lt;O24,O25,NA()),IF(O25&gt;O24,O25,NA())),NA())</f>
        <v/>
      </c>
      <c r="AE12">
        <f>IF(P25&lt;&gt;"",IF($F24="Higher the better",IF(P25&lt;P24,P25,NA()),IF(P25&gt;P24,P25,NA())),NA())</f>
        <v/>
      </c>
      <c r="AF12">
        <f>IF(Q25&lt;&gt;"",IF($F24="Higher the better",IF(Q25&lt;Q24,Q25,NA()),IF(Q25&gt;Q24,Q25,NA())),NA())</f>
        <v/>
      </c>
      <c r="AG12">
        <f>IF(R25&lt;&gt;"",IF($F24="Higher the better",IF(R25&lt;R24,R25,NA()),IF(R25&gt;R24,R25,NA())),NA())</f>
        <v/>
      </c>
      <c r="AH12">
        <f>IF(S25&lt;&gt;"",IF($F24="Higher the better",IF(S25&lt;S24,S25,NA()),IF(S25&gt;S24,S25,NA())),NA())</f>
        <v/>
      </c>
      <c r="AI12">
        <f>IF(T25&lt;&gt;"",IF($F24="Higher the better",IF(T25&lt;T24,T25,NA()),IF(T25&gt;T24,T25,NA())),NA())</f>
        <v/>
      </c>
    </row>
    <row r="13" ht="27.6"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row>
    <row r="14" ht="13.5" customHeight="1">
      <c r="A14" s="427" t="inlineStr">
        <is>
          <t>EQ Funnel Sufficiency</t>
        </is>
      </c>
      <c r="B14" s="387" t="inlineStr">
        <is>
          <t>Opps in all stages&gt;AOP*3</t>
        </is>
      </c>
      <c r="C14" s="230" t="inlineStr">
        <is>
          <t>&gt;=</t>
        </is>
      </c>
      <c r="D14" s="388">
        <f>D8*3</f>
        <v/>
      </c>
      <c r="E14" s="230" t="inlineStr">
        <is>
          <t>No.</t>
        </is>
      </c>
      <c r="F14" s="388" t="inlineStr">
        <is>
          <t>Higher the better</t>
        </is>
      </c>
      <c r="G14" s="230" t="inlineStr">
        <is>
          <t>Monthly</t>
        </is>
      </c>
      <c r="H14" s="14" t="inlineStr">
        <is>
          <t>Target</t>
        </is>
      </c>
      <c r="I14" s="44">
        <f>3*I8</f>
        <v/>
      </c>
      <c r="J14" s="44">
        <f>3*J8</f>
        <v/>
      </c>
      <c r="K14" s="44">
        <f>3*K8</f>
        <v/>
      </c>
      <c r="L14" s="44">
        <f>3*L8</f>
        <v/>
      </c>
      <c r="M14" s="44">
        <f>3*M8</f>
        <v/>
      </c>
      <c r="N14" s="44">
        <f>3*N8</f>
        <v/>
      </c>
      <c r="O14" s="44">
        <f>3*O8</f>
        <v/>
      </c>
      <c r="P14" s="44" t="n">
        <v>9</v>
      </c>
      <c r="Q14" s="44">
        <f>3*Q8</f>
        <v/>
      </c>
      <c r="R14" s="44">
        <f>3*R8</f>
        <v/>
      </c>
      <c r="S14" s="44">
        <f>3*S8</f>
        <v/>
      </c>
      <c r="T14" s="44">
        <f>3*T8</f>
        <v/>
      </c>
    </row>
    <row r="15" ht="14.85" customHeight="1">
      <c r="A15" s="671" t="n"/>
      <c r="B15" s="671" t="n"/>
      <c r="C15" s="671" t="n"/>
      <c r="D15" s="671" t="n"/>
      <c r="E15" s="671" t="n"/>
      <c r="F15" s="671" t="n"/>
      <c r="G15" s="671" t="n"/>
      <c r="H15" s="14" t="inlineStr">
        <is>
          <t>Actual</t>
        </is>
      </c>
      <c r="I15" s="45" t="n">
        <v>4.6</v>
      </c>
      <c r="J15" s="45" t="n">
        <v>8.1</v>
      </c>
      <c r="K15" s="45" t="n">
        <v>12.7</v>
      </c>
      <c r="L15" s="45" t="n">
        <v>7.2</v>
      </c>
      <c r="M15" s="45" t="n">
        <v>3.5</v>
      </c>
      <c r="N15" s="45" t="n">
        <v>12</v>
      </c>
      <c r="O15" s="45" t="n">
        <v>9</v>
      </c>
      <c r="P15" s="45" t="n">
        <v>6</v>
      </c>
      <c r="Q15" s="45" t="n">
        <v>9.199999999999999</v>
      </c>
      <c r="R15" s="45" t="n"/>
      <c r="S15" s="45" t="n"/>
      <c r="T15" s="45" t="n"/>
    </row>
    <row r="16">
      <c r="A16" s="427" t="inlineStr">
        <is>
          <t>PH IB Visibility</t>
        </is>
      </c>
      <c r="B16" s="427" t="inlineStr">
        <is>
          <t>Philips  IB Visibility</t>
        </is>
      </c>
      <c r="C16" s="230" t="inlineStr">
        <is>
          <t>=</t>
        </is>
      </c>
      <c r="D16" s="257" t="n">
        <v>0.63</v>
      </c>
      <c r="E16" s="230" t="inlineStr">
        <is>
          <t>%</t>
        </is>
      </c>
      <c r="F16" s="388" t="inlineStr">
        <is>
          <t>Higher the better</t>
        </is>
      </c>
      <c r="G16" s="230" t="inlineStr">
        <is>
          <t>Monthly</t>
        </is>
      </c>
      <c r="H16" s="14" t="inlineStr">
        <is>
          <t>Target</t>
        </is>
      </c>
      <c r="I16" s="4" t="n">
        <v>0.52</v>
      </c>
      <c r="J16" s="4" t="n">
        <v>0.5</v>
      </c>
      <c r="K16" s="4" t="n">
        <v>0.51</v>
      </c>
      <c r="L16" s="4" t="n">
        <v>0.51</v>
      </c>
      <c r="M16" s="4" t="n">
        <v>0.52</v>
      </c>
      <c r="N16" s="4" t="n">
        <v>0.54</v>
      </c>
      <c r="O16" s="4" t="n">
        <v>0.54</v>
      </c>
      <c r="P16" s="4" t="n">
        <v>0.55</v>
      </c>
      <c r="Q16" s="4" t="n">
        <v>0.57</v>
      </c>
      <c r="R16" s="4" t="n">
        <v>0.57</v>
      </c>
      <c r="S16" s="4" t="n">
        <v>0.58</v>
      </c>
      <c r="T16" s="4" t="n">
        <v>0.6</v>
      </c>
    </row>
    <row r="17">
      <c r="A17" s="671" t="n"/>
      <c r="B17" s="671" t="n"/>
      <c r="C17" s="671" t="n"/>
      <c r="D17" s="671" t="n"/>
      <c r="E17" s="671" t="n"/>
      <c r="F17" s="671" t="n"/>
      <c r="G17" s="671" t="n"/>
      <c r="H17" s="14" t="inlineStr">
        <is>
          <t>Actual</t>
        </is>
      </c>
      <c r="I17" s="5" t="n">
        <v>0.52</v>
      </c>
      <c r="J17" s="5" t="n">
        <v>0.5</v>
      </c>
      <c r="K17" s="5" t="n">
        <v>0.51</v>
      </c>
      <c r="L17" s="5" t="n">
        <v>0.504</v>
      </c>
      <c r="M17" s="5" t="n">
        <v>0.506</v>
      </c>
      <c r="N17" s="5" t="n">
        <v>0.53</v>
      </c>
      <c r="O17" s="5" t="n">
        <v>0.54</v>
      </c>
      <c r="P17" s="45" t="n"/>
      <c r="Q17" s="45" t="n"/>
      <c r="R17" s="45" t="n"/>
      <c r="S17" s="45" t="n"/>
      <c r="T17" s="45" t="n"/>
    </row>
    <row r="18">
      <c r="A18" s="427" t="inlineStr">
        <is>
          <t>EQ Forecast Sufficiency</t>
        </is>
      </c>
      <c r="B18" s="446" t="inlineStr">
        <is>
          <t>(orders won+commit+BC Flag)/AOP &gt;60% by WD 10 of month #1, &gt;80% by WD 10 of month #2, &gt;100% by WD 10 of month #3</t>
        </is>
      </c>
      <c r="C18" s="230" t="inlineStr">
        <is>
          <t>=</t>
        </is>
      </c>
      <c r="D18" s="787" t="n">
        <v>10</v>
      </c>
      <c r="E18" s="230" t="inlineStr">
        <is>
          <t>No.</t>
        </is>
      </c>
      <c r="F18" s="388" t="inlineStr">
        <is>
          <t>Higher the better</t>
        </is>
      </c>
      <c r="G18" s="230" t="inlineStr">
        <is>
          <t>Monthly</t>
        </is>
      </c>
      <c r="H18" s="14" t="inlineStr">
        <is>
          <t>Target</t>
        </is>
      </c>
      <c r="I18" s="4" t="n">
        <v>0.6</v>
      </c>
      <c r="J18" s="4" t="n">
        <v>0.8</v>
      </c>
      <c r="K18" s="4" t="n">
        <v>1</v>
      </c>
      <c r="L18" s="4" t="n">
        <v>0.6</v>
      </c>
      <c r="M18" s="4" t="n">
        <v>0.8</v>
      </c>
      <c r="N18" s="4" t="n">
        <v>1</v>
      </c>
      <c r="O18" s="4" t="n">
        <v>0.6</v>
      </c>
      <c r="P18" s="4" t="n">
        <v>0.8</v>
      </c>
      <c r="Q18" s="4" t="n">
        <v>1</v>
      </c>
      <c r="R18" s="4" t="n">
        <v>0.6</v>
      </c>
      <c r="S18" s="4" t="n">
        <v>0.8</v>
      </c>
      <c r="T18" s="4" t="n">
        <v>1</v>
      </c>
    </row>
    <row r="19" ht="26.85" customHeight="1">
      <c r="A19" s="671" t="n"/>
      <c r="B19" s="671" t="n"/>
      <c r="C19" s="671" t="n"/>
      <c r="D19" s="671" t="n"/>
      <c r="E19" s="671" t="n"/>
      <c r="F19" s="671" t="n"/>
      <c r="G19" s="671" t="n"/>
      <c r="H19" s="14" t="inlineStr">
        <is>
          <t>Actual</t>
        </is>
      </c>
      <c r="I19" s="5" t="n">
        <v>0.6</v>
      </c>
      <c r="J19" s="5" t="n">
        <v>0.8100000000000001</v>
      </c>
      <c r="K19" s="5" t="n">
        <v>1.05</v>
      </c>
      <c r="L19" s="5" t="n">
        <v>0.37</v>
      </c>
      <c r="M19" s="5" t="n">
        <v>0.42</v>
      </c>
      <c r="N19" s="5" t="n">
        <v>0.7</v>
      </c>
      <c r="O19" s="5" t="n">
        <v>0.6</v>
      </c>
      <c r="P19" s="5" t="n">
        <v>0.63</v>
      </c>
      <c r="Q19" s="5" t="n">
        <v>0.67</v>
      </c>
      <c r="R19" s="45" t="n"/>
      <c r="S19" s="45" t="n"/>
      <c r="T19" s="45" t="n"/>
    </row>
    <row r="20">
      <c r="A20" s="427" t="inlineStr">
        <is>
          <t>EQ Win-rate</t>
        </is>
      </c>
      <c r="B20" s="427" t="inlineStr">
        <is>
          <t>Win-rate</t>
        </is>
      </c>
      <c r="C20" s="230" t="inlineStr">
        <is>
          <t>=</t>
        </is>
      </c>
      <c r="D20" s="257" t="n">
        <v>0.31</v>
      </c>
      <c r="E20" s="230" t="inlineStr">
        <is>
          <t>%</t>
        </is>
      </c>
      <c r="F20" s="388" t="inlineStr">
        <is>
          <t>Higher the better</t>
        </is>
      </c>
      <c r="G20" s="230" t="inlineStr">
        <is>
          <t>Monthly</t>
        </is>
      </c>
      <c r="H20" s="14" t="inlineStr">
        <is>
          <t>Target</t>
        </is>
      </c>
      <c r="I20" s="4" t="n">
        <v>0.31</v>
      </c>
      <c r="J20" s="4" t="n">
        <v>0.31</v>
      </c>
      <c r="K20" s="4" t="n">
        <v>0.31</v>
      </c>
      <c r="L20" s="4" t="n">
        <v>0.31</v>
      </c>
      <c r="M20" s="4" t="n">
        <v>0.31</v>
      </c>
      <c r="N20" s="4" t="n">
        <v>0.31</v>
      </c>
      <c r="O20" s="4" t="n">
        <v>0.31</v>
      </c>
      <c r="P20" s="4" t="n">
        <v>0.31</v>
      </c>
      <c r="Q20" s="4" t="n">
        <v>0.31</v>
      </c>
      <c r="R20" s="4" t="n">
        <v>0.31</v>
      </c>
      <c r="S20" s="4" t="n">
        <v>0.31</v>
      </c>
      <c r="T20" s="4" t="n">
        <v>0.31</v>
      </c>
    </row>
    <row r="21">
      <c r="A21" s="671" t="n"/>
      <c r="B21" s="671" t="n"/>
      <c r="C21" s="671" t="n"/>
      <c r="D21" s="671" t="n"/>
      <c r="E21" s="671" t="n"/>
      <c r="F21" s="671" t="n"/>
      <c r="G21" s="671" t="n"/>
      <c r="H21" s="14" t="inlineStr">
        <is>
          <t>Actual</t>
        </is>
      </c>
      <c r="I21" s="5" t="n">
        <v>0.25</v>
      </c>
      <c r="J21" s="5" t="n">
        <v>0.42</v>
      </c>
      <c r="K21" s="5" t="n">
        <v>0.47</v>
      </c>
      <c r="L21" s="5" t="n">
        <v>0.389</v>
      </c>
      <c r="M21" s="5" t="n">
        <v>0.154</v>
      </c>
      <c r="N21" s="5" t="n">
        <v>0.457</v>
      </c>
      <c r="O21" s="5" t="n">
        <v>0.16</v>
      </c>
      <c r="P21" s="5" t="n">
        <v>0.226</v>
      </c>
      <c r="Q21" s="5" t="n"/>
      <c r="R21" s="5" t="n"/>
      <c r="S21" s="5" t="n"/>
      <c r="T21" s="5" t="n"/>
    </row>
    <row r="22">
      <c r="A22" s="427" t="inlineStr">
        <is>
          <t>PoS%</t>
        </is>
      </c>
      <c r="B22" s="446" t="inlineStr">
        <is>
          <t>CS PoS Attachment Rate</t>
        </is>
      </c>
      <c r="C22" s="230" t="inlineStr">
        <is>
          <t>=</t>
        </is>
      </c>
      <c r="D22" s="257" t="n">
        <v>0.45</v>
      </c>
      <c r="E22" s="230" t="inlineStr">
        <is>
          <t>%</t>
        </is>
      </c>
      <c r="F22" s="388" t="inlineStr">
        <is>
          <t>Higher the better</t>
        </is>
      </c>
      <c r="G22" s="230" t="inlineStr">
        <is>
          <t>Monthly</t>
        </is>
      </c>
      <c r="H22" s="14" t="inlineStr">
        <is>
          <t>Target</t>
        </is>
      </c>
      <c r="I22" s="4" t="n">
        <v>0.28</v>
      </c>
      <c r="J22" s="4" t="n">
        <v>0.28</v>
      </c>
      <c r="K22" s="4" t="n">
        <v>0.28</v>
      </c>
      <c r="L22" s="4" t="n">
        <v>0.35</v>
      </c>
      <c r="M22" s="4" t="n">
        <v>0.35</v>
      </c>
      <c r="N22" s="4" t="n">
        <v>0.35</v>
      </c>
      <c r="O22" s="4" t="n">
        <v>0.4</v>
      </c>
      <c r="P22" s="4" t="n">
        <v>0.4</v>
      </c>
      <c r="Q22" s="4" t="n">
        <v>0.4</v>
      </c>
      <c r="R22" s="4" t="n">
        <v>0.45</v>
      </c>
      <c r="S22" s="4" t="n">
        <v>0.45</v>
      </c>
      <c r="T22" s="4" t="n">
        <v>0.45</v>
      </c>
    </row>
    <row r="23" ht="15.6" customHeight="1">
      <c r="A23" s="671" t="n"/>
      <c r="B23" s="671" t="n"/>
      <c r="C23" s="671" t="n"/>
      <c r="D23" s="671" t="n"/>
      <c r="E23" s="671" t="n"/>
      <c r="F23" s="671" t="n"/>
      <c r="G23" s="671" t="n"/>
      <c r="H23" s="14" t="inlineStr">
        <is>
          <t>Actual</t>
        </is>
      </c>
      <c r="I23" s="5" t="n">
        <v>0.4</v>
      </c>
      <c r="J23" s="5" t="n">
        <v>0.588</v>
      </c>
      <c r="K23" s="5" t="n">
        <v>0.6</v>
      </c>
      <c r="L23" s="67" t="n">
        <v>0.583</v>
      </c>
      <c r="M23" s="67" t="n">
        <v>0.667</v>
      </c>
      <c r="N23" s="67" t="n">
        <v>0.333</v>
      </c>
      <c r="O23" s="67" t="n">
        <v>0.286</v>
      </c>
      <c r="P23" s="45" t="n"/>
      <c r="Q23" s="45" t="n"/>
      <c r="R23" s="45" t="n"/>
      <c r="S23" s="45" t="n"/>
      <c r="T23" s="45" t="n"/>
    </row>
    <row r="24">
      <c r="A24" s="427" t="inlineStr">
        <is>
          <t>IGM%</t>
        </is>
      </c>
      <c r="B24" s="446" t="inlineStr">
        <is>
          <t>EQ + CS IGM%</t>
        </is>
      </c>
      <c r="C24" s="230" t="inlineStr">
        <is>
          <t>&gt;=</t>
        </is>
      </c>
      <c r="D24" s="761" t="n">
        <v>0.413</v>
      </c>
      <c r="E24" s="230" t="inlineStr">
        <is>
          <t>%</t>
        </is>
      </c>
      <c r="F24" s="388" t="inlineStr">
        <is>
          <t>Higher the better</t>
        </is>
      </c>
      <c r="G24" s="230" t="inlineStr">
        <is>
          <t>Monthly</t>
        </is>
      </c>
      <c r="H24" s="14" t="inlineStr">
        <is>
          <t>Target</t>
        </is>
      </c>
      <c r="I24" s="51" t="n">
        <v>0.352</v>
      </c>
      <c r="J24" s="51" t="n">
        <v>0.321</v>
      </c>
      <c r="K24" s="51" t="n">
        <v>0.342</v>
      </c>
      <c r="L24" s="51" t="n">
        <v>0.363</v>
      </c>
      <c r="M24" s="51" t="n">
        <v>0.352</v>
      </c>
      <c r="N24" s="51" t="n">
        <v>0.355</v>
      </c>
      <c r="O24" s="51" t="n">
        <v>0.357</v>
      </c>
      <c r="P24" s="51" t="n">
        <v>0.363</v>
      </c>
      <c r="Q24" s="51" t="n">
        <v>0.337</v>
      </c>
      <c r="R24" s="51" t="n">
        <v>0.338</v>
      </c>
      <c r="S24" s="51" t="n">
        <v>0.351</v>
      </c>
      <c r="T24" s="51" t="n">
        <v>0.362</v>
      </c>
    </row>
    <row r="25" ht="13.5" customHeight="1">
      <c r="A25" s="671" t="n"/>
      <c r="B25" s="671" t="n"/>
      <c r="C25" s="671" t="n"/>
      <c r="D25" s="671" t="n"/>
      <c r="E25" s="671" t="n"/>
      <c r="F25" s="671" t="n"/>
      <c r="G25" s="671" t="n"/>
      <c r="H25" s="14" t="inlineStr">
        <is>
          <t>Actual</t>
        </is>
      </c>
      <c r="I25" s="67" t="n">
        <v>0.294</v>
      </c>
      <c r="J25" s="67" t="n">
        <v>0.316</v>
      </c>
      <c r="K25" s="67" t="n">
        <v>0.293</v>
      </c>
      <c r="L25" s="67" t="n">
        <v>0.436</v>
      </c>
      <c r="M25" s="67" t="n">
        <v>0.428</v>
      </c>
      <c r="N25" s="67" t="n">
        <v>0.285</v>
      </c>
      <c r="O25" s="67" t="n">
        <v>0.434</v>
      </c>
      <c r="P25" s="67" t="n">
        <v>0.329</v>
      </c>
      <c r="Q25" s="67" t="n"/>
      <c r="R25" s="67" t="n"/>
      <c r="S25" s="67" t="n"/>
      <c r="T25" s="67" t="n"/>
    </row>
    <row r="26" ht="15" customHeight="1">
      <c r="E26" s="32" t="inlineStr">
        <is>
          <t xml:space="preserve">
</t>
        </is>
      </c>
      <c r="H26" s="33">
        <f>IF(OR($F15="Lower the better",$F15="Lower the Better"),
    IF(I15&gt;I14,$A14,""),
    IF(OR($F15="Higher the better",$F15="Higher the Better"),
       IF(I15&lt;I14,$A14,""),
       ""
    )
)</f>
        <v/>
      </c>
    </row>
    <row r="27" ht="21" customHeight="1">
      <c r="A27" s="10" t="inlineStr">
        <is>
          <t>Trends-</t>
        </is>
      </c>
    </row>
    <row r="28">
      <c r="A28" s="639" t="n"/>
    </row>
    <row r="29">
      <c r="A29" s="639" t="n"/>
    </row>
    <row r="30">
      <c r="A30" s="639" t="n"/>
    </row>
    <row r="31">
      <c r="A31" s="639" t="n"/>
    </row>
    <row r="32">
      <c r="A32" s="639" t="n"/>
    </row>
    <row r="33">
      <c r="A33" s="639" t="n"/>
    </row>
    <row r="34">
      <c r="A34" s="639" t="n"/>
    </row>
    <row r="35">
      <c r="A35" s="639" t="n"/>
    </row>
    <row r="36">
      <c r="A36" s="639" t="n"/>
    </row>
    <row r="37">
      <c r="A37" s="639" t="n"/>
    </row>
    <row r="38">
      <c r="A38" s="639" t="n"/>
    </row>
    <row r="39">
      <c r="A39" s="639" t="n"/>
    </row>
    <row r="40">
      <c r="A40" s="639" t="n"/>
    </row>
    <row r="41">
      <c r="A41" s="639" t="n"/>
    </row>
    <row r="42">
      <c r="A42" s="639" t="n"/>
    </row>
    <row r="43">
      <c r="A43" s="639" t="n"/>
    </row>
    <row r="44" ht="21" customHeight="1">
      <c r="A44" s="500" t="inlineStr">
        <is>
          <t>If the KPI is reported Red, fill all the details as mentioned below for analysis &amp; actions:</t>
        </is>
      </c>
    </row>
    <row r="45">
      <c r="A45" s="639" t="n"/>
    </row>
    <row r="46" ht="21" customHeight="1">
      <c r="A46" s="449" t="inlineStr">
        <is>
          <t>Root Cause Analysis-</t>
        </is>
      </c>
    </row>
    <row r="47" ht="20.1" customHeight="1">
      <c r="A47" s="466" t="inlineStr">
        <is>
          <t xml:space="preserve"> Red KPI</t>
        </is>
      </c>
      <c r="B47" s="361" t="inlineStr">
        <is>
          <t xml:space="preserve">Top  Causes </t>
        </is>
      </c>
      <c r="C47" s="693" t="n"/>
      <c r="D47" s="693" t="n"/>
      <c r="E47" s="693" t="n"/>
      <c r="F47" s="692" t="n"/>
    </row>
    <row r="48" ht="15" customHeight="1">
      <c r="A48" s="694" t="n"/>
      <c r="B48" s="361" t="inlineStr">
        <is>
          <t xml:space="preserve">Cause 1 </t>
        </is>
      </c>
      <c r="C48" s="361" t="inlineStr">
        <is>
          <t>Cause 2</t>
        </is>
      </c>
      <c r="D48" s="361" t="inlineStr">
        <is>
          <t>Cause 3</t>
        </is>
      </c>
      <c r="E48" s="361" t="inlineStr">
        <is>
          <t>Cause 4</t>
        </is>
      </c>
      <c r="F48" s="361" t="inlineStr">
        <is>
          <t>Cause 5</t>
        </is>
      </c>
    </row>
    <row r="49" ht="19.35" customHeight="1">
      <c r="A49" s="40" t="inlineStr">
        <is>
          <t>EQ + CS IGM%</t>
        </is>
      </c>
      <c r="B49" s="41" t="inlineStr">
        <is>
          <t>3rd party products</t>
        </is>
      </c>
      <c r="C49" s="41" t="inlineStr">
        <is>
          <t>lower volume</t>
        </is>
      </c>
      <c r="D49" s="41" t="inlineStr">
        <is>
          <t>ICoS</t>
        </is>
      </c>
      <c r="E49" s="41" t="n"/>
      <c r="F49" s="41" t="n"/>
    </row>
    <row r="50" ht="19.35" customHeight="1">
      <c r="A50" s="27" t="inlineStr">
        <is>
          <t>% impact on KPI gap</t>
        </is>
      </c>
      <c r="B50" s="42" t="n">
        <v>0.39</v>
      </c>
      <c r="C50" s="42" t="n">
        <v>0.72</v>
      </c>
      <c r="D50" s="42" t="n">
        <v>0.27</v>
      </c>
      <c r="E50" s="42" t="n"/>
      <c r="F50" s="42" t="n"/>
    </row>
    <row r="51" ht="19.35" customHeight="1">
      <c r="A51" s="361" t="inlineStr">
        <is>
          <t>Red KPI</t>
        </is>
      </c>
      <c r="B51" s="361" t="inlineStr">
        <is>
          <t xml:space="preserve">Cause 1 </t>
        </is>
      </c>
      <c r="C51" s="361" t="inlineStr">
        <is>
          <t>Cause 2</t>
        </is>
      </c>
      <c r="D51" s="361" t="inlineStr">
        <is>
          <t>Cause 3</t>
        </is>
      </c>
      <c r="E51" s="361" t="inlineStr">
        <is>
          <t>Cause 4</t>
        </is>
      </c>
      <c r="F51" s="361" t="inlineStr">
        <is>
          <t>Cause 5</t>
        </is>
      </c>
    </row>
    <row r="52" ht="19.35" customHeight="1">
      <c r="A52" s="27" t="n"/>
      <c r="B52" s="41" t="n"/>
      <c r="C52" s="41" t="n"/>
      <c r="D52" s="41" t="n"/>
      <c r="E52" s="41" t="n"/>
      <c r="F52" s="41" t="n"/>
    </row>
    <row r="53" ht="19.35" customHeight="1">
      <c r="A53" s="27" t="inlineStr">
        <is>
          <t>% impact on KPI gap</t>
        </is>
      </c>
      <c r="B53" s="42" t="n"/>
      <c r="C53" s="42" t="n"/>
      <c r="D53" s="42" t="n"/>
      <c r="E53" s="42" t="n"/>
      <c r="F53" s="42" t="n"/>
    </row>
    <row r="54" ht="19.35" customHeight="1">
      <c r="A54" s="361" t="inlineStr">
        <is>
          <t>Red KPI</t>
        </is>
      </c>
      <c r="B54" s="361" t="inlineStr">
        <is>
          <t xml:space="preserve">Cause 1 </t>
        </is>
      </c>
      <c r="C54" s="361" t="inlineStr">
        <is>
          <t>Cause 2</t>
        </is>
      </c>
      <c r="D54" s="361" t="inlineStr">
        <is>
          <t>Cause 3</t>
        </is>
      </c>
      <c r="E54" s="361" t="inlineStr">
        <is>
          <t>Cause 4</t>
        </is>
      </c>
      <c r="F54" s="361" t="inlineStr">
        <is>
          <t>Cause 5</t>
        </is>
      </c>
    </row>
    <row r="55" ht="19.35" customHeight="1">
      <c r="A55" s="27" t="n"/>
      <c r="B55" s="41" t="n"/>
      <c r="C55" s="41" t="n"/>
      <c r="D55" s="41" t="n"/>
      <c r="E55" s="41" t="n"/>
      <c r="F55" s="41" t="n"/>
    </row>
    <row r="56" ht="19.35" customHeight="1">
      <c r="A56" s="27" t="inlineStr">
        <is>
          <t>% impact on KPI gap</t>
        </is>
      </c>
      <c r="B56" s="42" t="n"/>
      <c r="C56" s="42" t="n"/>
      <c r="D56" s="42" t="n"/>
      <c r="E56" s="42" t="n"/>
      <c r="F56" s="42" t="n"/>
    </row>
    <row r="57" ht="19.35" customHeight="1">
      <c r="A57" s="361" t="inlineStr">
        <is>
          <t>Red KPI</t>
        </is>
      </c>
      <c r="B57" s="361" t="inlineStr">
        <is>
          <t xml:space="preserve">Cause 1 </t>
        </is>
      </c>
      <c r="C57" s="361" t="inlineStr">
        <is>
          <t>Cause 2</t>
        </is>
      </c>
      <c r="D57" s="361" t="inlineStr">
        <is>
          <t>Cause 3</t>
        </is>
      </c>
      <c r="E57" s="361" t="inlineStr">
        <is>
          <t>Cause 4</t>
        </is>
      </c>
      <c r="F57" s="361" t="inlineStr">
        <is>
          <t>Cause 5</t>
        </is>
      </c>
    </row>
    <row r="58" ht="19.35" customHeight="1">
      <c r="A58" s="27" t="n"/>
      <c r="B58" s="41" t="n"/>
      <c r="C58" s="41" t="n"/>
      <c r="D58" s="41" t="n"/>
      <c r="E58" s="41" t="n"/>
      <c r="F58" s="41" t="n"/>
    </row>
    <row r="59" ht="19.35" customHeight="1">
      <c r="A59" s="27" t="inlineStr">
        <is>
          <t>% impact on KPI gap</t>
        </is>
      </c>
      <c r="B59" s="42" t="n"/>
      <c r="C59" s="42" t="n"/>
      <c r="D59" s="42" t="n"/>
      <c r="E59" s="42" t="n"/>
      <c r="F59" s="42" t="n"/>
    </row>
    <row r="60" ht="19.35" customHeight="1">
      <c r="A60" s="361" t="inlineStr">
        <is>
          <t>Red KPI</t>
        </is>
      </c>
      <c r="B60" s="361" t="inlineStr">
        <is>
          <t xml:space="preserve">Cause 1 </t>
        </is>
      </c>
      <c r="C60" s="361" t="inlineStr">
        <is>
          <t>Cause 2</t>
        </is>
      </c>
      <c r="D60" s="361" t="inlineStr">
        <is>
          <t>Cause 3</t>
        </is>
      </c>
      <c r="E60" s="361" t="inlineStr">
        <is>
          <t>Cause 4</t>
        </is>
      </c>
      <c r="F60" s="361" t="inlineStr">
        <is>
          <t>Cause 5</t>
        </is>
      </c>
    </row>
    <row r="61" ht="19.35" customHeight="1">
      <c r="A61" s="27" t="n"/>
      <c r="B61" s="41" t="n"/>
      <c r="C61" s="41" t="n"/>
      <c r="D61" s="41" t="n"/>
      <c r="E61" s="41" t="n"/>
      <c r="F61" s="41" t="n"/>
    </row>
    <row r="62" ht="19.35" customHeight="1">
      <c r="A62" s="27" t="inlineStr">
        <is>
          <t>% impact on KPI gap</t>
        </is>
      </c>
      <c r="B62" s="42" t="n"/>
      <c r="C62" s="42" t="n"/>
      <c r="D62" s="42" t="n"/>
      <c r="E62" s="42" t="n"/>
      <c r="F62" s="42" t="n"/>
    </row>
    <row r="63" ht="19.35" customHeight="1">
      <c r="A63" s="361" t="inlineStr">
        <is>
          <t>Red KPI</t>
        </is>
      </c>
      <c r="B63" s="361" t="inlineStr">
        <is>
          <t xml:space="preserve">Cause 1 </t>
        </is>
      </c>
      <c r="C63" s="361" t="inlineStr">
        <is>
          <t>Cause 2</t>
        </is>
      </c>
      <c r="D63" s="361" t="inlineStr">
        <is>
          <t>Cause 3</t>
        </is>
      </c>
      <c r="E63" s="361" t="inlineStr">
        <is>
          <t>Cause 4</t>
        </is>
      </c>
      <c r="F63" s="361" t="inlineStr">
        <is>
          <t>Cause 5</t>
        </is>
      </c>
    </row>
    <row r="64" ht="19.35" customHeight="1">
      <c r="A64" s="27" t="n"/>
      <c r="B64" s="41" t="n"/>
      <c r="C64" s="41" t="n"/>
      <c r="D64" s="41" t="n"/>
      <c r="E64" s="41" t="n"/>
      <c r="F64" s="41" t="n"/>
    </row>
    <row r="65" ht="19.35" customHeight="1">
      <c r="A65" s="27" t="inlineStr">
        <is>
          <t>% impact on KPI gap</t>
        </is>
      </c>
      <c r="B65" s="42" t="n"/>
      <c r="C65" s="42" t="n"/>
      <c r="D65" s="42" t="n"/>
      <c r="E65" s="42" t="n"/>
      <c r="F65" s="42" t="n"/>
    </row>
    <row r="66" ht="21" customHeight="1">
      <c r="A66" s="10" t="inlineStr">
        <is>
          <t>Paretos for RCA</t>
        </is>
      </c>
    </row>
    <row r="67">
      <c r="A67" s="639" t="n"/>
    </row>
    <row r="68">
      <c r="A68" s="639" t="n"/>
    </row>
    <row r="69">
      <c r="A69" s="639" t="n"/>
    </row>
    <row r="70">
      <c r="A70" s="639" t="n"/>
    </row>
    <row r="71">
      <c r="A71" s="639" t="n"/>
    </row>
    <row r="72">
      <c r="A72" s="639" t="n"/>
    </row>
    <row r="73">
      <c r="A73" s="639" t="n"/>
    </row>
    <row r="74">
      <c r="A74" s="639" t="n"/>
    </row>
    <row r="75">
      <c r="A75" s="639" t="n"/>
    </row>
    <row r="76">
      <c r="A76" s="639" t="n"/>
    </row>
    <row r="77">
      <c r="A77" s="639" t="n"/>
    </row>
    <row r="78">
      <c r="A78" s="639" t="n"/>
    </row>
    <row r="79">
      <c r="A79" s="639" t="n"/>
    </row>
    <row r="80">
      <c r="A80" s="639" t="n"/>
    </row>
    <row r="81" ht="15" customHeight="1" thickBot="1">
      <c r="A81" s="639" t="n"/>
    </row>
    <row r="82" ht="18.95" customHeight="1" thickBot="1">
      <c r="A82" s="695" t="inlineStr">
        <is>
          <t>Action tracker</t>
        </is>
      </c>
      <c r="B82" s="696" t="n"/>
      <c r="C82" s="696" t="n"/>
      <c r="D82" s="696" t="n"/>
      <c r="E82" s="696" t="n"/>
      <c r="F82" s="697" t="n"/>
      <c r="H82" s="698" t="inlineStr">
        <is>
          <t>Handshake Escalations/Support required</t>
        </is>
      </c>
      <c r="I82" s="696" t="n"/>
      <c r="J82" s="696" t="n"/>
      <c r="K82" s="696" t="n"/>
      <c r="L82" s="696" t="n"/>
      <c r="M82" s="696" t="n"/>
      <c r="N82" s="696" t="n"/>
      <c r="O82" s="697" t="n"/>
    </row>
    <row r="83" ht="41.85" customFormat="1" customHeight="1" s="15">
      <c r="A83" s="16" t="inlineStr">
        <is>
          <t>Red KPI</t>
        </is>
      </c>
      <c r="B83" s="17" t="inlineStr">
        <is>
          <t>Root cause description</t>
        </is>
      </c>
      <c r="C83" s="18" t="inlineStr">
        <is>
          <t>Corrective action</t>
        </is>
      </c>
      <c r="D83" s="19" t="inlineStr">
        <is>
          <t>Owner</t>
        </is>
      </c>
      <c r="E83" s="17" t="inlineStr">
        <is>
          <t>Due Date</t>
        </is>
      </c>
      <c r="F83" s="20" t="inlineStr">
        <is>
          <t>Status</t>
        </is>
      </c>
      <c r="H83" s="21" t="inlineStr">
        <is>
          <t>KPI Name</t>
        </is>
      </c>
      <c r="I83" s="22" t="inlineStr">
        <is>
          <t>Key Dependency</t>
        </is>
      </c>
      <c r="J83" s="22" t="inlineStr">
        <is>
          <t>Function Name</t>
        </is>
      </c>
      <c r="K83" s="23" t="inlineStr">
        <is>
          <t>What action/s from
 Function is expected</t>
        </is>
      </c>
      <c r="L83" s="23" t="inlineStr">
        <is>
          <t>Success measure for
Action Closure</t>
        </is>
      </c>
      <c r="M83" s="24" t="inlineStr">
        <is>
          <t>Handshaked
(Yes or No)</t>
        </is>
      </c>
      <c r="N83" s="23" t="inlineStr">
        <is>
          <t>Open issue description</t>
        </is>
      </c>
      <c r="O83" s="36" t="inlineStr">
        <is>
          <t>Solutions to 
Open issues</t>
        </is>
      </c>
    </row>
    <row r="84" ht="16.5" customHeight="1">
      <c r="A84" s="699" t="n"/>
      <c r="B84" s="388" t="n"/>
      <c r="C84" s="388" t="n"/>
      <c r="D84" s="388" t="n"/>
      <c r="E84" s="379" t="n"/>
      <c r="F84" s="700" t="n">
        <v>1</v>
      </c>
      <c r="H84" s="699" t="n"/>
      <c r="I84" s="701" t="n"/>
      <c r="J84" s="701" t="n"/>
      <c r="K84" s="701" t="n"/>
      <c r="L84" s="701" t="n"/>
      <c r="M84" s="703" t="inlineStr">
        <is>
          <t>Yes</t>
        </is>
      </c>
      <c r="N84" s="701" t="n"/>
      <c r="O84" s="704" t="n"/>
    </row>
    <row r="85" ht="18" customHeight="1">
      <c r="A85" s="705" t="n"/>
      <c r="B85" s="671" t="n"/>
      <c r="C85" s="671" t="n"/>
      <c r="D85" s="671" t="n"/>
      <c r="E85" s="671" t="n"/>
      <c r="F85" s="672" t="n"/>
      <c r="H85" s="705" t="n"/>
      <c r="I85" s="671" t="n"/>
      <c r="J85" s="671" t="n"/>
      <c r="K85" s="671" t="n"/>
      <c r="L85" s="671" t="n"/>
      <c r="M85" s="671" t="n"/>
      <c r="N85" s="671" t="n"/>
      <c r="O85" s="672" t="n"/>
    </row>
    <row r="86" ht="17.1" customHeight="1">
      <c r="A86" s="699" t="n"/>
      <c r="B86" s="388" t="n"/>
      <c r="C86" s="388" t="n"/>
      <c r="D86" s="388" t="n"/>
      <c r="E86" s="379" t="n"/>
      <c r="F86" s="700" t="n">
        <v>1</v>
      </c>
      <c r="H86" s="699" t="n"/>
      <c r="I86" s="701" t="n"/>
      <c r="J86" s="701" t="n"/>
      <c r="K86" s="701" t="n"/>
      <c r="L86" s="701" t="n"/>
      <c r="M86" s="703" t="inlineStr">
        <is>
          <t>No</t>
        </is>
      </c>
      <c r="N86" s="701" t="n"/>
      <c r="O86" s="704" t="n"/>
    </row>
    <row r="87" ht="17.1" customHeight="1">
      <c r="A87" s="705" t="n"/>
      <c r="B87" s="671" t="n"/>
      <c r="C87" s="671" t="n"/>
      <c r="D87" s="671" t="n"/>
      <c r="E87" s="671" t="n"/>
      <c r="F87" s="672" t="n"/>
      <c r="H87" s="705" t="n"/>
      <c r="I87" s="671" t="n"/>
      <c r="J87" s="671" t="n"/>
      <c r="K87" s="671" t="n"/>
      <c r="L87" s="671" t="n"/>
      <c r="M87" s="671" t="n"/>
      <c r="N87" s="671" t="n"/>
      <c r="O87" s="672" t="n"/>
    </row>
    <row r="88" ht="17.1" customHeight="1">
      <c r="A88" s="699" t="n"/>
      <c r="B88" s="388" t="n"/>
      <c r="C88" s="388" t="n"/>
      <c r="D88" s="388" t="n"/>
      <c r="E88" s="379" t="n"/>
      <c r="F88" s="700" t="n">
        <v>1</v>
      </c>
      <c r="H88" s="699" t="n"/>
      <c r="I88" s="701" t="n"/>
      <c r="J88" s="701" t="n"/>
      <c r="K88" s="701" t="n"/>
      <c r="L88" s="701" t="n"/>
      <c r="M88" s="703" t="n"/>
      <c r="N88" s="701" t="n"/>
      <c r="O88" s="704" t="n"/>
    </row>
    <row r="89" ht="16.5" customHeight="1">
      <c r="A89" s="705" t="n"/>
      <c r="B89" s="671" t="n"/>
      <c r="C89" s="671" t="n"/>
      <c r="D89" s="671" t="n"/>
      <c r="E89" s="671" t="n"/>
      <c r="F89" s="672" t="n"/>
      <c r="H89" s="705" t="n"/>
      <c r="I89" s="671" t="n"/>
      <c r="J89" s="671" t="n"/>
      <c r="K89" s="671" t="n"/>
      <c r="L89" s="671" t="n"/>
      <c r="M89" s="671" t="n"/>
      <c r="N89" s="671" t="n"/>
      <c r="O89" s="672" t="n"/>
    </row>
    <row r="90" ht="16.5" customHeight="1">
      <c r="A90" s="699" t="n"/>
      <c r="B90" s="388" t="n"/>
      <c r="C90" s="388" t="n"/>
      <c r="D90" s="388" t="n"/>
      <c r="E90" s="379" t="n"/>
      <c r="F90" s="700" t="n">
        <v>1</v>
      </c>
      <c r="H90" s="699" t="n"/>
      <c r="I90" s="701" t="n"/>
      <c r="J90" s="701" t="n"/>
      <c r="K90" s="701" t="n"/>
      <c r="L90" s="701" t="n"/>
      <c r="M90" s="703" t="n"/>
      <c r="N90" s="701" t="n"/>
      <c r="O90" s="704" t="n"/>
    </row>
    <row r="91" ht="16.5" customHeight="1">
      <c r="A91" s="705" t="n"/>
      <c r="B91" s="671" t="n"/>
      <c r="C91" s="671" t="n"/>
      <c r="D91" s="671" t="n"/>
      <c r="E91" s="671" t="n"/>
      <c r="F91" s="672" t="n"/>
      <c r="H91" s="705" t="n"/>
      <c r="I91" s="671" t="n"/>
      <c r="J91" s="671" t="n"/>
      <c r="K91" s="671" t="n"/>
      <c r="L91" s="671" t="n"/>
      <c r="M91" s="671" t="n"/>
      <c r="N91" s="671" t="n"/>
      <c r="O91" s="672" t="n"/>
    </row>
    <row r="92" ht="16.5" customHeight="1">
      <c r="A92" s="699" t="n"/>
      <c r="B92" s="388" t="n"/>
      <c r="C92" s="388" t="n"/>
      <c r="D92" s="388" t="n"/>
      <c r="E92" s="379" t="n"/>
      <c r="F92" s="700" t="n">
        <v>1</v>
      </c>
      <c r="H92" s="699" t="n"/>
      <c r="I92" s="701" t="n"/>
      <c r="J92" s="701" t="n"/>
      <c r="K92" s="701" t="n"/>
      <c r="L92" s="701" t="n"/>
      <c r="M92" s="703" t="n"/>
      <c r="N92" s="701" t="n"/>
      <c r="O92" s="704" t="n"/>
    </row>
    <row r="93" ht="16.5" customHeight="1">
      <c r="A93" s="705" t="n"/>
      <c r="B93" s="671" t="n"/>
      <c r="C93" s="671" t="n"/>
      <c r="D93" s="671" t="n"/>
      <c r="E93" s="671" t="n"/>
      <c r="F93" s="672" t="n"/>
      <c r="H93" s="705" t="n"/>
      <c r="I93" s="671" t="n"/>
      <c r="J93" s="671" t="n"/>
      <c r="K93" s="671" t="n"/>
      <c r="L93" s="671" t="n"/>
      <c r="M93" s="671" t="n"/>
      <c r="N93" s="671" t="n"/>
      <c r="O93" s="672" t="n"/>
    </row>
    <row r="94" ht="16.5" customHeight="1">
      <c r="A94" s="699" t="n"/>
      <c r="B94" s="707" t="n"/>
      <c r="C94" s="707" t="n"/>
      <c r="D94" s="707" t="n"/>
      <c r="E94" s="708" t="n"/>
      <c r="F94" s="700" t="n">
        <v>1</v>
      </c>
      <c r="H94" s="709" t="n"/>
      <c r="I94" s="710" t="n"/>
      <c r="J94" s="710" t="n"/>
      <c r="K94" s="710" t="n"/>
      <c r="L94" s="710" t="n"/>
      <c r="M94" s="711" t="n"/>
      <c r="N94" s="710" t="n"/>
      <c r="O94" s="712" t="n"/>
    </row>
    <row r="95" ht="17.1" customHeight="1" thickBot="1">
      <c r="A95" s="705" t="n"/>
      <c r="B95" s="713" t="n"/>
      <c r="C95" s="713" t="n"/>
      <c r="D95" s="713" t="n"/>
      <c r="E95" s="713" t="n"/>
      <c r="F95" s="672" t="n"/>
      <c r="H95" s="714" t="n"/>
      <c r="I95" s="713" t="n"/>
      <c r="J95" s="713" t="n"/>
      <c r="K95" s="713" t="n"/>
      <c r="L95" s="713" t="n"/>
      <c r="M95" s="713" t="n"/>
      <c r="N95" s="713" t="n"/>
      <c r="O95" s="715" t="n"/>
    </row>
    <row r="96">
      <c r="A96" s="34" t="inlineStr">
        <is>
          <t>Action not assigned</t>
        </is>
      </c>
      <c r="B96" s="34" t="inlineStr">
        <is>
          <t>Action assigned</t>
        </is>
      </c>
      <c r="C96" s="35" t="inlineStr">
        <is>
          <t>Action started</t>
        </is>
      </c>
      <c r="D96" s="35" t="inlineStr">
        <is>
          <t>Action in progress</t>
        </is>
      </c>
      <c r="E96" s="165" t="inlineStr">
        <is>
          <t>Action completed</t>
        </is>
      </c>
      <c r="F96" s="716" t="n"/>
      <c r="G96" s="639" t="n"/>
    </row>
    <row r="97">
      <c r="A97" s="639" t="n"/>
      <c r="C97" s="639" t="n"/>
      <c r="D97" s="639" t="n"/>
      <c r="E97" s="639" t="n"/>
      <c r="F97" s="639" t="n"/>
      <c r="G97" s="639" t="n"/>
    </row>
    <row r="98">
      <c r="C98" s="639" t="n"/>
      <c r="D98" s="639" t="n"/>
      <c r="E98" s="639" t="n"/>
      <c r="F98" s="639" t="n"/>
      <c r="G98" s="639" t="n"/>
      <c r="H98" s="639" t="n"/>
    </row>
  </sheetData>
  <mergeCells count="155">
    <mergeCell ref="F84:F85"/>
    <mergeCell ref="E92:E93"/>
    <mergeCell ref="K88:K89"/>
    <mergeCell ref="E8:E9"/>
    <mergeCell ref="M88:M89"/>
    <mergeCell ref="G8:G9"/>
    <mergeCell ref="E88:E89"/>
    <mergeCell ref="B86:B87"/>
    <mergeCell ref="D86:D87"/>
    <mergeCell ref="C94:C95"/>
    <mergeCell ref="F86:F87"/>
    <mergeCell ref="A16:A17"/>
    <mergeCell ref="C10:C11"/>
    <mergeCell ref="C16:C17"/>
    <mergeCell ref="E10:E11"/>
    <mergeCell ref="B14:B15"/>
    <mergeCell ref="G10:G11"/>
    <mergeCell ref="M90:M91"/>
    <mergeCell ref="F18:F19"/>
    <mergeCell ref="H88:H89"/>
    <mergeCell ref="F94:F95"/>
    <mergeCell ref="K90:K91"/>
    <mergeCell ref="D16:D17"/>
    <mergeCell ref="H94:H95"/>
    <mergeCell ref="B6:B7"/>
    <mergeCell ref="G18:G19"/>
    <mergeCell ref="H90:H91"/>
    <mergeCell ref="A22:A23"/>
    <mergeCell ref="D18:D19"/>
    <mergeCell ref="J94:J95"/>
    <mergeCell ref="L94:L95"/>
    <mergeCell ref="D8:D9"/>
    <mergeCell ref="A20:A21"/>
    <mergeCell ref="N90:N91"/>
    <mergeCell ref="C86:C87"/>
    <mergeCell ref="G22:G23"/>
    <mergeCell ref="I84:I85"/>
    <mergeCell ref="H92:H93"/>
    <mergeCell ref="A82:F82"/>
    <mergeCell ref="D10:D11"/>
    <mergeCell ref="J88:J89"/>
    <mergeCell ref="I86:I87"/>
    <mergeCell ref="C6:C7"/>
    <mergeCell ref="F16:F17"/>
    <mergeCell ref="C14:C15"/>
    <mergeCell ref="E14:E15"/>
    <mergeCell ref="K92:K93"/>
    <mergeCell ref="A88:A89"/>
    <mergeCell ref="B90:B91"/>
    <mergeCell ref="K94:K95"/>
    <mergeCell ref="F20:F21"/>
    <mergeCell ref="M94:M95"/>
    <mergeCell ref="O92:O93"/>
    <mergeCell ref="A90:A91"/>
    <mergeCell ref="N92:N93"/>
    <mergeCell ref="F22:F23"/>
    <mergeCell ref="A46:B46"/>
    <mergeCell ref="B84:B85"/>
    <mergeCell ref="L84:L85"/>
    <mergeCell ref="A8:A9"/>
    <mergeCell ref="N84:N85"/>
    <mergeCell ref="C8:C9"/>
    <mergeCell ref="L86:L87"/>
    <mergeCell ref="A10:A11"/>
    <mergeCell ref="N86:N87"/>
    <mergeCell ref="B92:B93"/>
    <mergeCell ref="D88:D89"/>
    <mergeCell ref="A92:A93"/>
    <mergeCell ref="F88:F89"/>
    <mergeCell ref="B94:B95"/>
    <mergeCell ref="D94:D95"/>
    <mergeCell ref="M92:M93"/>
    <mergeCell ref="B16:B17"/>
    <mergeCell ref="O86:O87"/>
    <mergeCell ref="J92:J93"/>
    <mergeCell ref="C18:C19"/>
    <mergeCell ref="N94:N95"/>
    <mergeCell ref="F10:F11"/>
    <mergeCell ref="D90:D91"/>
    <mergeCell ref="F24:F25"/>
    <mergeCell ref="A94:A95"/>
    <mergeCell ref="B47:F47"/>
    <mergeCell ref="H82:O82"/>
    <mergeCell ref="A84:A85"/>
    <mergeCell ref="B18:B19"/>
    <mergeCell ref="C20:C21"/>
    <mergeCell ref="E20:E21"/>
    <mergeCell ref="B8:B9"/>
    <mergeCell ref="A6:A7"/>
    <mergeCell ref="C84:C85"/>
    <mergeCell ref="C22:C23"/>
    <mergeCell ref="E84:E85"/>
    <mergeCell ref="F8:F9"/>
    <mergeCell ref="N88:N89"/>
    <mergeCell ref="E94:E95"/>
    <mergeCell ref="G6:G7"/>
    <mergeCell ref="E86:E87"/>
    <mergeCell ref="G24:G25"/>
    <mergeCell ref="A3:B3"/>
    <mergeCell ref="A14:A15"/>
    <mergeCell ref="H84:H85"/>
    <mergeCell ref="D92:D93"/>
    <mergeCell ref="I88:I89"/>
    <mergeCell ref="F92:F93"/>
    <mergeCell ref="J90:J91"/>
    <mergeCell ref="H86:H87"/>
    <mergeCell ref="L90:L91"/>
    <mergeCell ref="B20:B21"/>
    <mergeCell ref="E16:E17"/>
    <mergeCell ref="I94:I95"/>
    <mergeCell ref="D20:D21"/>
    <mergeCell ref="G16:G17"/>
    <mergeCell ref="D14:D15"/>
    <mergeCell ref="F14:F15"/>
    <mergeCell ref="I90:I91"/>
    <mergeCell ref="B22:B23"/>
    <mergeCell ref="E18:E19"/>
    <mergeCell ref="O90:O91"/>
    <mergeCell ref="A44:E44"/>
    <mergeCell ref="D6:D7"/>
    <mergeCell ref="E96:F96"/>
    <mergeCell ref="F6:F7"/>
    <mergeCell ref="J84:J85"/>
    <mergeCell ref="A24:A25"/>
    <mergeCell ref="J86:J87"/>
    <mergeCell ref="C88:C89"/>
    <mergeCell ref="C92:C93"/>
    <mergeCell ref="K84:K85"/>
    <mergeCell ref="O88:O89"/>
    <mergeCell ref="M84:M85"/>
    <mergeCell ref="L92:L93"/>
    <mergeCell ref="O84:O85"/>
    <mergeCell ref="B88:B89"/>
    <mergeCell ref="C90:C91"/>
    <mergeCell ref="A86:A87"/>
    <mergeCell ref="L88:L89"/>
    <mergeCell ref="E90:E91"/>
    <mergeCell ref="I92:I93"/>
    <mergeCell ref="K86:K87"/>
    <mergeCell ref="E6:E7"/>
    <mergeCell ref="M86:M87"/>
    <mergeCell ref="B10:B11"/>
    <mergeCell ref="A18:A19"/>
    <mergeCell ref="B24:B25"/>
    <mergeCell ref="G20:G21"/>
    <mergeCell ref="D24:D25"/>
    <mergeCell ref="G14:G15"/>
    <mergeCell ref="F90:F91"/>
    <mergeCell ref="A47:A48"/>
    <mergeCell ref="O94:O95"/>
    <mergeCell ref="E22:E23"/>
    <mergeCell ref="C24:C25"/>
    <mergeCell ref="E24:E25"/>
    <mergeCell ref="D84:D85"/>
    <mergeCell ref="D22:D23"/>
  </mergeCells>
  <conditionalFormatting sqref="A84:A95">
    <cfRule type="containsBlanks" priority="16" dxfId="3">
      <formula>LEN(TRIM(A84))=0</formula>
    </cfRule>
  </conditionalFormatting>
  <conditionalFormatting sqref="A49:F49 B50:F50">
    <cfRule type="containsBlanks" priority="9" dxfId="3">
      <formula>LEN(TRIM(A49))=0</formula>
    </cfRule>
  </conditionalFormatting>
  <conditionalFormatting sqref="A52:F52 A55:F55 A58:F58 A61:F61 A64:F64 B53:F53 B56:F56 B59:F59 B62:F62 B65:F65">
    <cfRule type="containsBlanks" priority="15" dxfId="3">
      <formula>LEN(TRIM(A52))=0</formula>
    </cfRule>
  </conditionalFormatting>
  <conditionalFormatting sqref="A6:G6 A8:G8 A10:G10">
    <cfRule type="containsBlanks" priority="10" dxfId="3">
      <formula>LEN(TRIM(A6))=0</formula>
    </cfRule>
  </conditionalFormatting>
  <conditionalFormatting sqref="A14:G14 A16:G16 A18:G18">
    <cfRule type="containsBlanks" priority="28" dxfId="3">
      <formula>LEN(TRIM(A14))=0</formula>
    </cfRule>
  </conditionalFormatting>
  <conditionalFormatting sqref="A20:G20">
    <cfRule type="containsBlanks" priority="8" dxfId="3">
      <formula>LEN(TRIM(A20))=0</formula>
    </cfRule>
  </conditionalFormatting>
  <conditionalFormatting sqref="A22:G22">
    <cfRule type="containsBlanks" priority="7" dxfId="3">
      <formula>LEN(TRIM(A22))=0</formula>
    </cfRule>
  </conditionalFormatting>
  <conditionalFormatting sqref="A24:G24">
    <cfRule type="containsBlanks" priority="6" dxfId="3">
      <formula>LEN(TRIM(A24))=0</formula>
    </cfRule>
  </conditionalFormatting>
  <conditionalFormatting sqref="B84:E84 B86:E86 B88:E88 B90:E90 B92:E92 B94:E94">
    <cfRule type="containsBlanks" priority="23" dxfId="3">
      <formula>LEN(TRIM(B84))=0</formula>
    </cfRule>
  </conditionalFormatting>
  <conditionalFormatting sqref="D1">
    <cfRule type="containsBlanks" priority="11" dxfId="3">
      <formula>LEN(TRIM(D1))=0</formula>
    </cfRule>
  </conditionalFormatting>
  <conditionalFormatting sqref="F1">
    <cfRule type="containsBlanks" priority="31" dxfId="3">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priority="30" dxfId="19">
      <formula>AND(#REF!&lt;&gt;"",E84&lt;TODAY(),F84&lt;4)</formula>
    </cfRule>
  </conditionalFormatting>
  <conditionalFormatting sqref="H84:H95">
    <cfRule type="containsBlanks" priority="14" dxfId="3">
      <formula>LEN(TRIM(H84))=0</formula>
    </cfRule>
  </conditionalFormatting>
  <conditionalFormatting sqref="I84:O84 I86:O86 I88:O88 I90:O90 I92:O92 I94:O94">
    <cfRule type="containsBlanks" priority="22" dxfId="3">
      <formula>LEN(TRIM(I84))=0</formula>
    </cfRule>
  </conditionalFormatting>
  <conditionalFormatting sqref="I7:T7 I9:T9 I11:T11 I17:T17 I19:T19 I21:T21 I23:T23 I25:T25">
    <cfRule type="expression" priority="18" dxfId="0">
      <formula>AND(OR($F6="Lower the better", $F6="Lower the Better"), I7&gt;I6)</formula>
    </cfRule>
    <cfRule type="expression" priority="19" dxfId="1">
      <formula>AND(OR($F6="Lower the better", $F6="Lower the Better"), I7&lt;=I6)</formula>
    </cfRule>
    <cfRule type="expression" priority="20" dxfId="0">
      <formula>AND(OR($F6="Higher the better", $F6="Higher the Better"), I7&lt;I6)</formula>
    </cfRule>
    <cfRule type="expression" priority="21" dxfId="1" stopIfTrue="1">
      <formula>AND(OR($F6="Higher the better", $F6="Higher the Better"), I7&gt;=I6)</formula>
    </cfRule>
  </conditionalFormatting>
  <conditionalFormatting sqref="I7:T7 I9:T9 I11:T11">
    <cfRule type="containsBlanks" priority="17" dxfId="3">
      <formula>LEN(TRIM(I7))=0</formula>
    </cfRule>
  </conditionalFormatting>
  <conditionalFormatting sqref="I15:T15 I17:T17 I19:T19 I21:T21 I23:T23 I25:T25">
    <cfRule type="containsBlanks" priority="1" dxfId="70">
      <formula>LEN(TRIM(I15))=0</formula>
    </cfRule>
  </conditionalFormatting>
  <conditionalFormatting sqref="I15:T15">
    <cfRule type="expression" priority="2" dxfId="0">
      <formula>AND(OR($F14="Lower the better", $F14="Lower the Better"), I15&gt;I14)</formula>
    </cfRule>
    <cfRule type="expression" priority="3" dxfId="1">
      <formula>AND(OR($F14="Lower the better", $F14="Lower the Better"), I15&lt;=I14)</formula>
    </cfRule>
    <cfRule type="expression" priority="4" dxfId="0">
      <formula>AND(OR($F14="Higher the better", $F14="Higher the Better"), I15&lt;I14)</formula>
    </cfRule>
    <cfRule type="expression" priority="5" dxfId="1" stopIfTrue="1">
      <formula>AND(OR($F14="Higher the better", $F14="Higher the Better"), I15&gt;=I14)</formula>
    </cfRule>
    <cfRule type="expression" priority="24" dxfId="0">
      <formula>AND(OR($F14="Lower the better", $F14="Lower the Better"), I15&gt;I14)</formula>
    </cfRule>
    <cfRule type="expression" priority="25" dxfId="1">
      <formula>AND(OR($F14="Lower the better", $F14="Lower the Better"), I15&lt;=I14)</formula>
    </cfRule>
    <cfRule type="expression" priority="26" dxfId="0">
      <formula>AND(OR($F14="Higher the better", $F14="Higher the Better"), I15&lt;I14)</formula>
    </cfRule>
    <cfRule type="expression" priority="27" dxfId="1" stopIfTrue="1">
      <formula>AND(OR($F14="Higher the better", $F14="Higher the Better"), I15&gt;=I14)</formula>
    </cfRule>
  </conditionalFormatting>
  <conditionalFormatting sqref="M84:M95">
    <cfRule type="containsText" priority="12" operator="containsText" dxfId="6" text="No">
      <formula>NOT(ISERROR(SEARCH("No",M84)))</formula>
    </cfRule>
    <cfRule type="containsText" priority="13" operator="containsText" dxfId="5" text="Yes">
      <formula>NOT(ISERROR(SEARCH("Yes",M84)))</formula>
    </cfRule>
  </conditionalFormatting>
  <dataValidations disablePrompts="1" count="7">
    <dataValidation sqref="E6:E11 E14:E25" showDropDown="0" showInputMessage="1" showErrorMessage="1" allowBlank="1" type="list">
      <formula1>"%, Mn, No., "</formula1>
    </dataValidation>
    <dataValidation sqref="B1:B2" showDropDown="0" showInputMessage="1" showErrorMessage="1" allowBlank="1" type="list">
      <formula1>"Jan-2026, Feb-2026, Mar-2026, Apr-2026, May-2026, Jun-2026, Jul-2026, Aug-2026, Sep-2026, Oct-2026, Nov-2026, Dec-2026"</formula1>
    </dataValidation>
    <dataValidation sqref="M84 M86 M88 M90 M92 M94" showDropDown="0" showInputMessage="1" showErrorMessage="1" allowBlank="1" type="list">
      <formula1>"Yes, No"</formula1>
    </dataValidation>
    <dataValidation sqref="C6:C11 C14:C25" showDropDown="0" showInputMessage="1" showErrorMessage="1" allowBlank="1" type="list">
      <formula1>"&gt;, &lt;, &gt;=, &lt;=, ="</formula1>
    </dataValidation>
    <dataValidation sqref="G6:G11 G14:G25" showDropDown="0" showInputMessage="1" showErrorMessage="1" allowBlank="1" type="list">
      <formula1>"Monthly, Quarterly, Half yearly"</formula1>
    </dataValidation>
    <dataValidation sqref="F6:F11 F14:F25" showDropDown="0" showInputMessage="1" showErrorMessage="1" allowBlank="1" type="list">
      <formula1>"Higher the better, Lower the better"</formula1>
    </dataValidation>
    <dataValidation sqref="F84:G84 F86:G86 F88:G88 F90:G90 F92:G92 F94:G94" showDropDown="0" showInputMessage="1" showErrorMessage="1" allowBlank="1" type="list">
      <formula1>"1,2,3,4,5"</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4.xml><?xml version="1.0" encoding="utf-8"?>
<worksheet xmlns="http://schemas.openxmlformats.org/spreadsheetml/2006/main">
  <sheetPr codeName="Sheet13">
    <outlinePr summaryBelow="1" summaryRight="1"/>
    <pageSetUpPr/>
  </sheetPr>
  <dimension ref="A1:AI100"/>
  <sheetViews>
    <sheetView zoomScale="81" zoomScaleNormal="74" workbookViewId="0">
      <pane xSplit="8" topLeftCell="I1" activePane="topRight" state="frozen"/>
      <selection pane="topRight" activeCell="D99" sqref="D99"/>
      <selection activeCell="A13" sqref="A13"/>
    </sheetView>
  </sheetViews>
  <sheetFormatPr baseColWidth="8" defaultRowHeight="14.45"/>
  <cols>
    <col width="19.5703125" customWidth="1" min="1" max="1"/>
    <col width="26.42578125" customWidth="1" style="639" min="2" max="2"/>
    <col width="20.42578125" customWidth="1" min="3" max="3"/>
    <col width="19.5703125" customWidth="1" min="4" max="4"/>
    <col width="22.5703125" customWidth="1" min="5" max="5"/>
    <col width="20.5703125" customWidth="1" min="6" max="6"/>
    <col width="9.7109375" bestFit="1" customWidth="1" min="7" max="7"/>
    <col width="12.5703125" bestFit="1" customWidth="1" min="8" max="8"/>
    <col width="15.42578125" customWidth="1" min="9" max="9"/>
    <col width="16.42578125" customWidth="1" min="10" max="10"/>
    <col width="17" customWidth="1" min="11" max="11"/>
    <col width="16.5703125" customWidth="1" min="12" max="12"/>
    <col width="15.5703125" customWidth="1" min="13" max="13"/>
    <col width="16" customWidth="1" min="14" max="14"/>
    <col width="17" customWidth="1" min="15" max="15"/>
    <col width="17.5703125" customWidth="1" min="16" max="16"/>
    <col width="14.5703125" customWidth="1" min="17" max="17"/>
    <col width="14.42578125" customWidth="1" min="18" max="18"/>
    <col width="14.5703125" customWidth="1" min="19" max="19"/>
    <col width="14.42578125" customWidth="1" min="20" max="20"/>
    <col width="13.5703125" customWidth="1" min="21" max="21"/>
    <col width="17.42578125" customWidth="1" min="22" max="22"/>
    <col hidden="1" width="11.42578125" customWidth="1" min="23" max="23"/>
    <col hidden="1" width="8.5703125" customWidth="1" min="24" max="24"/>
    <col hidden="1" width="14.42578125" customWidth="1" min="25" max="25"/>
    <col hidden="1" width="8.5703125" customWidth="1" min="26" max="35"/>
    <col width="8.5703125" customWidth="1" min="36" max="49"/>
  </cols>
  <sheetData>
    <row r="1" ht="19.35" customHeight="1">
      <c r="A1" s="12" t="inlineStr">
        <is>
          <t>Month</t>
        </is>
      </c>
      <c r="B1" s="666" t="n">
        <v>46023</v>
      </c>
      <c r="C1" s="12" t="inlineStr">
        <is>
          <t xml:space="preserve">MT Owner: </t>
        </is>
      </c>
      <c r="D1" s="12" t="inlineStr">
        <is>
          <t>Mahmut B</t>
        </is>
      </c>
      <c r="E1" s="12" t="inlineStr">
        <is>
          <t>MT Delegate:</t>
        </is>
      </c>
      <c r="F1" s="12" t="inlineStr">
        <is>
          <t>Fiel</t>
        </is>
      </c>
      <c r="W1" t="inlineStr">
        <is>
          <t>Actual green</t>
        </is>
      </c>
      <c r="X1">
        <f>IF(I14&lt;&gt;"",IF($F14="Higher the better",IF(I15&gt;=I14,I15,NA()),IF(I15&lt;=I14,I15,NA())),NA())</f>
        <v/>
      </c>
      <c r="Y1">
        <f>IF(J14&lt;&gt;"",IF($F14="Higher the better",IF(J15&gt;=J14,J15,NA()),IF(J15&lt;=J14,J15,NA())),NA())</f>
        <v/>
      </c>
      <c r="Z1">
        <f>IF(K14&lt;&gt;"",IF($F14="Higher the better",IF(K15&gt;=K14,K15,NA()),IF(K15&lt;=K14,K15,NA())),NA())</f>
        <v/>
      </c>
      <c r="AA1">
        <f>IF(L14&lt;&gt;"",IF($F14="Higher the better",IF(L15&gt;=L14,L15,NA()),IF(L15&lt;=L14,L15,NA())),NA())</f>
        <v/>
      </c>
      <c r="AB1">
        <f>IF(M14&lt;&gt;"",IF($F14="Higher the better",IF(M15&gt;=M14,M15,NA()),IF(M15&lt;=M14,M15,NA())),NA())</f>
        <v/>
      </c>
      <c r="AC1">
        <f>IF(N14&lt;&gt;"",IF($F14="Higher the better",IF(N15&gt;=N14,N15,NA()),IF(N15&lt;=N14,N15,NA())),NA())</f>
        <v/>
      </c>
      <c r="AD1">
        <f>IF(O14&lt;&gt;"",IF($F14="Higher the better",IF(O15&gt;=O14,O15,NA()),IF(O15&lt;=O14,O15,NA())),NA())</f>
        <v/>
      </c>
      <c r="AE1">
        <f>IF(P14&lt;&gt;"",IF($F14="Higher the better",IF(P15&gt;=P14,P15,NA()),IF(P15&lt;=P14,P15,NA())),NA())</f>
        <v/>
      </c>
      <c r="AF1">
        <f>IF(Q14&lt;&gt;"",IF($F14="Higher the better",IF(Q15&gt;=Q14,Q15,NA()),IF(Q15&lt;=Q14,Q15,NA())),NA())</f>
        <v/>
      </c>
      <c r="AG1">
        <f>IF(R14&lt;&gt;"",IF($F14="Higher the better",IF(R15&gt;=R14,R15,NA()),IF(R15&lt;=R14,R15,NA())),NA())</f>
        <v/>
      </c>
      <c r="AH1">
        <f>IF(S14&lt;&gt;"",IF($F14="Higher the better",IF(S15&gt;=S14,S15,NA()),IF(S15&lt;=S14,S15,NA())),NA())</f>
        <v/>
      </c>
      <c r="AI1">
        <f>IF(T14&lt;&gt;"",IF($F14="Higher the better",IF(T15&gt;=T14,T15,NA()),IF(T15&lt;=T14,T15,NA())),NA())</f>
        <v/>
      </c>
    </row>
    <row r="2" ht="19.35" customHeight="1">
      <c r="A2" s="13" t="n"/>
      <c r="B2" s="683" t="n"/>
      <c r="D2" s="13" t="n"/>
      <c r="E2" s="13" t="n"/>
      <c r="W2" t="inlineStr">
        <is>
          <t>Actual red</t>
        </is>
      </c>
      <c r="X2">
        <f>IF(I15&lt;&gt;"",IF($F14="Higher the better",IF(I15&lt;I14,I15,NA()),IF(I15&gt;I14,I15,NA())),NA())</f>
        <v/>
      </c>
      <c r="Y2">
        <f>IF(J15&lt;&gt;"",IF($F14="Higher the better",IF(J15&lt;J14,J15,NA()),IF(J15&gt;J14,J15,NA())),NA())</f>
        <v/>
      </c>
      <c r="Z2">
        <f>IF(K15&lt;&gt;"",IF($F14="Higher the better",IF(K15&lt;K14,K15,NA()),IF(K15&gt;K14,K15,NA())),NA())</f>
        <v/>
      </c>
      <c r="AA2">
        <f>IF(L15&lt;&gt;"",IF($F14="Higher the better",IF(L15&lt;L14,L15,NA()),IF(L15&gt;L14,L15,NA())),NA())</f>
        <v/>
      </c>
      <c r="AB2">
        <f>IF(M15&lt;&gt;"",IF($F14="Higher the better",IF(M15&lt;M14,M15,NA()),IF(M15&gt;M14,M15,NA())),NA())</f>
        <v/>
      </c>
      <c r="AC2">
        <f>IF(N15&lt;&gt;"",IF($F14="Higher the better",IF(N15&lt;N14,N15,NA()),IF(N15&gt;N14,N15,NA())),NA())</f>
        <v/>
      </c>
      <c r="AD2">
        <f>IF(O15&lt;&gt;"",IF($F14="Higher the better",IF(O15&lt;O14,O15,NA()),IF(O15&gt;O14,O15,NA())),NA())</f>
        <v/>
      </c>
      <c r="AE2">
        <f>IF(P15&lt;&gt;"",IF($F14="Higher the better",IF(P15&lt;P14,P15,NA()),IF(P15&gt;P14,P15,NA())),NA())</f>
        <v/>
      </c>
      <c r="AF2">
        <f>IF(Q15&lt;&gt;"",IF($F14="Higher the better",IF(Q15&lt;Q14,Q15,NA()),IF(Q15&gt;Q14,Q15,NA())),NA())</f>
        <v/>
      </c>
      <c r="AG2">
        <f>IF(R15&lt;&gt;"",IF($F14="Higher the better",IF(R15&lt;R14,R15,NA()),IF(R15&gt;R14,R15,NA())),NA())</f>
        <v/>
      </c>
      <c r="AH2">
        <f>IF(S15&lt;&gt;"",IF($F14="Higher the better",IF(S15&lt;S14,S15,NA()),IF(S15&gt;S14,S15,NA())),NA())</f>
        <v/>
      </c>
      <c r="AI2">
        <f>IF(T15&lt;&gt;"",IF($F14="Higher the better",IF(T15&lt;T14,T15,NA()),IF(T15&gt;T14,T15,NA())),NA())</f>
        <v/>
      </c>
    </row>
    <row r="3" ht="20.1" customHeight="1">
      <c r="A3" s="449" t="inlineStr">
        <is>
          <t>GROWTH - DMB</t>
        </is>
      </c>
      <c r="C3" t="inlineStr">
        <is>
          <t>MOM</t>
        </is>
      </c>
      <c r="D3" t="inlineStr">
        <is>
          <t>1. Use IGM as evaluation to Deals</t>
        </is>
      </c>
      <c r="W3" t="inlineStr">
        <is>
          <t>Actual green</t>
        </is>
      </c>
      <c r="X3">
        <f>IF(I16&lt;&gt;"",IF($F16="Higher the better",IF(I17&gt;=I16,I17,NA()),IF(I17&lt;=I16,I17,NA())),NA())</f>
        <v/>
      </c>
      <c r="Y3">
        <f>IF(J16&lt;&gt;"",IF($F16="Higher the better",IF(J17&gt;=J16,J17,NA()),IF(J17&lt;=J16,J17,NA())),NA())</f>
        <v/>
      </c>
      <c r="Z3">
        <f>IF(K16&lt;&gt;"",IF($F16="Higher the better",IF(K17&gt;=K16,K17,NA()),IF(K17&lt;=K16,K17,NA())),NA())</f>
        <v/>
      </c>
      <c r="AA3">
        <f>IF(L16&lt;&gt;"",IF($F16="Higher the better",IF(L17&gt;=L16,L17,NA()),IF(L17&lt;=L16,L17,NA())),NA())</f>
        <v/>
      </c>
      <c r="AB3">
        <f>IF(M16&lt;&gt;"",IF($F16="Higher the better",IF(M17&gt;=M16,M17,NA()),IF(M17&lt;=M16,M17,NA())),NA())</f>
        <v/>
      </c>
      <c r="AC3">
        <f>IF(N16&lt;&gt;"",IF($F16="Higher the better",IF(N17&gt;=N16,N17,NA()),IF(N17&lt;=N16,N17,NA())),NA())</f>
        <v/>
      </c>
      <c r="AD3">
        <f>IF(O16&lt;&gt;"",IF($F16="Higher the better",IF(O17&gt;=O16,O17,NA()),IF(O17&lt;=O16,O17,NA())),NA())</f>
        <v/>
      </c>
      <c r="AE3">
        <f>IF(P16&lt;&gt;"",IF($F16="Higher the better",IF(P17&gt;=P16,P17,NA()),IF(P17&lt;=P16,P17,NA())),NA())</f>
        <v/>
      </c>
      <c r="AF3">
        <f>IF(Q16&lt;&gt;"",IF($F16="Higher the better",IF(Q17&gt;=Q16,Q17,NA()),IF(Q17&lt;=Q16,Q17,NA())),NA())</f>
        <v/>
      </c>
      <c r="AG3">
        <f>IF(R16&lt;&gt;"",IF($F16="Higher the better",IF(R17&gt;=R16,R17,NA()),IF(R17&lt;=R16,R17,NA())),NA())</f>
        <v/>
      </c>
      <c r="AH3">
        <f>IF(S16&lt;&gt;"",IF($F16="Higher the better",IF(S17&gt;=S16,S17,NA()),IF(S17&lt;=S16,S17,NA())),NA())</f>
        <v/>
      </c>
      <c r="AI3">
        <f>IF(T16&lt;&gt;"",IF($F16="Higher the better",IF(T17&gt;=T16,T17,NA()),IF(T17&lt;=T16,T17,NA())),NA())</f>
        <v/>
      </c>
    </row>
    <row r="4" ht="18.6" customHeight="1">
      <c r="A4" s="11" t="inlineStr">
        <is>
          <t>Mandatory Outcome KPI's (1-3)</t>
        </is>
      </c>
      <c r="B4" s="11" t="n"/>
      <c r="W4" t="inlineStr">
        <is>
          <t>Actual red</t>
        </is>
      </c>
      <c r="X4">
        <f>IF(I17&lt;&gt;"",IF($F16="Higher the better",IF(I17&lt;I16,I17,NA()),IF(I17&gt;I16,I17,NA())),NA())</f>
        <v/>
      </c>
      <c r="Y4">
        <f>IF(J17&lt;&gt;"",IF($F16="Higher the better",IF(J17&lt;J16,J17,NA()),IF(J17&gt;J16,J17,NA())),NA())</f>
        <v/>
      </c>
      <c r="Z4">
        <f>IF(K17&lt;&gt;"",IF($F16="Higher the better",IF(K17&lt;K16,K17,NA()),IF(K17&gt;K16,K17,NA())),NA())</f>
        <v/>
      </c>
      <c r="AA4">
        <f>IF(L17&lt;&gt;"",IF($F16="Higher the better",IF(L17&lt;L16,L17,NA()),IF(L17&gt;L16,L17,NA())),NA())</f>
        <v/>
      </c>
      <c r="AB4">
        <f>IF(M17&lt;&gt;"",IF($F16="Higher the better",IF(M17&lt;M16,M17,NA()),IF(M17&gt;M16,M17,NA())),NA())</f>
        <v/>
      </c>
      <c r="AC4">
        <f>IF(N17&lt;&gt;"",IF($F16="Higher the better",IF(N17&lt;N16,N17,NA()),IF(N17&gt;N16,N17,NA())),NA())</f>
        <v/>
      </c>
      <c r="AD4">
        <f>IF(O17&lt;&gt;"",IF($F16="Higher the better",IF(O17&lt;O16,O17,NA()),IF(O17&gt;O16,O17,NA())),NA())</f>
        <v/>
      </c>
      <c r="AE4">
        <f>IF(P17&lt;&gt;"",IF($F16="Higher the better",IF(P17&lt;P16,P17,NA()),IF(P17&gt;P16,P17,NA())),NA())</f>
        <v/>
      </c>
      <c r="AF4">
        <f>IF(Q17&lt;&gt;"",IF($F16="Higher the better",IF(Q17&lt;Q16,Q17,NA()),IF(Q17&gt;Q16,Q17,NA())),NA())</f>
        <v/>
      </c>
      <c r="AG4">
        <f>IF(R17&lt;&gt;"",IF($F16="Higher the better",IF(R17&lt;R16,R17,NA()),IF(R17&gt;R16,R17,NA())),NA())</f>
        <v/>
      </c>
      <c r="AH4">
        <f>IF(S17&lt;&gt;"",IF($F16="Higher the better",IF(S17&lt;S16,S17,NA()),IF(S17&gt;S16,S17,NA())),NA())</f>
        <v/>
      </c>
      <c r="AI4">
        <f>IF(T17&lt;&gt;"",IF($F16="Higher the better",IF(T17&lt;T16,T17,NA()),IF(T17&gt;T16,T17,NA())),NA())</f>
        <v/>
      </c>
    </row>
    <row r="5" ht="29.1"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t="inlineStr">
        <is>
          <t>Actual green</t>
        </is>
      </c>
      <c r="X5">
        <f>IF(I18&lt;&gt;"",IF($F18="Higher the better",IF(I19&gt;=I18,I19,NA()),IF(I19&lt;=I18,I19,NA())),NA())</f>
        <v/>
      </c>
      <c r="Y5">
        <f>IF(J18&lt;&gt;"",IF($F18="Higher the better",IF(J19&gt;=J18,J19,NA()),IF(J19&lt;=J18,J19,NA())),NA())</f>
        <v/>
      </c>
      <c r="Z5">
        <f>IF(K18&lt;&gt;"",IF($F18="Higher the better",IF(K19&gt;=K18,K19,NA()),IF(K19&lt;=K18,K19,NA())),NA())</f>
        <v/>
      </c>
      <c r="AA5">
        <f>IF(L18&lt;&gt;"",IF($F18="Higher the better",IF(L19&gt;=L18,L19,NA()),IF(L19&lt;=L18,L19,NA())),NA())</f>
        <v/>
      </c>
      <c r="AB5">
        <f>IF(M18&lt;&gt;"",IF($F18="Higher the better",IF(M19&gt;=M18,M19,NA()),IF(M19&lt;=M18,M19,NA())),NA())</f>
        <v/>
      </c>
      <c r="AC5">
        <f>IF(N18&lt;&gt;"",IF($F18="Higher the better",IF(N19&gt;=N18,N19,NA()),IF(N19&lt;=N18,N19,NA())),NA())</f>
        <v/>
      </c>
      <c r="AD5">
        <f>IF(O18&lt;&gt;"",IF($F18="Higher the better",IF(O19&gt;=O18,O19,NA()),IF(O19&lt;=O18,O19,NA())),NA())</f>
        <v/>
      </c>
      <c r="AE5">
        <f>IF(P18&lt;&gt;"",IF($F18="Higher the better",IF(P19&gt;=P18,P19,NA()),IF(P19&lt;=P18,P19,NA())),NA())</f>
        <v/>
      </c>
      <c r="AF5">
        <f>IF(Q18&lt;&gt;"",IF($F18="Higher the better",IF(Q19&gt;=Q18,Q19,NA()),IF(Q19&lt;=Q18,Q19,NA())),NA())</f>
        <v/>
      </c>
      <c r="AG5">
        <f>IF(R18&lt;&gt;"",IF($F18="Higher the better",IF(R19&gt;=R18,R19,NA()),IF(R19&lt;=R18,R19,NA())),NA())</f>
        <v/>
      </c>
      <c r="AH5">
        <f>IF(S18&lt;&gt;"",IF($F18="Higher the better",IF(S19&gt;=S18,S19,NA()),IF(S19&lt;=S18,S19,NA())),NA())</f>
        <v/>
      </c>
      <c r="AI5">
        <f>IF(T18&lt;&gt;"",IF($F18="Higher the better",IF(T19&gt;=T18,T19,NA()),IF(T19&lt;=T18,T19,NA())),NA())</f>
        <v/>
      </c>
    </row>
    <row r="6">
      <c r="A6" s="427" t="inlineStr">
        <is>
          <t>Market Share</t>
        </is>
      </c>
      <c r="B6" s="461" t="inlineStr">
        <is>
          <t>MAT MS(%)</t>
        </is>
      </c>
      <c r="C6" s="230" t="inlineStr">
        <is>
          <t>=</t>
        </is>
      </c>
      <c r="D6" s="787" t="n">
        <v>23</v>
      </c>
      <c r="E6" s="230" t="inlineStr">
        <is>
          <t>%</t>
        </is>
      </c>
      <c r="F6" s="388" t="inlineStr">
        <is>
          <t>Higher the better</t>
        </is>
      </c>
      <c r="G6" s="230" t="inlineStr">
        <is>
          <t>Quarterly</t>
        </is>
      </c>
      <c r="H6" s="14" t="inlineStr">
        <is>
          <t>Target</t>
        </is>
      </c>
      <c r="I6" s="122" t="n"/>
      <c r="J6" s="122" t="n"/>
      <c r="K6" s="4" t="n">
        <v>0.2</v>
      </c>
      <c r="L6" s="122" t="n"/>
      <c r="M6" s="122" t="n"/>
      <c r="N6" s="4" t="n">
        <v>0.21</v>
      </c>
      <c r="O6" s="122" t="n"/>
      <c r="P6" s="122" t="n"/>
      <c r="Q6" s="4" t="n">
        <v>0.22</v>
      </c>
      <c r="R6" s="122" t="n"/>
      <c r="S6" s="122" t="n"/>
      <c r="T6" s="4" t="n">
        <v>0.23</v>
      </c>
      <c r="W6" t="inlineStr">
        <is>
          <t>Actual red</t>
        </is>
      </c>
      <c r="X6">
        <f>IF(I19&lt;&gt;"",IF($F18="Higher the better",IF(I19&lt;I18,I19,NA()),IF(I19&gt;I18,I19,NA())),NA())</f>
        <v/>
      </c>
      <c r="Y6">
        <f>IF(J19&lt;&gt;"",IF($F18="Higher the better",IF(J19&lt;J18,J19,NA()),IF(J19&gt;J18,J19,NA())),NA())</f>
        <v/>
      </c>
      <c r="Z6">
        <f>IF(K19&lt;&gt;"",IF($F18="Higher the better",IF(K19&lt;K18,K19,NA()),IF(K19&gt;K18,K19,NA())),NA())</f>
        <v/>
      </c>
      <c r="AA6">
        <f>IF(L19&lt;&gt;"",IF($F18="Higher the better",IF(L19&lt;L18,L19,NA()),IF(L19&gt;L18,L19,NA())),NA())</f>
        <v/>
      </c>
      <c r="AB6">
        <f>IF(M19&lt;&gt;"",IF($F18="Higher the better",IF(M19&lt;M18,M19,NA()),IF(M19&gt;M18,M19,NA())),NA())</f>
        <v/>
      </c>
      <c r="AC6">
        <f>IF(N19&lt;&gt;"",IF($F18="Higher the better",IF(N19&lt;N18,N19,NA()),IF(N19&gt;N18,N19,NA())),NA())</f>
        <v/>
      </c>
      <c r="AD6">
        <f>IF(O19&lt;&gt;"",IF($F18="Higher the better",IF(O19&lt;O18,O19,NA()),IF(O19&gt;O18,O19,NA())),NA())</f>
        <v/>
      </c>
      <c r="AE6">
        <f>IF(P19&lt;&gt;"",IF($F18="Higher the better",IF(P19&lt;P18,P19,NA()),IF(P19&gt;P18,P19,NA())),NA())</f>
        <v/>
      </c>
      <c r="AF6">
        <f>IF(Q19&lt;&gt;"",IF($F18="Higher the better",IF(Q19&lt;Q18,Q19,NA()),IF(Q19&gt;Q18,Q19,NA())),NA())</f>
        <v/>
      </c>
      <c r="AG6">
        <f>IF(R19&lt;&gt;"",IF($F18="Higher the better",IF(R19&lt;R18,R19,NA()),IF(R19&gt;R18,R19,NA())),NA())</f>
        <v/>
      </c>
      <c r="AH6">
        <f>IF(S19&lt;&gt;"",IF($F18="Higher the better",IF(S19&lt;S18,S19,NA()),IF(S19&gt;S18,S19,NA())),NA())</f>
        <v/>
      </c>
      <c r="AI6">
        <f>IF(T19&lt;&gt;"",IF($F18="Higher the better",IF(T19&lt;T18,T19,NA()),IF(T19&gt;T18,T19,NA())),NA())</f>
        <v/>
      </c>
    </row>
    <row r="7">
      <c r="A7" s="671" t="n"/>
      <c r="B7" s="671" t="n"/>
      <c r="C7" s="671" t="n"/>
      <c r="D7" s="671" t="n"/>
      <c r="E7" s="671" t="n"/>
      <c r="F7" s="671" t="n"/>
      <c r="G7" s="671" t="n"/>
      <c r="H7" s="14" t="inlineStr">
        <is>
          <t>Actual</t>
        </is>
      </c>
      <c r="I7" s="45" t="n"/>
      <c r="J7" s="45" t="n"/>
      <c r="K7" s="45" t="n"/>
      <c r="L7" s="45" t="n"/>
      <c r="M7" s="45" t="n"/>
      <c r="N7" s="45" t="n"/>
      <c r="O7" s="45" t="n"/>
      <c r="P7" s="45" t="n"/>
      <c r="Q7" s="45" t="n"/>
      <c r="R7" s="45" t="n"/>
      <c r="S7" s="45" t="n"/>
      <c r="T7" s="45" t="n"/>
      <c r="W7" t="inlineStr">
        <is>
          <t>Actual green</t>
        </is>
      </c>
      <c r="X7">
        <f>IF(I20&lt;&gt;"",IF($F20="Higher the better",IF(I21&gt;=I20,I21,NA()),IF(I21&lt;=I20,I21,NA())),NA())</f>
        <v/>
      </c>
      <c r="Y7">
        <f>IF(J20&lt;&gt;"",IF($F20="Higher the better",IF(J21&gt;=J20,J21,NA()),IF(J21&lt;=J20,J21,NA())),NA())</f>
        <v/>
      </c>
      <c r="Z7">
        <f>IF(K20&lt;&gt;"",IF($F20="Higher the better",IF(K21&gt;=K20,K21,NA()),IF(K21&lt;=K20,K21,NA())),NA())</f>
        <v/>
      </c>
      <c r="AA7">
        <f>IF(L20&lt;&gt;"",IF($F20="Higher the better",IF(L21&gt;=L20,L21,NA()),IF(L21&lt;=L20,L21,NA())),NA())</f>
        <v/>
      </c>
      <c r="AB7">
        <f>IF(M20&lt;&gt;"",IF($F20="Higher the better",IF(M21&gt;=M20,M21,NA()),IF(M21&lt;=M20,M21,NA())),NA())</f>
        <v/>
      </c>
      <c r="AC7">
        <f>IF(N20&lt;&gt;"",IF($F20="Higher the better",IF(N21&gt;=N20,N21,NA()),IF(N21&lt;=N20,N21,NA())),NA())</f>
        <v/>
      </c>
      <c r="AD7">
        <f>IF(O20&lt;&gt;"",IF($F20="Higher the better",IF(O21&gt;=O20,O21,NA()),IF(O21&lt;=O20,O21,NA())),NA())</f>
        <v/>
      </c>
      <c r="AE7">
        <f>IF(P20&lt;&gt;"",IF($F20="Higher the better",IF(P21&gt;=P20,P21,NA()),IF(P21&lt;=P20,P21,NA())),NA())</f>
        <v/>
      </c>
      <c r="AF7">
        <f>IF(Q20&lt;&gt;"",IF($F20="Higher the better",IF(Q21&gt;=Q20,Q21,NA()),IF(Q21&lt;=Q20,Q21,NA())),NA())</f>
        <v/>
      </c>
      <c r="AG7">
        <f>IF(R20&lt;&gt;"",IF($F20="Higher the better",IF(R21&gt;=R20,R21,NA()),IF(R21&lt;=R20,R21,NA())),NA())</f>
        <v/>
      </c>
      <c r="AH7">
        <f>IF(S20&lt;&gt;"",IF($F20="Higher the better",IF(S21&gt;=S20,S21,NA()),IF(S21&lt;=S20,S21,NA())),NA())</f>
        <v/>
      </c>
      <c r="AI7">
        <f>IF(T20&lt;&gt;"",IF($F20="Higher the better",IF(T21&gt;=T20,T21,NA()),IF(T21&lt;=T20,T21,NA())),NA())</f>
        <v/>
      </c>
    </row>
    <row r="8">
      <c r="A8" s="427" t="inlineStr">
        <is>
          <t>Order Intake EQ</t>
        </is>
      </c>
      <c r="B8" s="427" t="inlineStr">
        <is>
          <t>AOP OIT FY</t>
        </is>
      </c>
      <c r="C8" s="230" t="inlineStr">
        <is>
          <t>=</t>
        </is>
      </c>
      <c r="D8" s="788" t="n">
        <v>62.9</v>
      </c>
      <c r="E8" s="230" t="inlineStr">
        <is>
          <t>Mn</t>
        </is>
      </c>
      <c r="F8" s="388" t="inlineStr">
        <is>
          <t>Higher the better</t>
        </is>
      </c>
      <c r="G8" s="230" t="inlineStr">
        <is>
          <t>Monthly</t>
        </is>
      </c>
      <c r="H8" s="14" t="inlineStr">
        <is>
          <t>Target</t>
        </is>
      </c>
      <c r="I8" s="720" t="n">
        <v>1.5</v>
      </c>
      <c r="J8" s="720" t="n">
        <v>4.5</v>
      </c>
      <c r="K8" s="720" t="n">
        <v>5.5</v>
      </c>
      <c r="L8" s="720" t="n">
        <v>4.3</v>
      </c>
      <c r="M8" s="720" t="n">
        <v>6.5</v>
      </c>
      <c r="N8" s="720" t="n">
        <v>6.4</v>
      </c>
      <c r="O8" s="720" t="n">
        <v>3.3</v>
      </c>
      <c r="P8" s="720" t="n">
        <v>6.1</v>
      </c>
      <c r="Q8" s="720" t="n">
        <v>6.4</v>
      </c>
      <c r="R8" s="720" t="n">
        <v>4.1</v>
      </c>
      <c r="S8" s="720" t="n">
        <v>7.6</v>
      </c>
      <c r="T8" s="720" t="n">
        <v>6.7</v>
      </c>
      <c r="W8" t="inlineStr">
        <is>
          <t>Actual red</t>
        </is>
      </c>
      <c r="X8">
        <f>IF(I21&lt;&gt;"",IF($F20="Higher the better",IF(I21&lt;I20,I21,NA()),IF(I21&gt;I20,I21,NA())),NA())</f>
        <v/>
      </c>
      <c r="Y8">
        <f>IF(J21&lt;&gt;"",IF($F20="Higher the better",IF(J21&lt;J20,J21,NA()),IF(J21&gt;J20,J21,NA())),NA())</f>
        <v/>
      </c>
      <c r="Z8">
        <f>IF(K21&lt;&gt;"",IF($F20="Higher the better",IF(K21&lt;K20,K21,NA()),IF(K21&gt;K20,K21,NA())),NA())</f>
        <v/>
      </c>
      <c r="AA8">
        <f>IF(L21&lt;&gt;"",IF($F20="Higher the better",IF(L21&lt;L20,L21,NA()),IF(L21&gt;L20,L21,NA())),NA())</f>
        <v/>
      </c>
      <c r="AB8">
        <f>IF(M21&lt;&gt;"",IF($F20="Higher the better",IF(M21&lt;M20,M21,NA()),IF(M21&gt;M20,M21,NA())),NA())</f>
        <v/>
      </c>
      <c r="AC8">
        <f>IF(N21&lt;&gt;"",IF($F20="Higher the better",IF(N21&lt;N20,N21,NA()),IF(N21&gt;N20,N21,NA())),NA())</f>
        <v/>
      </c>
      <c r="AD8">
        <f>IF(O21&lt;&gt;"",IF($F20="Higher the better",IF(O21&lt;O20,O21,NA()),IF(O21&gt;O20,O21,NA())),NA())</f>
        <v/>
      </c>
      <c r="AE8">
        <f>IF(P21&lt;&gt;"",IF($F20="Higher the better",IF(P21&lt;P20,P21,NA()),IF(P21&gt;P20,P21,NA())),NA())</f>
        <v/>
      </c>
      <c r="AF8">
        <f>IF(Q21&lt;&gt;"",IF($F20="Higher the better",IF(Q21&lt;Q20,Q21,NA()),IF(Q21&gt;Q20,Q21,NA())),NA())</f>
        <v/>
      </c>
      <c r="AG8">
        <f>IF(R21&lt;&gt;"",IF($F20="Higher the better",IF(R21&lt;R20,R21,NA()),IF(R21&gt;R20,R21,NA())),NA())</f>
        <v/>
      </c>
      <c r="AH8">
        <f>IF(S21&lt;&gt;"",IF($F20="Higher the better",IF(S21&lt;S20,S21,NA()),IF(S21&gt;S20,S21,NA())),NA())</f>
        <v/>
      </c>
      <c r="AI8">
        <f>IF(T21&lt;&gt;"",IF($F20="Higher the better",IF(T21&lt;T20,T21,NA()),IF(T21&gt;T20,T21,NA())),NA())</f>
        <v/>
      </c>
    </row>
    <row r="9">
      <c r="A9" s="671" t="n"/>
      <c r="B9" s="671" t="n"/>
      <c r="C9" s="671" t="n"/>
      <c r="D9" s="671" t="n"/>
      <c r="E9" s="671" t="n"/>
      <c r="F9" s="671" t="n"/>
      <c r="G9" s="671" t="n"/>
      <c r="H9" s="14" t="inlineStr">
        <is>
          <t>Actual</t>
        </is>
      </c>
      <c r="I9" s="45" t="n">
        <v>2.1</v>
      </c>
      <c r="J9" s="45" t="n">
        <v>3.4</v>
      </c>
      <c r="K9" s="45" t="n">
        <v>8.800000000000001</v>
      </c>
      <c r="L9" s="45" t="n">
        <v>1.2</v>
      </c>
      <c r="M9" s="45" t="n"/>
      <c r="N9" s="45" t="n"/>
      <c r="O9" s="45" t="n"/>
      <c r="P9" s="45" t="n"/>
      <c r="Q9" s="45" t="n"/>
      <c r="R9" s="45" t="n"/>
      <c r="S9" s="45" t="n"/>
      <c r="T9" s="45" t="n"/>
      <c r="W9" t="inlineStr">
        <is>
          <t>Actual green</t>
        </is>
      </c>
      <c r="X9">
        <f>IF(I24&lt;&gt;"",IF($F24="Higher the better",IF(I25&gt;=I24,I25,NA()),IF(I25&lt;=I24,I25,NA())),NA())</f>
        <v/>
      </c>
      <c r="Y9">
        <f>IF(J24&lt;&gt;"",IF($F24="Higher the better",IF(J25&gt;=J24,J25,NA()),IF(J25&lt;=J24,J25,NA())),NA())</f>
        <v/>
      </c>
      <c r="Z9">
        <f>IF(K24&lt;&gt;"",IF($F24="Higher the better",IF(K25&gt;=K24,K25,NA()),IF(K25&lt;=K24,K25,NA())),NA())</f>
        <v/>
      </c>
      <c r="AA9">
        <f>IF(L24&lt;&gt;"",IF($F24="Higher the better",IF(L25&gt;=L24,L25,NA()),IF(L25&lt;=L24,L25,NA())),NA())</f>
        <v/>
      </c>
      <c r="AB9">
        <f>IF(M24&lt;&gt;"",IF($F24="Higher the better",IF(M25&gt;=M24,M25,NA()),IF(M25&lt;=M24,M25,NA())),NA())</f>
        <v/>
      </c>
      <c r="AC9">
        <f>IF(N24&lt;&gt;"",IF($F24="Higher the better",IF(N25&gt;=N24,N25,NA()),IF(N25&lt;=N24,N25,NA())),NA())</f>
        <v/>
      </c>
      <c r="AD9">
        <f>IF(O24&lt;&gt;"",IF($F24="Higher the better",IF(O25&gt;=O24,O25,NA()),IF(O25&lt;=O24,O25,NA())),NA())</f>
        <v/>
      </c>
      <c r="AE9">
        <f>IF(P24&lt;&gt;"",IF($F24="Higher the better",IF(P25&gt;=P24,P25,NA()),IF(P25&lt;=P24,P25,NA())),NA())</f>
        <v/>
      </c>
      <c r="AF9">
        <f>IF(Q24&lt;&gt;"",IF($F24="Higher the better",IF(Q25&gt;=Q24,Q25,NA()),IF(Q25&lt;=Q24,Q25,NA())),NA())</f>
        <v/>
      </c>
      <c r="AG9">
        <f>IF(R24&lt;&gt;"",IF($F24="Higher the better",IF(R25&gt;=R24,R25,NA()),IF(R25&lt;=R24,R25,NA())),NA())</f>
        <v/>
      </c>
      <c r="AH9">
        <f>IF(S24&lt;&gt;"",IF($F24="Higher the better",IF(S25&gt;=S24,S25,NA()),IF(S25&lt;=S24,S25,NA())),NA())</f>
        <v/>
      </c>
      <c r="AI9">
        <f>IF(T24&lt;&gt;"",IF($F24="Higher the better",IF(T25&gt;=T24,T25,NA()),IF(T25&lt;=T24,T25,NA())),NA())</f>
        <v/>
      </c>
    </row>
    <row r="10">
      <c r="A10" s="427" t="inlineStr">
        <is>
          <t>Order Intake CS</t>
        </is>
      </c>
      <c r="B10" s="427" t="inlineStr">
        <is>
          <t>AOP OIT FY</t>
        </is>
      </c>
      <c r="C10" s="230" t="inlineStr">
        <is>
          <t>=</t>
        </is>
      </c>
      <c r="D10" s="230" t="n">
        <v>32.2</v>
      </c>
      <c r="E10" s="230" t="inlineStr">
        <is>
          <t>Mn</t>
        </is>
      </c>
      <c r="F10" s="388" t="inlineStr">
        <is>
          <t>Higher the better</t>
        </is>
      </c>
      <c r="G10" s="230" t="inlineStr">
        <is>
          <t>Monthly</t>
        </is>
      </c>
      <c r="H10" s="14" t="inlineStr">
        <is>
          <t>Target</t>
        </is>
      </c>
      <c r="I10" s="720" t="n">
        <v>2.697</v>
      </c>
      <c r="J10" s="720" t="n">
        <v>1.91</v>
      </c>
      <c r="K10" s="720" t="n">
        <v>2.475</v>
      </c>
      <c r="L10" s="720" t="n">
        <v>2.271</v>
      </c>
      <c r="M10" s="720" t="n">
        <v>2.709</v>
      </c>
      <c r="N10" s="720" t="n">
        <v>3.862</v>
      </c>
      <c r="O10" s="720" t="n">
        <v>2.534</v>
      </c>
      <c r="P10" s="720" t="n">
        <v>2.27</v>
      </c>
      <c r="Q10" s="720" t="n">
        <v>2.637</v>
      </c>
      <c r="R10" s="720" t="n">
        <v>1.972</v>
      </c>
      <c r="S10" s="720" t="n">
        <v>2.246</v>
      </c>
      <c r="T10" s="720" t="n">
        <v>4.618</v>
      </c>
      <c r="W10" t="inlineStr">
        <is>
          <t>Actual red</t>
        </is>
      </c>
      <c r="X10">
        <f>IF(I25&lt;&gt;"",IF($F24="Higher the better",IF(I25&lt;I24,I25,NA()),IF(I25&gt;I24,I25,NA())),NA())</f>
        <v/>
      </c>
      <c r="Y10">
        <f>IF(J25&lt;&gt;"",IF($F24="Higher the better",IF(J25&lt;J24,J25,NA()),IF(J25&gt;J24,J25,NA())),NA())</f>
        <v/>
      </c>
      <c r="Z10">
        <f>IF(K25&lt;&gt;"",IF($F24="Higher the better",IF(K25&lt;K24,K25,NA()),IF(K25&gt;K24,K25,NA())),NA())</f>
        <v/>
      </c>
      <c r="AA10">
        <f>IF(L25&lt;&gt;"",IF($F24="Higher the better",IF(L25&lt;L24,L25,NA()),IF(L25&gt;L24,L25,NA())),NA())</f>
        <v/>
      </c>
      <c r="AB10">
        <f>IF(M25&lt;&gt;"",IF($F24="Higher the better",IF(M25&lt;M24,M25,NA()),IF(M25&gt;M24,M25,NA())),NA())</f>
        <v/>
      </c>
      <c r="AC10">
        <f>IF(N25&lt;&gt;"",IF($F24="Higher the better",IF(N25&lt;N24,N25,NA()),IF(N25&gt;N24,N25,NA())),NA())</f>
        <v/>
      </c>
      <c r="AD10">
        <f>IF(O25&lt;&gt;"",IF($F24="Higher the better",IF(O25&lt;O24,O25,NA()),IF(O25&gt;O24,O25,NA())),NA())</f>
        <v/>
      </c>
      <c r="AE10">
        <f>IF(P25&lt;&gt;"",IF($F24="Higher the better",IF(P25&lt;P24,P25,NA()),IF(P25&gt;P24,P25,NA())),NA())</f>
        <v/>
      </c>
      <c r="AF10">
        <f>IF(Q25&lt;&gt;"",IF($F24="Higher the better",IF(Q25&lt;Q24,Q25,NA()),IF(Q25&gt;Q24,Q25,NA())),NA())</f>
        <v/>
      </c>
      <c r="AG10">
        <f>IF(R25&lt;&gt;"",IF($F24="Higher the better",IF(R25&lt;R24,R25,NA()),IF(R25&gt;R24,R25,NA())),NA())</f>
        <v/>
      </c>
      <c r="AH10">
        <f>IF(S25&lt;&gt;"",IF($F24="Higher the better",IF(S25&lt;S24,S25,NA()),IF(S25&gt;S24,S25,NA())),NA())</f>
        <v/>
      </c>
      <c r="AI10">
        <f>IF(T25&lt;&gt;"",IF($F24="Higher the better",IF(T25&lt;T24,T25,NA()),IF(T25&gt;T24,T25,NA())),NA())</f>
        <v/>
      </c>
    </row>
    <row r="11">
      <c r="A11" s="671" t="n"/>
      <c r="B11" s="671" t="n"/>
      <c r="C11" s="671" t="n"/>
      <c r="D11" s="671" t="n"/>
      <c r="E11" s="671" t="n"/>
      <c r="F11" s="671" t="n"/>
      <c r="G11" s="671" t="n"/>
      <c r="H11" s="14" t="inlineStr">
        <is>
          <t>Actual</t>
        </is>
      </c>
      <c r="I11" s="45" t="n">
        <v>2</v>
      </c>
      <c r="J11" s="45" t="n">
        <v>2.2</v>
      </c>
      <c r="K11" s="45" t="n">
        <v>2.5</v>
      </c>
      <c r="L11" s="45" t="n">
        <v>2.4</v>
      </c>
      <c r="M11" s="45" t="n">
        <v>3.1</v>
      </c>
      <c r="N11" s="45" t="n">
        <v>3.8</v>
      </c>
      <c r="O11" s="45" t="n">
        <v>2.2</v>
      </c>
      <c r="P11" s="45" t="n"/>
      <c r="Q11" s="45" t="n"/>
      <c r="R11" s="45" t="n"/>
      <c r="S11" s="45" t="n"/>
      <c r="T11" s="45" t="n"/>
      <c r="W11" t="inlineStr">
        <is>
          <t>Actual green</t>
        </is>
      </c>
      <c r="X11">
        <f>IF(I26&lt;&gt;"",IF($F26="Higher the better",IF(I27&gt;=I26,I27,NA()),IF(I27&lt;=I26,I27,NA())),NA())</f>
        <v/>
      </c>
      <c r="Y11">
        <f>IF(J26&lt;&gt;"",IF($F26="Higher the better",IF(J27&gt;=J26,J27,NA()),IF(J27&lt;=J26,J27,NA())),NA())</f>
        <v/>
      </c>
      <c r="Z11">
        <f>IF(K26&lt;&gt;"",IF($F26="Higher the better",IF(K27&gt;=K26,K27,NA()),IF(K27&lt;=K26,K27,NA())),NA())</f>
        <v/>
      </c>
      <c r="AA11">
        <f>IF(L26&lt;&gt;"",IF($F26="Higher the better",IF(L27&gt;=L26,L27,NA()),IF(L27&lt;=L26,L27,NA())),NA())</f>
        <v/>
      </c>
      <c r="AB11">
        <f>IF(M26&lt;&gt;"",IF($F26="Higher the better",IF(M27&gt;=M26,M27,NA()),IF(M27&lt;=M26,M27,NA())),NA())</f>
        <v/>
      </c>
      <c r="AC11">
        <f>IF(N26&lt;&gt;"",IF($F26="Higher the better",IF(N27&gt;=N26,N27,NA()),IF(N27&lt;=N26,N27,NA())),NA())</f>
        <v/>
      </c>
      <c r="AD11">
        <f>IF(O26&lt;&gt;"",IF($F26="Higher the better",IF(O27&gt;=O26,O27,NA()),IF(O27&lt;=O26,O27,NA())),NA())</f>
        <v/>
      </c>
      <c r="AE11">
        <f>IF(P26&lt;&gt;"",IF($F26="Higher the better",IF(P27&gt;=P26,P27,NA()),IF(P27&lt;=P26,P27,NA())),NA())</f>
        <v/>
      </c>
      <c r="AF11">
        <f>IF(Q26&lt;&gt;"",IF($F26="Higher the better",IF(Q27&gt;=Q26,Q27,NA()),IF(Q27&lt;=Q26,Q27,NA())),NA())</f>
        <v/>
      </c>
      <c r="AG11">
        <f>IF(R26&lt;&gt;"",IF($F26="Higher the better",IF(R27&gt;=R26,R27,NA()),IF(R27&lt;=R26,R27,NA())),NA())</f>
        <v/>
      </c>
      <c r="AH11">
        <f>IF(S26&lt;&gt;"",IF($F26="Higher the better",IF(S27&gt;=S26,S27,NA()),IF(S27&lt;=S26,S27,NA())),NA())</f>
        <v/>
      </c>
      <c r="AI11">
        <f>IF(T26&lt;&gt;"",IF($F26="Higher the better",IF(T27&gt;=T26,T27,NA()),IF(T27&lt;=T26,T27,NA())),NA())</f>
        <v/>
      </c>
    </row>
    <row r="12" ht="18.6" customHeight="1">
      <c r="A12" s="31" t="inlineStr">
        <is>
          <t>Critical Enabling/Leading KPI's (3-5)</t>
        </is>
      </c>
      <c r="G12" s="38" t="n"/>
      <c r="I12" s="43" t="n"/>
      <c r="J12" s="43" t="n"/>
      <c r="K12" s="43" t="n"/>
      <c r="L12" s="43" t="n"/>
      <c r="M12" s="43" t="n"/>
      <c r="N12" s="43" t="n"/>
      <c r="O12" s="43" t="n"/>
      <c r="P12" s="43" t="n"/>
      <c r="Q12" s="43" t="n"/>
      <c r="R12" s="43" t="n"/>
      <c r="S12" s="43" t="n"/>
      <c r="T12" s="43" t="n"/>
      <c r="W12" t="inlineStr">
        <is>
          <t>Actual red</t>
        </is>
      </c>
      <c r="X12">
        <f>IF(I27&lt;&gt;"",IF($F26="Higher the better",IF(I27&lt;I26,I27,NA()),IF(I27&gt;I26,I27,NA())),NA())</f>
        <v/>
      </c>
      <c r="Y12">
        <f>IF(J27&lt;&gt;"",IF($F26="Higher the better",IF(J27&lt;J26,J27,NA()),IF(J27&gt;J26,J27,NA())),NA())</f>
        <v/>
      </c>
      <c r="Z12">
        <f>IF(K27&lt;&gt;"",IF($F26="Higher the better",IF(K27&lt;K26,K27,NA()),IF(K27&gt;K26,K27,NA())),NA())</f>
        <v/>
      </c>
      <c r="AA12">
        <f>IF(L27&lt;&gt;"",IF($F26="Higher the better",IF(L27&lt;L26,L27,NA()),IF(L27&gt;L26,L27,NA())),NA())</f>
        <v/>
      </c>
      <c r="AB12">
        <f>IF(M27&lt;&gt;"",IF($F26="Higher the better",IF(M27&lt;M26,M27,NA()),IF(M27&gt;M26,M27,NA())),NA())</f>
        <v/>
      </c>
      <c r="AC12">
        <f>IF(N27&lt;&gt;"",IF($F26="Higher the better",IF(N27&lt;N26,N27,NA()),IF(N27&gt;N26,N27,NA())),NA())</f>
        <v/>
      </c>
      <c r="AD12">
        <f>IF(O27&lt;&gt;"",IF($F26="Higher the better",IF(O27&lt;O26,O27,NA()),IF(O27&gt;O26,O27,NA())),NA())</f>
        <v/>
      </c>
      <c r="AE12">
        <f>IF(P27&lt;&gt;"",IF($F26="Higher the better",IF(P27&lt;P26,P27,NA()),IF(P27&gt;P26,P27,NA())),NA())</f>
        <v/>
      </c>
      <c r="AF12">
        <f>IF(Q27&lt;&gt;"",IF($F26="Higher the better",IF(Q27&lt;Q26,Q27,NA()),IF(Q27&gt;Q26,Q27,NA())),NA())</f>
        <v/>
      </c>
      <c r="AG12">
        <f>IF(R27&lt;&gt;"",IF($F26="Higher the better",IF(R27&lt;R26,R27,NA()),IF(R27&gt;R26,R27,NA())),NA())</f>
        <v/>
      </c>
      <c r="AH12">
        <f>IF(S27&lt;&gt;"",IF($F26="Higher the better",IF(S27&lt;S26,S27,NA()),IF(S27&gt;S26,S27,NA())),NA())</f>
        <v/>
      </c>
      <c r="AI12">
        <f>IF(T27&lt;&gt;"",IF($F26="Higher the better",IF(T27&lt;T26,T27,NA()),IF(T27&gt;T26,T27,NA())),NA())</f>
        <v/>
      </c>
    </row>
    <row r="13" ht="27.6"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row>
    <row r="14" ht="13.5" customHeight="1">
      <c r="A14" s="427" t="inlineStr">
        <is>
          <t>Market Visibility</t>
        </is>
      </c>
      <c r="B14" s="387" t="inlineStr">
        <is>
          <t>MAT Visibility (%)</t>
        </is>
      </c>
      <c r="C14" s="230" t="inlineStr">
        <is>
          <t>=</t>
        </is>
      </c>
      <c r="D14" s="257" t="n">
        <v>0.65</v>
      </c>
      <c r="E14" s="230" t="inlineStr">
        <is>
          <t>%</t>
        </is>
      </c>
      <c r="F14" s="388" t="inlineStr">
        <is>
          <t>Higher the better</t>
        </is>
      </c>
      <c r="G14" s="230" t="inlineStr">
        <is>
          <t>Quarterly</t>
        </is>
      </c>
      <c r="H14" s="14" t="inlineStr">
        <is>
          <t>Target</t>
        </is>
      </c>
      <c r="I14" s="123" t="n"/>
      <c r="J14" s="123" t="n"/>
      <c r="K14" s="4" t="n">
        <v>0.62</v>
      </c>
      <c r="L14" s="123" t="n"/>
      <c r="M14" s="123" t="n"/>
      <c r="N14" s="4" t="n">
        <v>0.63</v>
      </c>
      <c r="O14" s="123" t="n"/>
      <c r="P14" s="123" t="n"/>
      <c r="Q14" s="4" t="n">
        <v>0.64</v>
      </c>
      <c r="R14" s="123" t="n"/>
      <c r="S14" s="123" t="n"/>
      <c r="T14" s="4" t="n">
        <v>0.65</v>
      </c>
    </row>
    <row r="15" ht="14.85" customHeight="1">
      <c r="A15" s="671" t="n"/>
      <c r="B15" s="671" t="n"/>
      <c r="C15" s="671" t="n"/>
      <c r="D15" s="671" t="n"/>
      <c r="E15" s="671" t="n"/>
      <c r="F15" s="671" t="n"/>
      <c r="G15" s="671" t="n"/>
      <c r="H15" s="14" t="inlineStr">
        <is>
          <t>Actual</t>
        </is>
      </c>
      <c r="I15" s="5" t="n"/>
      <c r="J15" s="5" t="n"/>
      <c r="K15" s="5" t="n"/>
      <c r="L15" s="5" t="n"/>
      <c r="M15" s="5" t="n"/>
      <c r="N15" s="5" t="n"/>
      <c r="O15" s="5" t="n"/>
      <c r="P15" s="5" t="n"/>
      <c r="Q15" s="5" t="n"/>
      <c r="R15" s="5" t="n"/>
      <c r="S15" s="5" t="n"/>
      <c r="T15" s="5" t="n"/>
    </row>
    <row r="16">
      <c r="A16" s="427" t="inlineStr">
        <is>
          <t>EOL IB Visibility</t>
        </is>
      </c>
      <c r="B16" s="446" t="inlineStr">
        <is>
          <t>EOL IB Visibility (%)</t>
        </is>
      </c>
      <c r="C16" s="230" t="inlineStr">
        <is>
          <t>&gt;</t>
        </is>
      </c>
      <c r="D16" s="257" t="n">
        <v>0.8</v>
      </c>
      <c r="E16" s="230" t="inlineStr">
        <is>
          <t>%</t>
        </is>
      </c>
      <c r="F16" s="388" t="inlineStr">
        <is>
          <t>Higher the better</t>
        </is>
      </c>
      <c r="G16" s="230" t="inlineStr">
        <is>
          <t>Monthly</t>
        </is>
      </c>
      <c r="H16" s="14" t="inlineStr">
        <is>
          <t>Target</t>
        </is>
      </c>
      <c r="I16" s="4" t="n">
        <v>0.75</v>
      </c>
      <c r="J16" s="4" t="n">
        <v>0.75</v>
      </c>
      <c r="K16" s="4" t="n">
        <v>0.75</v>
      </c>
      <c r="L16" s="4" t="n">
        <v>0.75</v>
      </c>
      <c r="M16" s="4" t="n">
        <v>0.75</v>
      </c>
      <c r="N16" s="4" t="n">
        <v>0.75</v>
      </c>
      <c r="O16" s="4" t="n">
        <v>0.8</v>
      </c>
      <c r="P16" s="4" t="n">
        <v>0.8</v>
      </c>
      <c r="Q16" s="4" t="n">
        <v>0.8</v>
      </c>
      <c r="R16" s="4" t="n">
        <v>0.8</v>
      </c>
      <c r="S16" s="4" t="n">
        <v>0.8</v>
      </c>
      <c r="T16" s="4" t="n">
        <v>0.8</v>
      </c>
    </row>
    <row r="17">
      <c r="A17" s="671" t="n"/>
      <c r="B17" s="671" t="n"/>
      <c r="C17" s="671" t="n"/>
      <c r="D17" s="671" t="n"/>
      <c r="E17" s="671" t="n"/>
      <c r="F17" s="671" t="n"/>
      <c r="G17" s="671" t="n"/>
      <c r="H17" s="14" t="inlineStr">
        <is>
          <t>Actual</t>
        </is>
      </c>
      <c r="I17" s="5" t="n">
        <v>0.2923</v>
      </c>
      <c r="J17" s="5" t="n">
        <v>0.3171</v>
      </c>
      <c r="K17" s="5" t="n">
        <v>0.525</v>
      </c>
      <c r="L17" s="5" t="n">
        <v>0.659</v>
      </c>
      <c r="M17" s="5" t="n">
        <v>0.697</v>
      </c>
      <c r="N17" s="5" t="n">
        <v>0.713</v>
      </c>
      <c r="O17" s="5" t="n">
        <v>0.757</v>
      </c>
      <c r="P17" s="5" t="n"/>
      <c r="Q17" s="5" t="n"/>
      <c r="R17" s="5" t="n"/>
      <c r="S17" s="5" t="n"/>
      <c r="T17" s="5" t="n"/>
    </row>
    <row r="18">
      <c r="A18" s="427" t="inlineStr">
        <is>
          <t>Funnel Coverage</t>
        </is>
      </c>
      <c r="B18" s="427" t="inlineStr">
        <is>
          <t>Funnel Coverage</t>
        </is>
      </c>
      <c r="C18" s="230" t="inlineStr">
        <is>
          <t>&gt;=</t>
        </is>
      </c>
      <c r="D18" s="388" t="inlineStr">
        <is>
          <t xml:space="preserve"> AOP OIT ITM/MAT Win Rate(%)</t>
        </is>
      </c>
      <c r="E18" s="230" t="inlineStr">
        <is>
          <t>Mn</t>
        </is>
      </c>
      <c r="F18" s="388" t="inlineStr">
        <is>
          <t>Higher the better</t>
        </is>
      </c>
      <c r="G18" s="230" t="inlineStr">
        <is>
          <t>Monthly</t>
        </is>
      </c>
      <c r="H18" s="14" t="inlineStr">
        <is>
          <t>Target</t>
        </is>
      </c>
      <c r="I18" s="720" t="n">
        <v>4.838709677419355</v>
      </c>
      <c r="J18" s="720" t="n">
        <v>14.51612903225806</v>
      </c>
      <c r="K18" s="720" t="n">
        <v>17.1875</v>
      </c>
      <c r="L18" s="720" t="n">
        <v>13.4375</v>
      </c>
      <c r="M18" s="720" t="n">
        <v>20.3125</v>
      </c>
      <c r="N18" s="720" t="n">
        <v>19.39393939393939</v>
      </c>
      <c r="O18" s="720" t="n">
        <v>9.999999999999998</v>
      </c>
      <c r="P18" s="720" t="n">
        <v>18.48484848484848</v>
      </c>
      <c r="Q18" s="720" t="n">
        <v>18.82352941176471</v>
      </c>
      <c r="R18" s="720" t="n">
        <v>12.05882352941176</v>
      </c>
      <c r="S18" s="720" t="n">
        <v>22.35294117647059</v>
      </c>
      <c r="T18" s="720" t="n">
        <v>19.14285714285715</v>
      </c>
    </row>
    <row r="19">
      <c r="A19" s="671" t="n"/>
      <c r="B19" s="671" t="n"/>
      <c r="C19" s="671" t="n"/>
      <c r="D19" s="671" t="n"/>
      <c r="E19" s="671" t="n"/>
      <c r="F19" s="671" t="n"/>
      <c r="G19" s="671" t="n"/>
      <c r="H19" s="14" t="inlineStr">
        <is>
          <t>Actual</t>
        </is>
      </c>
      <c r="I19" s="45" t="n">
        <v>6.4</v>
      </c>
      <c r="J19" s="45" t="n">
        <v>8.6</v>
      </c>
      <c r="K19" s="45" t="n">
        <v>17</v>
      </c>
      <c r="L19" s="45" t="n">
        <v>13</v>
      </c>
      <c r="M19" s="45" t="n"/>
      <c r="N19" s="45" t="n"/>
      <c r="O19" s="45" t="n"/>
      <c r="P19" s="45" t="n"/>
      <c r="Q19" s="45" t="n"/>
      <c r="R19" s="45" t="n"/>
      <c r="S19" s="45" t="n"/>
      <c r="T19" s="45" t="n"/>
    </row>
    <row r="20">
      <c r="A20" s="427" t="inlineStr">
        <is>
          <t>EQ Win-rate</t>
        </is>
      </c>
      <c r="B20" s="427" t="inlineStr">
        <is>
          <t>MAT Win Rate (%)</t>
        </is>
      </c>
      <c r="C20" s="230" t="inlineStr">
        <is>
          <t>&gt;=</t>
        </is>
      </c>
      <c r="D20" s="257" t="n">
        <v>0.35</v>
      </c>
      <c r="E20" s="230" t="inlineStr">
        <is>
          <t>%</t>
        </is>
      </c>
      <c r="F20" s="388" t="inlineStr">
        <is>
          <t>Higher the better</t>
        </is>
      </c>
      <c r="G20" s="230" t="inlineStr">
        <is>
          <t>Monthly</t>
        </is>
      </c>
      <c r="H20" s="14" t="inlineStr">
        <is>
          <t>Target</t>
        </is>
      </c>
      <c r="I20" s="4" t="n">
        <v>0.31</v>
      </c>
      <c r="J20" s="4" t="n">
        <v>0.31</v>
      </c>
      <c r="K20" s="4" t="n">
        <v>0.32</v>
      </c>
      <c r="L20" s="4" t="n">
        <v>0.32</v>
      </c>
      <c r="M20" s="4" t="n">
        <v>0.32</v>
      </c>
      <c r="N20" s="4" t="n">
        <v>0.33</v>
      </c>
      <c r="O20" s="4" t="n">
        <v>0.33</v>
      </c>
      <c r="P20" s="4" t="n">
        <v>0.33</v>
      </c>
      <c r="Q20" s="4" t="n">
        <v>0.34</v>
      </c>
      <c r="R20" s="4" t="n">
        <v>0.34</v>
      </c>
      <c r="S20" s="4" t="n">
        <v>0.34</v>
      </c>
      <c r="T20" s="4" t="n">
        <v>0.35</v>
      </c>
    </row>
    <row r="21">
      <c r="A21" s="671" t="n"/>
      <c r="B21" s="671" t="n"/>
      <c r="C21" s="671" t="n"/>
      <c r="D21" s="671" t="n"/>
      <c r="E21" s="671" t="n"/>
      <c r="F21" s="671" t="n"/>
      <c r="G21" s="671" t="n"/>
      <c r="H21" s="14" t="inlineStr">
        <is>
          <t>Actual</t>
        </is>
      </c>
      <c r="I21" s="5" t="n">
        <v>0.349</v>
      </c>
      <c r="J21" s="5" t="n">
        <v>0.353</v>
      </c>
      <c r="K21" s="5" t="n">
        <v>0.35</v>
      </c>
      <c r="L21" s="5" t="n">
        <v>0.356</v>
      </c>
      <c r="M21" s="5" t="n"/>
      <c r="N21" s="5" t="n"/>
      <c r="O21" s="5" t="n"/>
      <c r="P21" s="5" t="n"/>
      <c r="Q21" s="5" t="n"/>
      <c r="R21" s="5" t="n"/>
      <c r="S21" s="5" t="n"/>
      <c r="T21" s="5" t="n"/>
    </row>
    <row r="22">
      <c r="A22" s="427" t="inlineStr">
        <is>
          <t>OIT YTD for B&amp;B</t>
        </is>
      </c>
      <c r="B22" s="427" t="inlineStr">
        <is>
          <t>Total OIT YTD  with RDD in FY26</t>
        </is>
      </c>
      <c r="C22" s="230" t="inlineStr">
        <is>
          <t>&gt;=</t>
        </is>
      </c>
      <c r="D22" s="388">
        <f>63.5-19.5</f>
        <v/>
      </c>
      <c r="E22" s="230" t="inlineStr">
        <is>
          <t>Mn</t>
        </is>
      </c>
      <c r="F22" s="388" t="inlineStr">
        <is>
          <t>Higher the better</t>
        </is>
      </c>
      <c r="G22" s="230" t="inlineStr">
        <is>
          <t>Monthly</t>
        </is>
      </c>
      <c r="H22" s="14" t="inlineStr">
        <is>
          <t>Target</t>
        </is>
      </c>
      <c r="I22" s="720" t="n">
        <v>1.5</v>
      </c>
      <c r="J22" s="720" t="n">
        <v>6</v>
      </c>
      <c r="K22" s="720" t="n">
        <v>11.5</v>
      </c>
      <c r="L22" s="720" t="n">
        <v>15.8</v>
      </c>
      <c r="M22" s="720" t="n">
        <v>22.3</v>
      </c>
      <c r="N22" s="720" t="n">
        <v>28.7</v>
      </c>
      <c r="O22" s="720" t="n">
        <v>32</v>
      </c>
      <c r="P22" s="720" t="n">
        <v>38.1</v>
      </c>
      <c r="Q22" s="720" t="n">
        <v>44</v>
      </c>
      <c r="R22" s="720" t="n">
        <v>44</v>
      </c>
      <c r="S22" s="720" t="n">
        <v>44</v>
      </c>
      <c r="T22" s="720" t="n">
        <v>44</v>
      </c>
    </row>
    <row r="23">
      <c r="A23" s="671" t="n"/>
      <c r="B23" s="671" t="n"/>
      <c r="C23" s="671" t="n"/>
      <c r="D23" s="671" t="n"/>
      <c r="E23" s="671" t="n"/>
      <c r="F23" s="671" t="n"/>
      <c r="G23" s="671" t="n"/>
      <c r="H23" s="14" t="inlineStr">
        <is>
          <t>Actual</t>
        </is>
      </c>
      <c r="I23" s="45" t="n">
        <v>2.1</v>
      </c>
      <c r="J23" s="45" t="n">
        <v>5.5</v>
      </c>
      <c r="K23" s="45" t="n">
        <v>14.2</v>
      </c>
      <c r="L23" s="45" t="n">
        <v>15.5</v>
      </c>
      <c r="M23" s="45" t="n"/>
      <c r="N23" s="45" t="n"/>
      <c r="O23" s="45" t="n"/>
      <c r="P23" s="45" t="n"/>
      <c r="Q23" s="45" t="n"/>
      <c r="R23" s="45" t="n"/>
      <c r="S23" s="45" t="n"/>
      <c r="T23" s="45" t="n"/>
    </row>
    <row r="24">
      <c r="A24" s="427" t="inlineStr">
        <is>
          <t>PoS Attachment Rate</t>
        </is>
      </c>
      <c r="B24" s="427" t="inlineStr">
        <is>
          <t>12MR PoS%</t>
        </is>
      </c>
      <c r="C24" s="230" t="inlineStr">
        <is>
          <t>&gt;=</t>
        </is>
      </c>
      <c r="D24" s="257" t="inlineStr">
        <is>
          <t>40% (vs. 51.2% in FY'25)</t>
        </is>
      </c>
      <c r="E24" s="230" t="inlineStr">
        <is>
          <t>%</t>
        </is>
      </c>
      <c r="F24" s="388" t="inlineStr">
        <is>
          <t>Higher the better</t>
        </is>
      </c>
      <c r="G24" s="230" t="inlineStr">
        <is>
          <t>Monthly</t>
        </is>
      </c>
      <c r="H24" s="14" t="inlineStr">
        <is>
          <t>Target</t>
        </is>
      </c>
      <c r="I24" s="4" t="n">
        <v>0.4</v>
      </c>
      <c r="J24" s="4" t="n">
        <v>0.4</v>
      </c>
      <c r="K24" s="4" t="n">
        <v>0.4</v>
      </c>
      <c r="L24" s="4" t="n">
        <v>0.4</v>
      </c>
      <c r="M24" s="4" t="n">
        <v>0.4</v>
      </c>
      <c r="N24" s="4" t="n">
        <v>0.4</v>
      </c>
      <c r="O24" s="4" t="n">
        <v>0.4</v>
      </c>
      <c r="P24" s="4" t="n">
        <v>0.4</v>
      </c>
      <c r="Q24" s="4" t="n">
        <v>0.4</v>
      </c>
      <c r="R24" s="4" t="n">
        <v>0.4</v>
      </c>
      <c r="S24" s="4" t="n">
        <v>0.4</v>
      </c>
      <c r="T24" s="4" t="n">
        <v>0.4</v>
      </c>
    </row>
    <row r="25" ht="15.6" customHeight="1">
      <c r="A25" s="671" t="n"/>
      <c r="B25" s="671" t="n"/>
      <c r="C25" s="671" t="n"/>
      <c r="D25" s="671" t="n"/>
      <c r="E25" s="671" t="n"/>
      <c r="F25" s="671" t="n"/>
      <c r="G25" s="671" t="n"/>
      <c r="H25" s="14" t="inlineStr">
        <is>
          <t>Actual</t>
        </is>
      </c>
      <c r="I25" s="5" t="n">
        <v>0.517</v>
      </c>
      <c r="J25" s="5" t="n">
        <v>0.522</v>
      </c>
      <c r="K25" s="5" t="n">
        <v>0.5</v>
      </c>
      <c r="L25" s="5" t="n">
        <v>0.497</v>
      </c>
      <c r="M25" s="5" t="n">
        <v>0.473</v>
      </c>
      <c r="N25" s="5" t="n">
        <v>0.359</v>
      </c>
      <c r="O25" s="5" t="n">
        <v>0.377</v>
      </c>
      <c r="P25" s="45" t="n"/>
      <c r="Q25" s="45" t="n"/>
      <c r="R25" s="45" t="n"/>
      <c r="S25" s="45" t="n"/>
      <c r="T25" s="45" t="n"/>
    </row>
    <row r="26">
      <c r="A26" s="427" t="inlineStr">
        <is>
          <t xml:space="preserve"> Profitability</t>
        </is>
      </c>
      <c r="B26" s="427" t="inlineStr">
        <is>
          <t>Integral IGM (%)</t>
        </is>
      </c>
      <c r="C26" s="230" t="inlineStr">
        <is>
          <t>&gt;=</t>
        </is>
      </c>
      <c r="D26" s="388" t="inlineStr">
        <is>
          <t>38.3% FY'26</t>
        </is>
      </c>
      <c r="E26" s="230" t="inlineStr">
        <is>
          <t>%</t>
        </is>
      </c>
      <c r="F26" s="388" t="inlineStr">
        <is>
          <t>Higher the better</t>
        </is>
      </c>
      <c r="G26" s="230" t="inlineStr">
        <is>
          <t>Quarterly</t>
        </is>
      </c>
      <c r="H26" s="14" t="inlineStr">
        <is>
          <t>Target</t>
        </is>
      </c>
      <c r="I26" s="123" t="n"/>
      <c r="J26" s="123" t="n"/>
      <c r="K26" s="4" t="n">
        <v>0.402</v>
      </c>
      <c r="L26" s="123" t="n"/>
      <c r="M26" s="123" t="n"/>
      <c r="N26" s="51" t="n">
        <v>0.362</v>
      </c>
      <c r="O26" s="123" t="n"/>
      <c r="P26" s="123" t="n"/>
      <c r="Q26" s="51" t="n">
        <v>0.413</v>
      </c>
      <c r="R26" s="123" t="n"/>
      <c r="S26" s="123" t="n"/>
      <c r="T26" s="51" t="n">
        <v>0.366</v>
      </c>
    </row>
    <row r="27" ht="13.5" customHeight="1">
      <c r="A27" s="671" t="n"/>
      <c r="B27" s="671" t="n"/>
      <c r="C27" s="671" t="n"/>
      <c r="D27" s="671" t="n"/>
      <c r="E27" s="671" t="n"/>
      <c r="F27" s="671" t="n"/>
      <c r="G27" s="671" t="n"/>
      <c r="H27" s="14" t="inlineStr">
        <is>
          <t>Actual</t>
        </is>
      </c>
      <c r="I27" s="5" t="n"/>
      <c r="J27" s="5" t="n"/>
      <c r="K27" s="5">
        <f>6.84/17</f>
        <v/>
      </c>
      <c r="L27" s="5" t="n"/>
      <c r="M27" s="5" t="n"/>
      <c r="N27" s="45" t="n"/>
      <c r="O27" s="45" t="n"/>
      <c r="P27" s="45" t="n"/>
      <c r="Q27" s="45" t="n"/>
      <c r="R27" s="45" t="n"/>
      <c r="S27" s="45" t="n"/>
      <c r="T27" s="45" t="n"/>
    </row>
    <row r="28" ht="15" customHeight="1">
      <c r="E28" s="32" t="inlineStr">
        <is>
          <t xml:space="preserve">
</t>
        </is>
      </c>
      <c r="H28" s="33">
        <f>IF(OR($F15="Lower the better",$F15="Lower the Better"),
    IF(I15&gt;#REF!,$A14,""),
    IF(OR($F15="Higher the better",$F15="Higher the Better"),
       IF(I15&lt;#REF!,$A14,""),
       ""
    )
)</f>
        <v/>
      </c>
    </row>
    <row r="29" ht="21" customHeight="1">
      <c r="A29" s="10" t="inlineStr">
        <is>
          <t>Trends-</t>
        </is>
      </c>
    </row>
    <row r="30">
      <c r="A30" s="639" t="n"/>
    </row>
    <row r="31">
      <c r="A31" s="639" t="n"/>
    </row>
    <row r="32">
      <c r="A32" s="639" t="n"/>
    </row>
    <row r="33">
      <c r="A33" s="639" t="n"/>
    </row>
    <row r="34">
      <c r="A34" s="639" t="n"/>
    </row>
    <row r="35">
      <c r="A35" s="639" t="n"/>
    </row>
    <row r="36">
      <c r="A36" s="639" t="n"/>
    </row>
    <row r="37">
      <c r="A37" s="639" t="n"/>
    </row>
    <row r="38">
      <c r="A38" s="639" t="n"/>
    </row>
    <row r="39">
      <c r="A39" s="639" t="n"/>
    </row>
    <row r="40">
      <c r="A40" s="639" t="n"/>
    </row>
    <row r="41">
      <c r="A41" s="639" t="n"/>
    </row>
    <row r="42">
      <c r="A42" s="639" t="n"/>
    </row>
    <row r="43">
      <c r="A43" s="639" t="n"/>
    </row>
    <row r="44">
      <c r="A44" s="639" t="n"/>
    </row>
    <row r="45">
      <c r="A45" s="639" t="n"/>
    </row>
    <row r="46" ht="21" customHeight="1">
      <c r="A46" s="500" t="inlineStr">
        <is>
          <t>If the KPI is reported Red, fill all the details as mentioned below for analysis &amp; actions:</t>
        </is>
      </c>
    </row>
    <row r="47">
      <c r="A47" s="639" t="n"/>
    </row>
    <row r="48" ht="21" customHeight="1">
      <c r="A48" s="449" t="inlineStr">
        <is>
          <t>Root Cause Analysis-</t>
        </is>
      </c>
      <c r="J48" s="720" t="n">
        <v>1.5</v>
      </c>
      <c r="K48" s="720" t="n">
        <v>4.5</v>
      </c>
      <c r="L48" s="720" t="n">
        <v>5.5</v>
      </c>
      <c r="M48" s="720" t="n">
        <v>4.3</v>
      </c>
      <c r="N48" s="720" t="n">
        <v>6.5</v>
      </c>
      <c r="O48" s="720" t="n">
        <v>6.4</v>
      </c>
      <c r="P48" s="720" t="n">
        <v>3.3</v>
      </c>
      <c r="Q48" s="720" t="n">
        <v>6.1</v>
      </c>
      <c r="R48" s="720" t="n">
        <v>6.4</v>
      </c>
    </row>
    <row r="49" ht="20.1" customHeight="1">
      <c r="A49" s="466" t="inlineStr">
        <is>
          <t xml:space="preserve"> Red KPI</t>
        </is>
      </c>
      <c r="B49" s="361" t="inlineStr">
        <is>
          <t xml:space="preserve">Top  Causes </t>
        </is>
      </c>
      <c r="C49" s="693" t="n"/>
      <c r="D49" s="693" t="n"/>
      <c r="E49" s="693" t="n"/>
      <c r="F49" s="692" t="n"/>
      <c r="K49" s="682">
        <f>K48+J48</f>
        <v/>
      </c>
      <c r="L49" s="682">
        <f>L48+K49</f>
        <v/>
      </c>
      <c r="M49" s="682">
        <f>M48+L49</f>
        <v/>
      </c>
      <c r="N49" s="682">
        <f>N48+M49</f>
        <v/>
      </c>
      <c r="O49" s="682">
        <f>O48+N49</f>
        <v/>
      </c>
      <c r="P49" s="682">
        <f>P48+O49</f>
        <v/>
      </c>
      <c r="Q49" s="682">
        <f>Q48+P49</f>
        <v/>
      </c>
      <c r="R49" s="682">
        <f>R48+Q49</f>
        <v/>
      </c>
    </row>
    <row r="50" ht="15" customHeight="1">
      <c r="A50" s="694" t="n"/>
      <c r="B50" s="361" t="inlineStr">
        <is>
          <t xml:space="preserve">Cause 1 </t>
        </is>
      </c>
      <c r="C50" s="361" t="inlineStr">
        <is>
          <t>Cause 2</t>
        </is>
      </c>
      <c r="D50" s="361" t="inlineStr">
        <is>
          <t>Cause 3</t>
        </is>
      </c>
      <c r="E50" s="361" t="inlineStr">
        <is>
          <t>Cause 4</t>
        </is>
      </c>
      <c r="F50" s="361" t="inlineStr">
        <is>
          <t>Cause 5</t>
        </is>
      </c>
    </row>
    <row r="51" ht="19.35" customHeight="1">
      <c r="A51" s="40" t="inlineStr">
        <is>
          <t>DEFOA</t>
        </is>
      </c>
      <c r="B51" s="41" t="inlineStr">
        <is>
          <t>Logistis related</t>
        </is>
      </c>
      <c r="C51" s="41" t="inlineStr">
        <is>
          <t>Installation defect</t>
        </is>
      </c>
      <c r="D51" s="41" t="inlineStr">
        <is>
          <t>Part missing</t>
        </is>
      </c>
      <c r="E51" s="41" t="inlineStr">
        <is>
          <t>Damage in transit</t>
        </is>
      </c>
      <c r="F51" s="41" t="inlineStr">
        <is>
          <t>Delay in installations</t>
        </is>
      </c>
    </row>
    <row r="52" ht="19.35" customHeight="1">
      <c r="A52" s="27" t="inlineStr">
        <is>
          <t>% impact on KPI gap</t>
        </is>
      </c>
      <c r="B52" s="42" t="n">
        <v>0.1</v>
      </c>
      <c r="C52" s="42" t="n">
        <v>0.2</v>
      </c>
      <c r="D52" s="42" t="n">
        <v>0.3</v>
      </c>
      <c r="E52" s="42" t="n">
        <v>0.4</v>
      </c>
      <c r="F52" s="42" t="n">
        <v>0.13</v>
      </c>
    </row>
    <row r="53" ht="19.35" customHeight="1">
      <c r="A53" s="361" t="inlineStr">
        <is>
          <t>Red KPI</t>
        </is>
      </c>
      <c r="B53" s="361" t="inlineStr">
        <is>
          <t xml:space="preserve">Cause 1 </t>
        </is>
      </c>
      <c r="C53" s="361" t="inlineStr">
        <is>
          <t>Cause 2</t>
        </is>
      </c>
      <c r="D53" s="361" t="inlineStr">
        <is>
          <t>Cause 3</t>
        </is>
      </c>
      <c r="E53" s="361" t="inlineStr">
        <is>
          <t>Cause 4</t>
        </is>
      </c>
      <c r="F53" s="361" t="inlineStr">
        <is>
          <t>Cause 5</t>
        </is>
      </c>
    </row>
    <row r="54" ht="19.35" customHeight="1">
      <c r="A54" s="27" t="n"/>
      <c r="B54" s="41" t="n"/>
      <c r="C54" s="41" t="n"/>
      <c r="D54" s="41" t="n"/>
      <c r="E54" s="41" t="n"/>
      <c r="F54" s="41" t="n"/>
    </row>
    <row r="55" ht="19.35" customHeight="1">
      <c r="A55" s="27" t="inlineStr">
        <is>
          <t>% impact on KPI gap</t>
        </is>
      </c>
      <c r="B55" s="42" t="n"/>
      <c r="C55" s="42" t="n"/>
      <c r="D55" s="42" t="n"/>
      <c r="E55" s="42" t="n"/>
      <c r="F55" s="42" t="n"/>
    </row>
    <row r="56" ht="19.35" customHeight="1">
      <c r="A56" s="361" t="inlineStr">
        <is>
          <t>Red KPI</t>
        </is>
      </c>
      <c r="B56" s="361" t="inlineStr">
        <is>
          <t xml:space="preserve">Cause 1 </t>
        </is>
      </c>
      <c r="C56" s="361" t="inlineStr">
        <is>
          <t>Cause 2</t>
        </is>
      </c>
      <c r="D56" s="361" t="inlineStr">
        <is>
          <t>Cause 3</t>
        </is>
      </c>
      <c r="E56" s="361" t="inlineStr">
        <is>
          <t>Cause 4</t>
        </is>
      </c>
      <c r="F56" s="361" t="inlineStr">
        <is>
          <t>Cause 5</t>
        </is>
      </c>
    </row>
    <row r="57" ht="19.35" customHeight="1">
      <c r="A57" s="27" t="n"/>
      <c r="B57" s="41" t="n"/>
      <c r="C57" s="41" t="n"/>
      <c r="D57" s="41" t="n"/>
      <c r="E57" s="41" t="n"/>
      <c r="F57" s="41" t="n"/>
    </row>
    <row r="58" ht="19.35" customHeight="1">
      <c r="A58" s="27" t="inlineStr">
        <is>
          <t>% impact on KPI gap</t>
        </is>
      </c>
      <c r="B58" s="42" t="n"/>
      <c r="C58" s="42" t="n"/>
      <c r="D58" s="42" t="n"/>
      <c r="E58" s="42" t="n"/>
      <c r="F58" s="42" t="n"/>
    </row>
    <row r="59" ht="19.35" customHeight="1">
      <c r="A59" s="361" t="inlineStr">
        <is>
          <t>Red KPI</t>
        </is>
      </c>
      <c r="B59" s="361" t="inlineStr">
        <is>
          <t xml:space="preserve">Cause 1 </t>
        </is>
      </c>
      <c r="C59" s="361" t="inlineStr">
        <is>
          <t>Cause 2</t>
        </is>
      </c>
      <c r="D59" s="361" t="inlineStr">
        <is>
          <t>Cause 3</t>
        </is>
      </c>
      <c r="E59" s="361" t="inlineStr">
        <is>
          <t>Cause 4</t>
        </is>
      </c>
      <c r="F59" s="361" t="inlineStr">
        <is>
          <t>Cause 5</t>
        </is>
      </c>
    </row>
    <row r="60" ht="19.35" customHeight="1">
      <c r="A60" s="27" t="n"/>
      <c r="B60" s="41" t="n"/>
      <c r="C60" s="41" t="n"/>
      <c r="D60" s="41" t="n"/>
      <c r="E60" s="41" t="n"/>
      <c r="F60" s="41" t="n"/>
    </row>
    <row r="61" ht="19.35" customHeight="1">
      <c r="A61" s="27" t="inlineStr">
        <is>
          <t>% impact on KPI gap</t>
        </is>
      </c>
      <c r="B61" s="42" t="n"/>
      <c r="C61" s="42" t="n"/>
      <c r="D61" s="42" t="n"/>
      <c r="E61" s="42" t="n"/>
      <c r="F61" s="42" t="n"/>
    </row>
    <row r="62" ht="19.35" customHeight="1">
      <c r="A62" s="361" t="inlineStr">
        <is>
          <t>Red KPI</t>
        </is>
      </c>
      <c r="B62" s="361" t="inlineStr">
        <is>
          <t xml:space="preserve">Cause 1 </t>
        </is>
      </c>
      <c r="C62" s="361" t="inlineStr">
        <is>
          <t>Cause 2</t>
        </is>
      </c>
      <c r="D62" s="361" t="inlineStr">
        <is>
          <t>Cause 3</t>
        </is>
      </c>
      <c r="E62" s="361" t="inlineStr">
        <is>
          <t>Cause 4</t>
        </is>
      </c>
      <c r="F62" s="361" t="inlineStr">
        <is>
          <t>Cause 5</t>
        </is>
      </c>
    </row>
    <row r="63" ht="19.35" customHeight="1">
      <c r="A63" s="27" t="n"/>
      <c r="B63" s="41" t="n"/>
      <c r="C63" s="41" t="n"/>
      <c r="D63" s="41" t="n"/>
      <c r="E63" s="41" t="n"/>
      <c r="F63" s="41" t="n"/>
    </row>
    <row r="64" ht="19.35" customHeight="1">
      <c r="A64" s="27" t="inlineStr">
        <is>
          <t>% impact on KPI gap</t>
        </is>
      </c>
      <c r="B64" s="42" t="n"/>
      <c r="C64" s="42" t="n"/>
      <c r="D64" s="42" t="n"/>
      <c r="E64" s="42" t="n"/>
      <c r="F64" s="42" t="n"/>
    </row>
    <row r="65" ht="19.35" customHeight="1">
      <c r="A65" s="361" t="inlineStr">
        <is>
          <t>Red KPI</t>
        </is>
      </c>
      <c r="B65" s="361" t="inlineStr">
        <is>
          <t xml:space="preserve">Cause 1 </t>
        </is>
      </c>
      <c r="C65" s="361" t="inlineStr">
        <is>
          <t>Cause 2</t>
        </is>
      </c>
      <c r="D65" s="361" t="inlineStr">
        <is>
          <t>Cause 3</t>
        </is>
      </c>
      <c r="E65" s="361" t="inlineStr">
        <is>
          <t>Cause 4</t>
        </is>
      </c>
      <c r="F65" s="361" t="inlineStr">
        <is>
          <t>Cause 5</t>
        </is>
      </c>
    </row>
    <row r="66" ht="19.35" customHeight="1">
      <c r="A66" s="27" t="n"/>
      <c r="B66" s="41" t="n"/>
      <c r="C66" s="41" t="n"/>
      <c r="D66" s="41" t="n"/>
      <c r="E66" s="41" t="n"/>
      <c r="F66" s="41" t="n"/>
    </row>
    <row r="67" ht="19.35" customHeight="1">
      <c r="A67" s="27" t="inlineStr">
        <is>
          <t>% impact on KPI gap</t>
        </is>
      </c>
      <c r="B67" s="42" t="n"/>
      <c r="C67" s="42" t="n"/>
      <c r="D67" s="42" t="n"/>
      <c r="E67" s="42" t="n"/>
      <c r="F67" s="42" t="n"/>
    </row>
    <row r="68" ht="21" customHeight="1">
      <c r="A68" s="10" t="inlineStr">
        <is>
          <t>Paretos for RCA</t>
        </is>
      </c>
    </row>
    <row r="69">
      <c r="A69" s="639" t="n"/>
    </row>
    <row r="70">
      <c r="A70" s="639" t="n"/>
    </row>
    <row r="71">
      <c r="A71" s="639" t="n"/>
    </row>
    <row r="72">
      <c r="A72" s="639" t="n"/>
    </row>
    <row r="73">
      <c r="A73" s="639" t="n"/>
    </row>
    <row r="74">
      <c r="A74" s="639" t="n"/>
    </row>
    <row r="75">
      <c r="A75" s="639" t="n"/>
    </row>
    <row r="76">
      <c r="A76" s="639" t="n"/>
    </row>
    <row r="77">
      <c r="A77" s="639" t="n"/>
    </row>
    <row r="78">
      <c r="A78" s="639" t="n"/>
    </row>
    <row r="79">
      <c r="A79" s="639" t="n"/>
    </row>
    <row r="80">
      <c r="A80" s="639" t="n"/>
    </row>
    <row r="81">
      <c r="A81" s="639" t="n"/>
    </row>
    <row r="82">
      <c r="A82" s="639" t="n"/>
    </row>
    <row r="83" ht="15" customHeight="1" thickBot="1">
      <c r="A83" s="639" t="n"/>
    </row>
    <row r="84" ht="18.95" customHeight="1" thickBot="1">
      <c r="A84" s="695" t="inlineStr">
        <is>
          <t>Action tracker</t>
        </is>
      </c>
      <c r="B84" s="696" t="n"/>
      <c r="C84" s="696" t="n"/>
      <c r="D84" s="696" t="n"/>
      <c r="E84" s="696" t="n"/>
      <c r="F84" s="697" t="n"/>
      <c r="H84" s="698" t="inlineStr">
        <is>
          <t>Handshake Escalations/Support required</t>
        </is>
      </c>
      <c r="I84" s="696" t="n"/>
      <c r="J84" s="696" t="n"/>
      <c r="K84" s="696" t="n"/>
      <c r="L84" s="696" t="n"/>
      <c r="M84" s="696" t="n"/>
      <c r="N84" s="696" t="n"/>
      <c r="O84" s="697" t="n"/>
    </row>
    <row r="85" ht="41.85" customFormat="1" customHeight="1" s="15">
      <c r="A85" s="16" t="inlineStr">
        <is>
          <t>Red KPI</t>
        </is>
      </c>
      <c r="B85" s="17" t="inlineStr">
        <is>
          <t>Root cause description</t>
        </is>
      </c>
      <c r="C85" s="18" t="inlineStr">
        <is>
          <t>Corrective action</t>
        </is>
      </c>
      <c r="D85" s="19" t="inlineStr">
        <is>
          <t>Owner</t>
        </is>
      </c>
      <c r="E85" s="17" t="inlineStr">
        <is>
          <t>Due Date</t>
        </is>
      </c>
      <c r="F85" s="20" t="inlineStr">
        <is>
          <t>Status</t>
        </is>
      </c>
      <c r="H85" s="21" t="inlineStr">
        <is>
          <t>KPI Name</t>
        </is>
      </c>
      <c r="I85" s="22" t="inlineStr">
        <is>
          <t>Key Dependency</t>
        </is>
      </c>
      <c r="J85" s="22" t="inlineStr">
        <is>
          <t>Function Name</t>
        </is>
      </c>
      <c r="K85" s="23" t="inlineStr">
        <is>
          <t>What action/s from
 Function is expected</t>
        </is>
      </c>
      <c r="L85" s="23" t="inlineStr">
        <is>
          <t>Success measure for
Action Closure</t>
        </is>
      </c>
      <c r="M85" s="24" t="inlineStr">
        <is>
          <t>Handshaked
(Yes or No)</t>
        </is>
      </c>
      <c r="N85" s="23" t="inlineStr">
        <is>
          <t>Open issue description</t>
        </is>
      </c>
      <c r="O85" s="36" t="inlineStr">
        <is>
          <t>Solutions to 
Open issues</t>
        </is>
      </c>
    </row>
    <row r="86" ht="16.5" customHeight="1">
      <c r="A86" s="699" t="n"/>
      <c r="B86" s="388" t="n"/>
      <c r="C86" s="388" t="n"/>
      <c r="D86" s="388" t="n"/>
      <c r="E86" s="379" t="n"/>
      <c r="F86" s="700" t="n">
        <v>1</v>
      </c>
      <c r="H86" s="699" t="inlineStr">
        <is>
          <t>C &amp; R</t>
        </is>
      </c>
      <c r="I86" s="701" t="n"/>
      <c r="J86" s="701" t="n"/>
      <c r="K86" s="701" t="n"/>
      <c r="L86" s="701" t="n"/>
      <c r="M86" s="703" t="inlineStr">
        <is>
          <t>Yes</t>
        </is>
      </c>
      <c r="N86" s="701" t="n"/>
      <c r="O86" s="704" t="n"/>
    </row>
    <row r="87" ht="18" customHeight="1">
      <c r="A87" s="705" t="n"/>
      <c r="B87" s="671" t="n"/>
      <c r="C87" s="671" t="n"/>
      <c r="D87" s="671" t="n"/>
      <c r="E87" s="671" t="n"/>
      <c r="F87" s="672" t="n"/>
      <c r="H87" s="705" t="n"/>
      <c r="I87" s="671" t="n"/>
      <c r="J87" s="671" t="n"/>
      <c r="K87" s="671" t="n"/>
      <c r="L87" s="671" t="n"/>
      <c r="M87" s="671" t="n"/>
      <c r="N87" s="671" t="n"/>
      <c r="O87" s="672" t="n"/>
    </row>
    <row r="88" ht="17.1" customHeight="1">
      <c r="A88" s="699" t="n"/>
      <c r="B88" s="388" t="n"/>
      <c r="C88" s="388" t="n"/>
      <c r="D88" s="388" t="n"/>
      <c r="E88" s="379" t="n"/>
      <c r="F88" s="700" t="n">
        <v>1</v>
      </c>
      <c r="H88" s="699" t="n"/>
      <c r="I88" s="701" t="n"/>
      <c r="J88" s="701" t="n"/>
      <c r="K88" s="701" t="n"/>
      <c r="L88" s="701" t="n"/>
      <c r="M88" s="703" t="inlineStr">
        <is>
          <t>No</t>
        </is>
      </c>
      <c r="N88" s="701" t="n"/>
      <c r="O88" s="704" t="n"/>
    </row>
    <row r="89" ht="17.1" customHeight="1">
      <c r="A89" s="705" t="n"/>
      <c r="B89" s="671" t="n"/>
      <c r="C89" s="671" t="n"/>
      <c r="D89" s="671" t="n"/>
      <c r="E89" s="671" t="n"/>
      <c r="F89" s="672" t="n"/>
      <c r="H89" s="705" t="n"/>
      <c r="I89" s="671" t="n"/>
      <c r="J89" s="671" t="n"/>
      <c r="K89" s="671" t="n"/>
      <c r="L89" s="671" t="n"/>
      <c r="M89" s="671" t="n"/>
      <c r="N89" s="671" t="n"/>
      <c r="O89" s="672" t="n"/>
    </row>
    <row r="90" ht="17.1" customHeight="1">
      <c r="A90" s="699" t="n"/>
      <c r="B90" s="388" t="n"/>
      <c r="C90" s="388" t="n"/>
      <c r="D90" s="388" t="n"/>
      <c r="E90" s="379" t="n"/>
      <c r="F90" s="700" t="n">
        <v>1</v>
      </c>
      <c r="H90" s="699" t="n"/>
      <c r="I90" s="701" t="n"/>
      <c r="J90" s="701" t="n"/>
      <c r="K90" s="701" t="n"/>
      <c r="L90" s="701" t="n"/>
      <c r="M90" s="703" t="n"/>
      <c r="N90" s="701" t="n"/>
      <c r="O90" s="704" t="n"/>
    </row>
    <row r="91" ht="16.5" customHeight="1">
      <c r="A91" s="705" t="n"/>
      <c r="B91" s="671" t="n"/>
      <c r="C91" s="671" t="n"/>
      <c r="D91" s="671" t="n"/>
      <c r="E91" s="671" t="n"/>
      <c r="F91" s="672" t="n"/>
      <c r="H91" s="705" t="n"/>
      <c r="I91" s="671" t="n"/>
      <c r="J91" s="671" t="n"/>
      <c r="K91" s="671" t="n"/>
      <c r="L91" s="671" t="n"/>
      <c r="M91" s="671" t="n"/>
      <c r="N91" s="671" t="n"/>
      <c r="O91" s="672" t="n"/>
    </row>
    <row r="92" ht="16.5" customHeight="1">
      <c r="A92" s="699" t="n"/>
      <c r="B92" s="388" t="n"/>
      <c r="C92" s="388" t="n"/>
      <c r="D92" s="388" t="n"/>
      <c r="E92" s="379" t="n"/>
      <c r="F92" s="700" t="n">
        <v>1</v>
      </c>
      <c r="H92" s="699" t="n"/>
      <c r="I92" s="701" t="n"/>
      <c r="J92" s="701" t="n"/>
      <c r="K92" s="701" t="n"/>
      <c r="L92" s="701" t="n"/>
      <c r="M92" s="703" t="n"/>
      <c r="N92" s="701" t="n"/>
      <c r="O92" s="704" t="n"/>
    </row>
    <row r="93" ht="16.5" customHeight="1">
      <c r="A93" s="705" t="n"/>
      <c r="B93" s="671" t="n"/>
      <c r="C93" s="671" t="n"/>
      <c r="D93" s="671" t="n"/>
      <c r="E93" s="671" t="n"/>
      <c r="F93" s="672" t="n"/>
      <c r="H93" s="705" t="n"/>
      <c r="I93" s="671" t="n"/>
      <c r="J93" s="671" t="n"/>
      <c r="K93" s="671" t="n"/>
      <c r="L93" s="671" t="n"/>
      <c r="M93" s="671" t="n"/>
      <c r="N93" s="671" t="n"/>
      <c r="O93" s="672" t="n"/>
    </row>
    <row r="94" ht="16.5" customHeight="1">
      <c r="A94" s="699" t="n"/>
      <c r="B94" s="388" t="n"/>
      <c r="C94" s="388" t="n"/>
      <c r="D94" s="388" t="n"/>
      <c r="E94" s="379" t="n"/>
      <c r="F94" s="700" t="n">
        <v>1</v>
      </c>
      <c r="H94" s="699" t="n"/>
      <c r="I94" s="701" t="n"/>
      <c r="J94" s="701" t="n"/>
      <c r="K94" s="701" t="n"/>
      <c r="L94" s="701" t="n"/>
      <c r="M94" s="703" t="n"/>
      <c r="N94" s="701" t="n"/>
      <c r="O94" s="704" t="n"/>
    </row>
    <row r="95" ht="16.5" customHeight="1">
      <c r="A95" s="705" t="n"/>
      <c r="B95" s="671" t="n"/>
      <c r="C95" s="671" t="n"/>
      <c r="D95" s="671" t="n"/>
      <c r="E95" s="671" t="n"/>
      <c r="F95" s="672" t="n"/>
      <c r="H95" s="705" t="n"/>
      <c r="I95" s="671" t="n"/>
      <c r="J95" s="671" t="n"/>
      <c r="K95" s="671" t="n"/>
      <c r="L95" s="671" t="n"/>
      <c r="M95" s="671" t="n"/>
      <c r="N95" s="671" t="n"/>
      <c r="O95" s="672" t="n"/>
    </row>
    <row r="96" ht="16.5" customHeight="1">
      <c r="A96" s="699" t="n"/>
      <c r="B96" s="707" t="n"/>
      <c r="C96" s="707" t="n"/>
      <c r="D96" s="707" t="n"/>
      <c r="E96" s="708" t="n"/>
      <c r="F96" s="700" t="n">
        <v>1</v>
      </c>
      <c r="H96" s="709" t="n"/>
      <c r="I96" s="710" t="n"/>
      <c r="J96" s="710" t="n"/>
      <c r="K96" s="710" t="n"/>
      <c r="L96" s="710" t="n"/>
      <c r="M96" s="711" t="n"/>
      <c r="N96" s="710" t="n"/>
      <c r="O96" s="712" t="n"/>
    </row>
    <row r="97" ht="17.1" customHeight="1" thickBot="1">
      <c r="A97" s="705" t="n"/>
      <c r="B97" s="713" t="n"/>
      <c r="C97" s="713" t="n"/>
      <c r="D97" s="713" t="n"/>
      <c r="E97" s="713" t="n"/>
      <c r="F97" s="672" t="n"/>
      <c r="H97" s="714" t="n"/>
      <c r="I97" s="713" t="n"/>
      <c r="J97" s="713" t="n"/>
      <c r="K97" s="713" t="n"/>
      <c r="L97" s="713" t="n"/>
      <c r="M97" s="713" t="n"/>
      <c r="N97" s="713" t="n"/>
      <c r="O97" s="715" t="n"/>
    </row>
    <row r="98">
      <c r="A98" s="34" t="inlineStr">
        <is>
          <t>Action not assigned</t>
        </is>
      </c>
      <c r="B98" s="34" t="inlineStr">
        <is>
          <t>Action assigned</t>
        </is>
      </c>
      <c r="C98" s="35" t="inlineStr">
        <is>
          <t>Action started</t>
        </is>
      </c>
      <c r="D98" s="35" t="inlineStr">
        <is>
          <t>Action in progress</t>
        </is>
      </c>
      <c r="E98" s="165" t="inlineStr">
        <is>
          <t>Action completed</t>
        </is>
      </c>
      <c r="F98" s="716" t="n"/>
      <c r="G98" s="639" t="n"/>
    </row>
    <row r="99">
      <c r="A99" s="639" t="n"/>
      <c r="C99" s="639" t="n"/>
      <c r="D99" s="639" t="n"/>
      <c r="E99" s="639" t="n"/>
      <c r="F99" s="639" t="n"/>
      <c r="G99" s="639" t="n"/>
    </row>
    <row r="100">
      <c r="C100" s="639" t="n"/>
      <c r="D100" s="639" t="n"/>
      <c r="E100" s="639" t="n"/>
      <c r="F100" s="639" t="n"/>
      <c r="G100" s="639" t="n"/>
      <c r="H100" s="639" t="n"/>
    </row>
  </sheetData>
  <mergeCells count="162">
    <mergeCell ref="E92:E93"/>
    <mergeCell ref="K88:K89"/>
    <mergeCell ref="E8:E9"/>
    <mergeCell ref="A84:F84"/>
    <mergeCell ref="M88:M89"/>
    <mergeCell ref="G8:G9"/>
    <mergeCell ref="E88:E89"/>
    <mergeCell ref="B86:B87"/>
    <mergeCell ref="D86:D87"/>
    <mergeCell ref="C94:C95"/>
    <mergeCell ref="F86:F87"/>
    <mergeCell ref="A16:A17"/>
    <mergeCell ref="C10:C11"/>
    <mergeCell ref="C16:C17"/>
    <mergeCell ref="E10:E11"/>
    <mergeCell ref="B14:B15"/>
    <mergeCell ref="G10:G11"/>
    <mergeCell ref="M90:M91"/>
    <mergeCell ref="F18:F19"/>
    <mergeCell ref="F26:F27"/>
    <mergeCell ref="H88:H89"/>
    <mergeCell ref="F94:F95"/>
    <mergeCell ref="K90:K91"/>
    <mergeCell ref="A46:E46"/>
    <mergeCell ref="H94:H95"/>
    <mergeCell ref="D16:D17"/>
    <mergeCell ref="B6:B7"/>
    <mergeCell ref="G18:G19"/>
    <mergeCell ref="H90:H91"/>
    <mergeCell ref="A22:A23"/>
    <mergeCell ref="D18:D19"/>
    <mergeCell ref="J94:J95"/>
    <mergeCell ref="L94:L95"/>
    <mergeCell ref="D8:D9"/>
    <mergeCell ref="L96:L97"/>
    <mergeCell ref="A20:A21"/>
    <mergeCell ref="N90:N91"/>
    <mergeCell ref="C86:C87"/>
    <mergeCell ref="G22:G23"/>
    <mergeCell ref="H92:H93"/>
    <mergeCell ref="D10:D11"/>
    <mergeCell ref="M96:M97"/>
    <mergeCell ref="J88:J89"/>
    <mergeCell ref="I86:I87"/>
    <mergeCell ref="C6:C7"/>
    <mergeCell ref="B26:B27"/>
    <mergeCell ref="F16:F17"/>
    <mergeCell ref="C14:C15"/>
    <mergeCell ref="E14:E15"/>
    <mergeCell ref="A48:B48"/>
    <mergeCell ref="K92:K93"/>
    <mergeCell ref="A88:A89"/>
    <mergeCell ref="B90:B91"/>
    <mergeCell ref="K94:K95"/>
    <mergeCell ref="F20:F21"/>
    <mergeCell ref="M94:M95"/>
    <mergeCell ref="O92:O93"/>
    <mergeCell ref="A90:A91"/>
    <mergeCell ref="N92:N93"/>
    <mergeCell ref="A26:A27"/>
    <mergeCell ref="F22:F23"/>
    <mergeCell ref="I96:I97"/>
    <mergeCell ref="A8:A9"/>
    <mergeCell ref="C8:C9"/>
    <mergeCell ref="F96:F97"/>
    <mergeCell ref="H96:H97"/>
    <mergeCell ref="L86:L87"/>
    <mergeCell ref="A10:A11"/>
    <mergeCell ref="N86:N87"/>
    <mergeCell ref="B92:B93"/>
    <mergeCell ref="E26:E27"/>
    <mergeCell ref="G26:G27"/>
    <mergeCell ref="D88:D89"/>
    <mergeCell ref="D26:D27"/>
    <mergeCell ref="A92:A93"/>
    <mergeCell ref="F88:F89"/>
    <mergeCell ref="B94:B95"/>
    <mergeCell ref="D94:D95"/>
    <mergeCell ref="M92:M93"/>
    <mergeCell ref="A49:A50"/>
    <mergeCell ref="O86:O87"/>
    <mergeCell ref="B16:B17"/>
    <mergeCell ref="J92:J93"/>
    <mergeCell ref="N94:N95"/>
    <mergeCell ref="C18:C19"/>
    <mergeCell ref="F10:F11"/>
    <mergeCell ref="D90:D91"/>
    <mergeCell ref="F24:F25"/>
    <mergeCell ref="A94:A95"/>
    <mergeCell ref="B18:B19"/>
    <mergeCell ref="C20:C21"/>
    <mergeCell ref="E20:E21"/>
    <mergeCell ref="B8:B9"/>
    <mergeCell ref="A6:A7"/>
    <mergeCell ref="C22:C23"/>
    <mergeCell ref="N96:N97"/>
    <mergeCell ref="F8:F9"/>
    <mergeCell ref="N88:N89"/>
    <mergeCell ref="E94:E95"/>
    <mergeCell ref="K96:K97"/>
    <mergeCell ref="G6:G7"/>
    <mergeCell ref="E86:E87"/>
    <mergeCell ref="G24:G25"/>
    <mergeCell ref="A3:B3"/>
    <mergeCell ref="A14:A15"/>
    <mergeCell ref="D92:D93"/>
    <mergeCell ref="I88:I89"/>
    <mergeCell ref="F92:F93"/>
    <mergeCell ref="J90:J91"/>
    <mergeCell ref="H86:H87"/>
    <mergeCell ref="L90:L91"/>
    <mergeCell ref="B20:B21"/>
    <mergeCell ref="E16:E17"/>
    <mergeCell ref="I94:I95"/>
    <mergeCell ref="D20:D21"/>
    <mergeCell ref="G16:G17"/>
    <mergeCell ref="D14:D15"/>
    <mergeCell ref="F14:F15"/>
    <mergeCell ref="I90:I91"/>
    <mergeCell ref="B22:B23"/>
    <mergeCell ref="E18:E19"/>
    <mergeCell ref="O90:O91"/>
    <mergeCell ref="D6:D7"/>
    <mergeCell ref="E96:E97"/>
    <mergeCell ref="F6:F7"/>
    <mergeCell ref="A24:A25"/>
    <mergeCell ref="B96:B97"/>
    <mergeCell ref="D96:D97"/>
    <mergeCell ref="E98:F98"/>
    <mergeCell ref="J86:J87"/>
    <mergeCell ref="C88:C89"/>
    <mergeCell ref="C92:C93"/>
    <mergeCell ref="C26:C27"/>
    <mergeCell ref="O88:O89"/>
    <mergeCell ref="L92:L93"/>
    <mergeCell ref="B88:B89"/>
    <mergeCell ref="C90:C91"/>
    <mergeCell ref="A86:A87"/>
    <mergeCell ref="L88:L89"/>
    <mergeCell ref="E90:E91"/>
    <mergeCell ref="I92:I93"/>
    <mergeCell ref="K86:K87"/>
    <mergeCell ref="E6:E7"/>
    <mergeCell ref="M86:M87"/>
    <mergeCell ref="B10:B11"/>
    <mergeCell ref="A18:A19"/>
    <mergeCell ref="G20:G21"/>
    <mergeCell ref="B24:B25"/>
    <mergeCell ref="D24:D25"/>
    <mergeCell ref="G14:G15"/>
    <mergeCell ref="F90:F91"/>
    <mergeCell ref="A96:A97"/>
    <mergeCell ref="H84:O84"/>
    <mergeCell ref="C96:C97"/>
    <mergeCell ref="O94:O95"/>
    <mergeCell ref="B49:F49"/>
    <mergeCell ref="J96:J97"/>
    <mergeCell ref="O96:O97"/>
    <mergeCell ref="E22:E23"/>
    <mergeCell ref="C24:C25"/>
    <mergeCell ref="E24:E25"/>
    <mergeCell ref="D22:D23"/>
  </mergeCells>
  <conditionalFormatting sqref="A86:A97">
    <cfRule type="containsBlanks" priority="30" dxfId="3">
      <formula>LEN(TRIM(A86))=0</formula>
    </cfRule>
  </conditionalFormatting>
  <conditionalFormatting sqref="A51:F51 A54:F54 A57:F57 A60:F60 A63:F63 A66:F66 B52:F52 B55:F55 B58:F58 B61:F61 B64:F64 B67:F67">
    <cfRule type="containsBlanks" priority="29" dxfId="3">
      <formula>LEN(TRIM(A51))=0</formula>
    </cfRule>
  </conditionalFormatting>
  <conditionalFormatting sqref="A6:G6 A8:G8">
    <cfRule type="containsBlanks" priority="19" dxfId="3">
      <formula>LEN(TRIM(A6))=0</formula>
    </cfRule>
  </conditionalFormatting>
  <conditionalFormatting sqref="A10:G10">
    <cfRule type="containsBlanks" priority="18" dxfId="3">
      <formula>LEN(TRIM(A10))=0</formula>
    </cfRule>
  </conditionalFormatting>
  <conditionalFormatting sqref="A14:G14 A16:G16 A18:G18 A20:G20 A24:G24 A26:G26">
    <cfRule type="containsBlanks" priority="17" dxfId="3">
      <formula>LEN(TRIM(A14))=0</formula>
    </cfRule>
  </conditionalFormatting>
  <conditionalFormatting sqref="A22:G22">
    <cfRule type="containsBlanks" priority="7" dxfId="3">
      <formula>LEN(TRIM(A22))=0</formula>
    </cfRule>
  </conditionalFormatting>
  <conditionalFormatting sqref="B86:E86 B88:E88 B90:E90 B92:E92 B94:E94 B96:E96">
    <cfRule type="containsBlanks" priority="32" dxfId="3">
      <formula>LEN(TRIM(B86))=0</formula>
    </cfRule>
  </conditionalFormatting>
  <conditionalFormatting sqref="D1">
    <cfRule type="containsBlanks" priority="25" dxfId="3">
      <formula>LEN(TRIM(D1))=0</formula>
    </cfRule>
  </conditionalFormatting>
  <conditionalFormatting sqref="F1">
    <cfRule type="containsBlanks" priority="6" dxfId="3">
      <formula>LEN(TRIM(F1))=0</formula>
    </cfRule>
  </conditionalFormatting>
  <conditionalFormatting sqref="F86 F88 F90 F92 F94 F96">
    <cfRule type="expression" priority="34" dxfId="19">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priority="28" dxfId="3">
      <formula>LEN(TRIM(H86))=0</formula>
    </cfRule>
  </conditionalFormatting>
  <conditionalFormatting sqref="I86:O86 I88:O88 I90:O90 I92:O92 I94:O94 I96:O96">
    <cfRule type="containsBlanks" priority="31" dxfId="3">
      <formula>LEN(TRIM(I86))=0</formula>
    </cfRule>
  </conditionalFormatting>
  <conditionalFormatting sqref="I7:T7 I9:T9 I11:T11">
    <cfRule type="containsBlanks" priority="20" dxfId="3">
      <formula>LEN(TRIM(I7))=0</formula>
    </cfRule>
    <cfRule type="expression" priority="21" dxfId="0">
      <formula>AND(OR($F6="Lower the better", $F6="Lower the Better"), I7&gt;I6)</formula>
    </cfRule>
    <cfRule type="expression" priority="22" dxfId="1">
      <formula>AND(OR($F6="Lower the better", $F6="Lower the Better"), I7&lt;=I6)</formula>
    </cfRule>
    <cfRule type="expression" priority="23" dxfId="0">
      <formula>AND(OR($F6="Higher the better", $F6="Higher the Better"), I7&lt;I6)</formula>
    </cfRule>
    <cfRule type="expression" priority="24" dxfId="1" stopIfTrue="1">
      <formula>AND(OR($F6="Higher the better", $F6="Higher the Better"), I7&gt;=I6)</formula>
    </cfRule>
  </conditionalFormatting>
  <conditionalFormatting sqref="I15:T15 I17:T17 I19:T19 I21:T21 I25:T25 I27:T27">
    <cfRule type="containsBlanks" priority="8" dxfId="3">
      <formula>LEN(TRIM(I15))=0</formula>
    </cfRule>
  </conditionalFormatting>
  <conditionalFormatting sqref="I15:T15">
    <cfRule type="expression" priority="15" dxfId="0">
      <formula>AND(OR($F14="Higher the better", $F14="Higher the Better"), I15&lt;I14)</formula>
    </cfRule>
    <cfRule type="expression" priority="14" dxfId="1">
      <formula>AND(OR($F14="Lower the better", $F14="Lower the Better"), I15&lt;=I14)</formula>
    </cfRule>
    <cfRule type="expression" priority="13" dxfId="0">
      <formula>AND(OR($F14="Lower the better", $F14="Lower the Better"), I15&gt;I14)</formula>
    </cfRule>
    <cfRule type="expression" priority="16" dxfId="1" stopIfTrue="1">
      <formula>AND(OR($F14="Higher the better", $F14="Higher the Better"), I15&gt;=I14)</formula>
    </cfRule>
  </conditionalFormatting>
  <conditionalFormatting sqref="I17:T17 I19:T19 I21:T21 I25:T25 I27:T27">
    <cfRule type="expression" priority="9" dxfId="0">
      <formula>AND(OR($F16="Lower the better", $F16="Lower the Better"), I17&gt;I16)</formula>
    </cfRule>
    <cfRule type="expression" priority="10" dxfId="1">
      <formula>AND(OR($F16="Lower the better", $F16="Lower the Better"), I17&lt;=I16)</formula>
    </cfRule>
    <cfRule type="expression" priority="11" dxfId="0">
      <formula>AND(OR($F16="Higher the better", $F16="Higher the Better"), I17&lt;I16)</formula>
    </cfRule>
    <cfRule type="expression" priority="12" dxfId="1" stopIfTrue="1">
      <formula>AND(OR($F16="Higher the better", $F16="Higher the Better"), I17&gt;=I16)</formula>
    </cfRule>
  </conditionalFormatting>
  <conditionalFormatting sqref="I23:T23">
    <cfRule type="expression" priority="2" dxfId="0">
      <formula>AND(OR($F22="Lower the better", $F22="Lower the Better"), I23&gt;I22)</formula>
    </cfRule>
    <cfRule type="expression" priority="3" dxfId="1">
      <formula>AND(OR($F22="Lower the better", $F22="Lower the Better"), I23&lt;=I22)</formula>
    </cfRule>
    <cfRule type="expression" priority="4" dxfId="0">
      <formula>AND(OR($F22="Higher the better", $F22="Higher the Better"), I23&lt;I22)</formula>
    </cfRule>
    <cfRule type="expression" priority="5" dxfId="1" stopIfTrue="1">
      <formula>AND(OR($F22="Higher the better", $F22="Higher the Better"), I23&gt;=I22)</formula>
    </cfRule>
    <cfRule type="containsBlanks" priority="1" dxfId="3">
      <formula>LEN(TRIM(I23))=0</formula>
    </cfRule>
  </conditionalFormatting>
  <conditionalFormatting sqref="M86:M97">
    <cfRule type="containsText" priority="26" operator="containsText" dxfId="6" text="No">
      <formula>NOT(ISERROR(SEARCH("No",M86)))</formula>
    </cfRule>
    <cfRule type="containsText" priority="27" operator="containsText" dxfId="5" text="Yes">
      <formula>NOT(ISERROR(SEARCH("Yes",M86)))</formula>
    </cfRule>
  </conditionalFormatting>
  <dataValidations count="7">
    <dataValidation sqref="F86:G86 F88:G88 F90:G90 F92:G92 F94:G94 F96:G96" showDropDown="0" showInputMessage="1" showErrorMessage="1" allowBlank="1" type="list">
      <formula1>"1,2,3,4,5"</formula1>
    </dataValidation>
    <dataValidation sqref="F6:F11 F14:F27" showDropDown="0" showInputMessage="1" showErrorMessage="1" allowBlank="1" type="list">
      <formula1>"Higher the better, Lower the better"</formula1>
    </dataValidation>
    <dataValidation sqref="G6:G11 G14:G27" showDropDown="0" showInputMessage="1" showErrorMessage="1" allowBlank="1" type="list">
      <formula1>"Monthly, Quarterly, Half yearly"</formula1>
    </dataValidation>
    <dataValidation sqref="C6:C11 C14:C27" showDropDown="0" showInputMessage="1" showErrorMessage="1" allowBlank="1" type="list">
      <formula1>"&gt;, &lt;, &gt;=, &lt;=, ="</formula1>
    </dataValidation>
    <dataValidation sqref="M86 M88 M90 M92 M94 M96" showDropDown="0" showInputMessage="1" showErrorMessage="1" allowBlank="1" type="list">
      <formula1>"Yes, No"</formula1>
    </dataValidation>
    <dataValidation sqref="B1:B2" showDropDown="0" showInputMessage="1" showErrorMessage="1" allowBlank="1" type="list">
      <formula1>"Jan-2026, Feb-2026, Mar-2026, Apr-2026, May-2026, Jun-2026, Jul-2026, Aug-2026, Sep-2026, Oct-2026, Nov-2026, Dec-2026"</formula1>
    </dataValidation>
    <dataValidation sqref="E6:E11 E14:E27" showDropDown="0" showInputMessage="1" showErrorMessage="1" allowBlank="1" type="list">
      <formula1>"%, Mn, No., "</formula1>
    </dataValidation>
  </dataValidations>
  <pageMargins left="0.7" right="0.7" top="0.75" bottom="0.75" header="0.3" footer="0.3"/>
  <pageSetup orientation="portrait"/>
  <drawing xmlns:r="http://schemas.openxmlformats.org/officeDocument/2006/relationships" r:id="rId1"/>
</worksheet>
</file>

<file path=xl/worksheets/sheet15.xml><?xml version="1.0" encoding="utf-8"?>
<worksheet xmlns="http://schemas.openxmlformats.org/spreadsheetml/2006/main">
  <sheetPr codeName="Sheet14">
    <outlinePr summaryBelow="1" summaryRight="1"/>
    <pageSetUpPr/>
  </sheetPr>
  <dimension ref="A1:AI98"/>
  <sheetViews>
    <sheetView zoomScale="80" zoomScaleNormal="80" workbookViewId="0">
      <selection activeCell="D97" sqref="D97"/>
    </sheetView>
  </sheetViews>
  <sheetFormatPr baseColWidth="8" defaultRowHeight="14.45"/>
  <cols>
    <col width="21" customWidth="1" min="1" max="1"/>
    <col width="18.42578125" customWidth="1" style="639" min="2" max="2"/>
    <col width="20.42578125" customWidth="1" min="3" max="3"/>
    <col width="19.5703125" customWidth="1" min="4" max="4"/>
    <col width="20.5703125" customWidth="1" min="5" max="6"/>
    <col width="12" customWidth="1" min="7" max="7"/>
    <col width="14.5703125" customWidth="1" min="8" max="8"/>
    <col width="15.42578125" customWidth="1" min="9" max="9"/>
    <col width="16.42578125" customWidth="1" min="10" max="10"/>
    <col width="17" customWidth="1" min="11" max="11"/>
    <col width="16.5703125" customWidth="1" min="12" max="12"/>
    <col width="15.5703125" customWidth="1" min="13" max="13"/>
    <col width="16" customWidth="1" min="14" max="14"/>
    <col width="17" customWidth="1" min="15" max="15"/>
    <col width="17.5703125" customWidth="1" min="16" max="16"/>
    <col width="14.5703125" customWidth="1" min="17" max="17"/>
    <col width="14.42578125" customWidth="1" min="18" max="18"/>
    <col width="14.5703125" customWidth="1" min="19" max="19"/>
    <col width="14.42578125" customWidth="1" min="20" max="20"/>
    <col width="13.5703125" customWidth="1" min="21" max="21"/>
    <col width="17.42578125" customWidth="1" min="22" max="22"/>
    <col hidden="1" width="11.42578125" customWidth="1" min="23" max="23"/>
    <col hidden="1" width="8.5703125" customWidth="1" min="24" max="24"/>
    <col hidden="1" width="14.42578125" customWidth="1" min="25" max="25"/>
    <col hidden="1" width="8.5703125" customWidth="1" min="26" max="35"/>
    <col width="8.5703125" customWidth="1" min="36" max="49"/>
  </cols>
  <sheetData>
    <row r="1" ht="19.35" customHeight="1">
      <c r="A1" s="12" t="inlineStr">
        <is>
          <t>Month</t>
        </is>
      </c>
      <c r="B1" s="666" t="n">
        <v>46023</v>
      </c>
      <c r="C1" s="12" t="inlineStr">
        <is>
          <t xml:space="preserve">MT Owner: </t>
        </is>
      </c>
      <c r="D1" s="12" t="inlineStr">
        <is>
          <t>Chetan L</t>
        </is>
      </c>
      <c r="E1" s="12" t="inlineStr">
        <is>
          <t>MT Delegate:</t>
        </is>
      </c>
      <c r="F1" s="39" t="n"/>
      <c r="W1" t="inlineStr">
        <is>
          <t>Actual green</t>
        </is>
      </c>
      <c r="X1">
        <f>IF(I15&lt;&gt;"",IF($F14="Higher the better",IF(I15&gt;=I14,I15,NA()),IF(I15&lt;=I14,I15,NA())),NA())</f>
        <v/>
      </c>
      <c r="Y1">
        <f>IF(J15&lt;&gt;"",IF($F14="Higher the better",IF(J15&gt;=J14,J15,NA()),IF(J15&lt;=J14,J15,NA())),NA())</f>
        <v/>
      </c>
      <c r="Z1">
        <f>IF(K15&lt;&gt;"",IF($F14="Higher the better",IF(K15&gt;=K14,K15,NA()),IF(K15&lt;=K14,K15,NA())),NA())</f>
        <v/>
      </c>
      <c r="AA1">
        <f>IF(L15&lt;&gt;"",IF($F14="Higher the better",IF(L15&gt;=L14,L15,NA()),IF(L15&lt;=L14,L15,NA())),NA())</f>
        <v/>
      </c>
      <c r="AB1">
        <f>IF(M15&lt;&gt;"",IF($F14="Higher the better",IF(M15&gt;=M14,M15,NA()),IF(M15&lt;=M14,M15,NA())),NA())</f>
        <v/>
      </c>
      <c r="AC1">
        <f>IF(N15&lt;&gt;"",IF($F14="Higher the better",IF(N15&gt;=N14,N15,NA()),IF(N15&lt;=N14,N15,NA())),NA())</f>
        <v/>
      </c>
      <c r="AD1">
        <f>IF(O15&lt;&gt;"",IF($F14="Higher the better",IF(O15&gt;=O14,O15,NA()),IF(O15&lt;=O14,O15,NA())),NA())</f>
        <v/>
      </c>
      <c r="AE1">
        <f>IF(P15&lt;&gt;"",IF($F14="Higher the better",IF(P15&gt;=P14,P15,NA()),IF(P15&lt;=P14,P15,NA())),NA())</f>
        <v/>
      </c>
      <c r="AF1">
        <f>IF(Q15&lt;&gt;"",IF($F14="Higher the better",IF(Q15&gt;=Q14,Q15,NA()),IF(Q15&lt;=Q14,Q15,NA())),NA())</f>
        <v/>
      </c>
      <c r="AG1">
        <f>IF(R15&lt;&gt;"",IF($F14="Higher the better",IF(R15&gt;=R14,R15,NA()),IF(R15&lt;=R14,R15,NA())),NA())</f>
        <v/>
      </c>
      <c r="AH1">
        <f>IF(S15&lt;&gt;"",IF($F14="Higher the better",IF(S15&gt;=S14,S15,NA()),IF(S15&lt;=S14,S15,NA())),NA())</f>
        <v/>
      </c>
      <c r="AI1">
        <f>IF(T15&lt;&gt;"",IF($F14="Higher the better",IF(T15&gt;=T14,T15,NA()),IF(T15&lt;=T14,T15,NA())),NA())</f>
        <v/>
      </c>
    </row>
    <row r="2" ht="19.35" customHeight="1">
      <c r="A2" s="13" t="n"/>
      <c r="B2" s="683" t="n"/>
      <c r="D2" s="13" t="n"/>
      <c r="E2" s="13" t="n"/>
      <c r="W2" t="inlineStr">
        <is>
          <t>Actual red</t>
        </is>
      </c>
      <c r="X2">
        <f>IF(I15&lt;&gt;"",IF($F14="Higher the better",IF(I15&lt;I14,I15,NA()),IF(I15&gt;I14,I15,NA())),NA())</f>
        <v/>
      </c>
      <c r="Y2">
        <f>IF(J15&lt;&gt;"",IF($F14="Higher the better",IF(J15&lt;J14,J15,NA()),IF(J15&gt;J14,J15,NA())),NA())</f>
        <v/>
      </c>
      <c r="Z2">
        <f>IF(K15&lt;&gt;"",IF($F14="Higher the better",IF(K15&lt;K14,K15,NA()),IF(K15&gt;K14,K15,NA())),NA())</f>
        <v/>
      </c>
      <c r="AA2">
        <f>IF(L15&lt;&gt;"",IF($F14="Higher the better",IF(L15&lt;L14,L15,NA()),IF(L15&gt;L14,L15,NA())),NA())</f>
        <v/>
      </c>
      <c r="AB2">
        <f>IF(M15&lt;&gt;"",IF($F14="Higher the better",IF(M15&lt;M14,M15,NA()),IF(M15&gt;M14,M15,NA())),NA())</f>
        <v/>
      </c>
      <c r="AC2">
        <f>IF(N15&lt;&gt;"",IF($F14="Higher the better",IF(N15&lt;N14,N15,NA()),IF(N15&gt;N14,N15,NA())),NA())</f>
        <v/>
      </c>
      <c r="AD2">
        <f>IF(O15&lt;&gt;"",IF($F14="Higher the better",IF(O15&lt;O14,O15,NA()),IF(O15&gt;O14,O15,NA())),NA())</f>
        <v/>
      </c>
      <c r="AE2">
        <f>IF(P15&lt;&gt;"",IF($F14="Higher the better",IF(P15&lt;P14,P15,NA()),IF(P15&gt;P14,P15,NA())),NA())</f>
        <v/>
      </c>
      <c r="AF2">
        <f>IF(Q15&lt;&gt;"",IF($F14="Higher the better",IF(Q15&lt;Q14,Q15,NA()),IF(Q15&gt;Q14,Q15,NA())),NA())</f>
        <v/>
      </c>
      <c r="AG2">
        <f>IF(R15&lt;&gt;"",IF($F14="Higher the better",IF(R15&lt;R14,R15,NA()),IF(R15&gt;R14,R15,NA())),NA())</f>
        <v/>
      </c>
      <c r="AH2">
        <f>IF(S15&lt;&gt;"",IF($F14="Higher the better",IF(S15&lt;S14,S15,NA()),IF(S15&gt;S14,S15,NA())),NA())</f>
        <v/>
      </c>
      <c r="AI2">
        <f>IF(T15&lt;&gt;"",IF($F14="Higher the better",IF(T15&lt;T14,T15,NA()),IF(T15&gt;T14,T15,NA())),NA())</f>
        <v/>
      </c>
    </row>
    <row r="3" ht="20.1" customHeight="1">
      <c r="A3" s="449" t="inlineStr">
        <is>
          <t>Finance DMB</t>
        </is>
      </c>
      <c r="W3" t="inlineStr">
        <is>
          <t>Actual green</t>
        </is>
      </c>
      <c r="X3">
        <f>IF(I17&lt;&gt;"",IF($F16="Higher the better",IF(I17&gt;=I16,I17,NA()),IF(I17&lt;=I16,I17,NA())),NA())</f>
        <v/>
      </c>
      <c r="Y3">
        <f>IF(J17&lt;&gt;"",IF($F16="Higher the better",IF(J17&gt;=J16,J17,NA()),IF(J17&lt;=J16,J17,NA())),NA())</f>
        <v/>
      </c>
      <c r="Z3">
        <f>IF(K17&lt;&gt;"",IF($F16="Higher the better",IF(K17&gt;=K16,K17,NA()),IF(K17&lt;=K16,K17,NA())),NA())</f>
        <v/>
      </c>
      <c r="AA3">
        <f>IF(L17&lt;&gt;"",IF($F16="Higher the better",IF(L17&gt;=L16,L17,NA()),IF(L17&lt;=L16,L17,NA())),NA())</f>
        <v/>
      </c>
      <c r="AB3">
        <f>IF(M17&lt;&gt;"",IF($F16="Higher the better",IF(M17&gt;=M16,M17,NA()),IF(M17&lt;=M16,M17,NA())),NA())</f>
        <v/>
      </c>
      <c r="AC3">
        <f>IF(N17&lt;&gt;"",IF($F16="Higher the better",IF(N17&gt;=N16,N17,NA()),IF(N17&lt;=N16,N17,NA())),NA())</f>
        <v/>
      </c>
      <c r="AD3">
        <f>IF(O17&lt;&gt;"",IF($F16="Higher the better",IF(O17&gt;=O16,O17,NA()),IF(O17&lt;=O16,O17,NA())),NA())</f>
        <v/>
      </c>
      <c r="AE3">
        <f>IF(P17&lt;&gt;"",IF($F16="Higher the better",IF(P17&gt;=P16,P17,NA()),IF(P17&lt;=P16,P17,NA())),NA())</f>
        <v/>
      </c>
      <c r="AF3">
        <f>IF(Q17&lt;&gt;"",IF($F16="Higher the better",IF(Q17&gt;=Q16,Q17,NA()),IF(Q17&lt;=Q16,Q17,NA())),NA())</f>
        <v/>
      </c>
      <c r="AG3">
        <f>IF(R17&lt;&gt;"",IF($F16="Higher the better",IF(R17&gt;=R16,R17,NA()),IF(R17&lt;=R16,R17,NA())),NA())</f>
        <v/>
      </c>
      <c r="AH3">
        <f>IF(S17&lt;&gt;"",IF($F16="Higher the better",IF(S17&gt;=S16,S17,NA()),IF(S17&lt;=S16,S17,NA())),NA())</f>
        <v/>
      </c>
      <c r="AI3">
        <f>IF(T17&lt;&gt;"",IF($F16="Higher the better",IF(T17&gt;=T16,T17,NA()),IF(T17&lt;=T16,T17,NA())),NA())</f>
        <v/>
      </c>
    </row>
    <row r="4" ht="18.6" customHeight="1">
      <c r="A4" s="11" t="inlineStr">
        <is>
          <t>Mandatory Outcome KPI's (1-3)</t>
        </is>
      </c>
      <c r="B4" s="11" t="n"/>
      <c r="W4" t="inlineStr">
        <is>
          <t>Actual red</t>
        </is>
      </c>
      <c r="X4">
        <f>IF(I17&lt;&gt;"",IF($F16="Higher the better",IF(I17&lt;I16,I17,NA()),IF(I17&gt;I16,I17,NA())),NA())</f>
        <v/>
      </c>
      <c r="Y4">
        <f>IF(J17&lt;&gt;"",IF($F16="Higher the better",IF(J17&lt;J16,J17,NA()),IF(J17&gt;J16,J17,NA())),NA())</f>
        <v/>
      </c>
      <c r="Z4">
        <f>IF(K17&lt;&gt;"",IF($F16="Higher the better",IF(K17&lt;K16,K17,NA()),IF(K17&gt;K16,K17,NA())),NA())</f>
        <v/>
      </c>
      <c r="AA4">
        <f>IF(L17&lt;&gt;"",IF($F16="Higher the better",IF(L17&lt;L16,L17,NA()),IF(L17&gt;L16,L17,NA())),NA())</f>
        <v/>
      </c>
      <c r="AB4">
        <f>IF(M17&lt;&gt;"",IF($F16="Higher the better",IF(M17&lt;M16,M17,NA()),IF(M17&gt;M16,M17,NA())),NA())</f>
        <v/>
      </c>
      <c r="AC4">
        <f>IF(N17&lt;&gt;"",IF($F16="Higher the better",IF(N17&lt;N16,N17,NA()),IF(N17&gt;N16,N17,NA())),NA())</f>
        <v/>
      </c>
      <c r="AD4">
        <f>IF(O17&lt;&gt;"",IF($F16="Higher the better",IF(O17&lt;O16,O17,NA()),IF(O17&gt;O16,O17,NA())),NA())</f>
        <v/>
      </c>
      <c r="AE4">
        <f>IF(P17&lt;&gt;"",IF($F16="Higher the better",IF(P17&lt;P16,P17,NA()),IF(P17&gt;P16,P17,NA())),NA())</f>
        <v/>
      </c>
      <c r="AF4">
        <f>IF(Q17&lt;&gt;"",IF($F16="Higher the better",IF(Q17&lt;Q16,Q17,NA()),IF(Q17&gt;Q16,Q17,NA())),NA())</f>
        <v/>
      </c>
      <c r="AG4">
        <f>IF(R17&lt;&gt;"",IF($F16="Higher the better",IF(R17&lt;R16,R17,NA()),IF(R17&gt;R16,R17,NA())),NA())</f>
        <v/>
      </c>
      <c r="AH4">
        <f>IF(S17&lt;&gt;"",IF($F16="Higher the better",IF(S17&lt;S16,S17,NA()),IF(S17&gt;S16,S17,NA())),NA())</f>
        <v/>
      </c>
      <c r="AI4">
        <f>IF(T17&lt;&gt;"",IF($F16="Higher the better",IF(T17&lt;T16,T17,NA()),IF(T17&gt;T16,T17,NA())),NA())</f>
        <v/>
      </c>
    </row>
    <row r="5" ht="29.1"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t="inlineStr">
        <is>
          <t>Actual green</t>
        </is>
      </c>
      <c r="X5">
        <f>IF(I19&lt;&gt;"",IF($F18="Higher the better",IF(I19&gt;=I18,I19,NA()),IF(I19&lt;=I18,I19,NA())),NA())</f>
        <v/>
      </c>
      <c r="Y5">
        <f>IF(J19&lt;&gt;"",IF($F18="Higher the better",IF(J19&gt;=J18,J19,NA()),IF(J19&lt;=J18,J19,NA())),NA())</f>
        <v/>
      </c>
      <c r="Z5">
        <f>IF(K19&lt;&gt;"",IF($F18="Higher the better",IF(K19&gt;=K18,K19,NA()),IF(K19&lt;=K18,K19,NA())),NA())</f>
        <v/>
      </c>
      <c r="AA5">
        <f>IF(L19&lt;&gt;"",IF($F18="Higher the better",IF(L19&gt;=L18,L19,NA()),IF(L19&lt;=L18,L19,NA())),NA())</f>
        <v/>
      </c>
      <c r="AB5">
        <f>IF(M19&lt;&gt;"",IF($F18="Higher the better",IF(M19&gt;=M18,M19,NA()),IF(M19&lt;=M18,M19,NA())),NA())</f>
        <v/>
      </c>
      <c r="AC5">
        <f>IF(N19&lt;&gt;"",IF($F18="Higher the better",IF(N19&gt;=N18,N19,NA()),IF(N19&lt;=N18,N19,NA())),NA())</f>
        <v/>
      </c>
      <c r="AD5">
        <f>IF(O19&lt;&gt;"",IF($F18="Higher the better",IF(O19&gt;=O18,O19,NA()),IF(O19&lt;=O18,O19,NA())),NA())</f>
        <v/>
      </c>
      <c r="AE5">
        <f>IF(P19&lt;&gt;"",IF($F18="Higher the better",IF(P19&gt;=P18,P19,NA()),IF(P19&lt;=P18,P19,NA())),NA())</f>
        <v/>
      </c>
      <c r="AF5">
        <f>IF(Q19&lt;&gt;"",IF($F18="Higher the better",IF(Q19&gt;=Q18,Q19,NA()),IF(Q19&lt;=Q18,Q19,NA())),NA())</f>
        <v/>
      </c>
      <c r="AG5">
        <f>IF(R19&lt;&gt;"",IF($F18="Higher the better",IF(R19&gt;=R18,R19,NA()),IF(R19&lt;=R18,R19,NA())),NA())</f>
        <v/>
      </c>
      <c r="AH5">
        <f>IF(S19&lt;&gt;"",IF($F18="Higher the better",IF(S19&gt;=S18,S19,NA()),IF(S19&lt;=S18,S19,NA())),NA())</f>
        <v/>
      </c>
      <c r="AI5">
        <f>IF(T19&lt;&gt;"",IF($F18="Higher the better",IF(T19&gt;=T18,T19,NA()),IF(T19&lt;=T18,T19,NA())),NA())</f>
        <v/>
      </c>
    </row>
    <row r="6">
      <c r="A6" s="427" t="inlineStr">
        <is>
          <t>EBIT</t>
        </is>
      </c>
      <c r="B6" s="461" t="n"/>
      <c r="C6" s="230" t="n"/>
      <c r="D6" s="388" t="n"/>
      <c r="E6" s="230" t="n"/>
      <c r="F6" s="388" t="n"/>
      <c r="G6" s="230" t="n"/>
      <c r="H6" s="14" t="inlineStr">
        <is>
          <t>Target</t>
        </is>
      </c>
      <c r="I6" s="44" t="n"/>
      <c r="J6" s="44" t="n"/>
      <c r="K6" s="44" t="n"/>
      <c r="L6" s="44" t="n"/>
      <c r="M6" s="44" t="n"/>
      <c r="N6" s="44" t="n"/>
      <c r="O6" s="44" t="n"/>
      <c r="P6" s="44" t="n"/>
      <c r="Q6" s="44" t="n"/>
      <c r="R6" s="44" t="n"/>
      <c r="S6" s="44" t="n"/>
      <c r="T6" s="44" t="n"/>
      <c r="W6" t="inlineStr">
        <is>
          <t>Actual red</t>
        </is>
      </c>
      <c r="X6">
        <f>IF(I19&lt;&gt;"",IF($F18="Higher the better",IF(I19&lt;I18,I19,NA()),IF(I19&gt;I18,I19,NA())),NA())</f>
        <v/>
      </c>
      <c r="Y6">
        <f>IF(J19&lt;&gt;"",IF($F18="Higher the better",IF(J19&lt;J18,J19,NA()),IF(J19&gt;J18,J19,NA())),NA())</f>
        <v/>
      </c>
      <c r="Z6">
        <f>IF(K19&lt;&gt;"",IF($F18="Higher the better",IF(K19&lt;K18,K19,NA()),IF(K19&gt;K18,K19,NA())),NA())</f>
        <v/>
      </c>
      <c r="AA6">
        <f>IF(L19&lt;&gt;"",IF($F18="Higher the better",IF(L19&lt;L18,L19,NA()),IF(L19&gt;L18,L19,NA())),NA())</f>
        <v/>
      </c>
      <c r="AB6">
        <f>IF(M19&lt;&gt;"",IF($F18="Higher the better",IF(M19&lt;M18,M19,NA()),IF(M19&gt;M18,M19,NA())),NA())</f>
        <v/>
      </c>
      <c r="AC6">
        <f>IF(N19&lt;&gt;"",IF($F18="Higher the better",IF(N19&lt;N18,N19,NA()),IF(N19&gt;N18,N19,NA())),NA())</f>
        <v/>
      </c>
      <c r="AD6">
        <f>IF(O19&lt;&gt;"",IF($F18="Higher the better",IF(O19&lt;O18,O19,NA()),IF(O19&gt;O18,O19,NA())),NA())</f>
        <v/>
      </c>
      <c r="AE6">
        <f>IF(P19&lt;&gt;"",IF($F18="Higher the better",IF(P19&lt;P18,P19,NA()),IF(P19&gt;P18,P19,NA())),NA())</f>
        <v/>
      </c>
      <c r="AF6">
        <f>IF(Q19&lt;&gt;"",IF($F18="Higher the better",IF(Q19&lt;Q18,Q19,NA()),IF(Q19&gt;Q18,Q19,NA())),NA())</f>
        <v/>
      </c>
      <c r="AG6">
        <f>IF(R19&lt;&gt;"",IF($F18="Higher the better",IF(R19&lt;R18,R19,NA()),IF(R19&gt;R18,R19,NA())),NA())</f>
        <v/>
      </c>
      <c r="AH6">
        <f>IF(S19&lt;&gt;"",IF($F18="Higher the better",IF(S19&lt;S18,S19,NA()),IF(S19&gt;S18,S19,NA())),NA())</f>
        <v/>
      </c>
      <c r="AI6">
        <f>IF(T19&lt;&gt;"",IF($F18="Higher the better",IF(T19&lt;T18,T19,NA()),IF(T19&gt;T18,T19,NA())),NA())</f>
        <v/>
      </c>
    </row>
    <row r="7">
      <c r="A7" s="671" t="n"/>
      <c r="B7" s="671" t="n"/>
      <c r="C7" s="671" t="n"/>
      <c r="D7" s="671" t="n"/>
      <c r="E7" s="671" t="n"/>
      <c r="F7" s="671" t="n"/>
      <c r="G7" s="671" t="n"/>
      <c r="H7" s="14" t="inlineStr">
        <is>
          <t>Actual</t>
        </is>
      </c>
      <c r="I7" s="45" t="n"/>
      <c r="J7" s="45" t="n"/>
      <c r="K7" s="45" t="n"/>
      <c r="L7" s="45" t="n"/>
      <c r="M7" s="45" t="n"/>
      <c r="N7" s="45" t="n"/>
      <c r="O7" s="45" t="n"/>
      <c r="P7" s="45" t="n"/>
      <c r="Q7" s="45" t="n"/>
      <c r="R7" s="45" t="n"/>
      <c r="S7" s="45" t="n"/>
      <c r="T7" s="45" t="n"/>
      <c r="W7" t="inlineStr">
        <is>
          <t>Actual green</t>
        </is>
      </c>
      <c r="X7">
        <f>IF(I21&lt;&gt;"",IF($F20="Higher the better",IF(I21&gt;=I20,I21,NA()),IF(I21&lt;=I20,I21,NA())),NA())</f>
        <v/>
      </c>
      <c r="Y7">
        <f>IF(J21&lt;&gt;"",IF($F20="Higher the better",IF(J21&gt;=J20,J21,NA()),IF(J21&lt;=J20,J21,NA())),NA())</f>
        <v/>
      </c>
      <c r="Z7">
        <f>IF(K21&lt;&gt;"",IF($F20="Higher the better",IF(K21&gt;=K20,K21,NA()),IF(K21&lt;=K20,K21,NA())),NA())</f>
        <v/>
      </c>
      <c r="AA7">
        <f>IF(L21&lt;&gt;"",IF($F20="Higher the better",IF(L21&gt;=L20,L21,NA()),IF(L21&lt;=L20,L21,NA())),NA())</f>
        <v/>
      </c>
      <c r="AB7">
        <f>IF(M21&lt;&gt;"",IF($F20="Higher the better",IF(M21&gt;=M20,M21,NA()),IF(M21&lt;=M20,M21,NA())),NA())</f>
        <v/>
      </c>
      <c r="AC7">
        <f>IF(N21&lt;&gt;"",IF($F20="Higher the better",IF(N21&gt;=N20,N21,NA()),IF(N21&lt;=N20,N21,NA())),NA())</f>
        <v/>
      </c>
      <c r="AD7">
        <f>IF(O21&lt;&gt;"",IF($F20="Higher the better",IF(O21&gt;=O20,O21,NA()),IF(O21&lt;=O20,O21,NA())),NA())</f>
        <v/>
      </c>
      <c r="AE7">
        <f>IF(P21&lt;&gt;"",IF($F20="Higher the better",IF(P21&gt;=P20,P21,NA()),IF(P21&lt;=P20,P21,NA())),NA())</f>
        <v/>
      </c>
      <c r="AF7">
        <f>IF(Q21&lt;&gt;"",IF($F20="Higher the better",IF(Q21&gt;=Q20,Q21,NA()),IF(Q21&lt;=Q20,Q21,NA())),NA())</f>
        <v/>
      </c>
      <c r="AG7">
        <f>IF(R21&lt;&gt;"",IF($F20="Higher the better",IF(R21&gt;=R20,R21,NA()),IF(R21&lt;=R20,R21,NA())),NA())</f>
        <v/>
      </c>
      <c r="AH7">
        <f>IF(S21&lt;&gt;"",IF($F20="Higher the better",IF(S21&gt;=S20,S21,NA()),IF(S21&lt;=S20,S21,NA())),NA())</f>
        <v/>
      </c>
      <c r="AI7">
        <f>IF(T21&lt;&gt;"",IF($F20="Higher the better",IF(T21&gt;=T20,T21,NA()),IF(T21&lt;=T20,T21,NA())),NA())</f>
        <v/>
      </c>
    </row>
    <row r="8">
      <c r="A8" s="427" t="inlineStr">
        <is>
          <t>IGM</t>
        </is>
      </c>
      <c r="B8" s="427" t="n"/>
      <c r="C8" s="230" t="n"/>
      <c r="D8" s="230" t="n"/>
      <c r="E8" s="230" t="n"/>
      <c r="F8" s="388" t="n"/>
      <c r="G8" s="230" t="n"/>
      <c r="H8" s="14" t="inlineStr">
        <is>
          <t>Target</t>
        </is>
      </c>
      <c r="I8" s="44" t="n"/>
      <c r="J8" s="44" t="n"/>
      <c r="K8" s="44" t="n"/>
      <c r="L8" s="44" t="n"/>
      <c r="M8" s="44" t="n"/>
      <c r="N8" s="44" t="n"/>
      <c r="O8" s="44" t="n"/>
      <c r="P8" s="44" t="n"/>
      <c r="Q8" s="44" t="n"/>
      <c r="R8" s="44" t="n"/>
      <c r="S8" s="44" t="n"/>
      <c r="T8" s="44" t="n"/>
      <c r="W8" t="inlineStr">
        <is>
          <t>Actual red</t>
        </is>
      </c>
      <c r="X8">
        <f>IF(I21&lt;&gt;"",IF($F20="Higher the better",IF(I21&lt;I20,I21,NA()),IF(I21&gt;I20,I21,NA())),NA())</f>
        <v/>
      </c>
      <c r="Y8">
        <f>IF(J21&lt;&gt;"",IF($F20="Higher the better",IF(J21&lt;J20,J21,NA()),IF(J21&gt;J20,J21,NA())),NA())</f>
        <v/>
      </c>
      <c r="Z8">
        <f>IF(K21&lt;&gt;"",IF($F20="Higher the better",IF(K21&lt;K20,K21,NA()),IF(K21&gt;K20,K21,NA())),NA())</f>
        <v/>
      </c>
      <c r="AA8">
        <f>IF(L21&lt;&gt;"",IF($F20="Higher the better",IF(L21&lt;L20,L21,NA()),IF(L21&gt;L20,L21,NA())),NA())</f>
        <v/>
      </c>
      <c r="AB8">
        <f>IF(M21&lt;&gt;"",IF($F20="Higher the better",IF(M21&lt;M20,M21,NA()),IF(M21&gt;M20,M21,NA())),NA())</f>
        <v/>
      </c>
      <c r="AC8">
        <f>IF(N21&lt;&gt;"",IF($F20="Higher the better",IF(N21&lt;N20,N21,NA()),IF(N21&gt;N20,N21,NA())),NA())</f>
        <v/>
      </c>
      <c r="AD8">
        <f>IF(O21&lt;&gt;"",IF($F20="Higher the better",IF(O21&lt;O20,O21,NA()),IF(O21&gt;O20,O21,NA())),NA())</f>
        <v/>
      </c>
      <c r="AE8">
        <f>IF(P21&lt;&gt;"",IF($F20="Higher the better",IF(P21&lt;P20,P21,NA()),IF(P21&gt;P20,P21,NA())),NA())</f>
        <v/>
      </c>
      <c r="AF8">
        <f>IF(Q21&lt;&gt;"",IF($F20="Higher the better",IF(Q21&lt;Q20,Q21,NA()),IF(Q21&gt;Q20,Q21,NA())),NA())</f>
        <v/>
      </c>
      <c r="AG8">
        <f>IF(R21&lt;&gt;"",IF($F20="Higher the better",IF(R21&lt;R20,R21,NA()),IF(R21&gt;R20,R21,NA())),NA())</f>
        <v/>
      </c>
      <c r="AH8">
        <f>IF(S21&lt;&gt;"",IF($F20="Higher the better",IF(S21&lt;S20,S21,NA()),IF(S21&gt;S20,S21,NA())),NA())</f>
        <v/>
      </c>
      <c r="AI8">
        <f>IF(T21&lt;&gt;"",IF($F20="Higher the better",IF(T21&lt;T20,T21,NA()),IF(T21&gt;T20,T21,NA())),NA())</f>
        <v/>
      </c>
    </row>
    <row r="9">
      <c r="A9" s="671" t="n"/>
      <c r="B9" s="671" t="n"/>
      <c r="C9" s="671" t="n"/>
      <c r="D9" s="671" t="n"/>
      <c r="E9" s="671" t="n"/>
      <c r="F9" s="671" t="n"/>
      <c r="G9" s="671" t="n"/>
      <c r="H9" s="14" t="inlineStr">
        <is>
          <t>Actual</t>
        </is>
      </c>
      <c r="I9" s="45" t="n"/>
      <c r="J9" s="45" t="n"/>
      <c r="K9" s="45" t="n"/>
      <c r="L9" s="45" t="n"/>
      <c r="M9" s="45" t="n"/>
      <c r="N9" s="45" t="n"/>
      <c r="O9" s="45" t="n"/>
      <c r="P9" s="45" t="n"/>
      <c r="Q9" s="45" t="n"/>
      <c r="R9" s="45" t="n"/>
      <c r="S9" s="45" t="n"/>
      <c r="T9" s="45" t="n"/>
      <c r="W9" t="inlineStr">
        <is>
          <t>Actual green</t>
        </is>
      </c>
      <c r="X9">
        <f>IF(I23&lt;&gt;"",IF($F22="Higher the better",IF(I23&gt;=I22,I23,NA()),IF(I23&lt;=I22,I23,NA())),NA())</f>
        <v/>
      </c>
      <c r="Y9">
        <f>IF(J23&lt;&gt;"",IF($F22="Higher the better",IF(J23&gt;=J22,J23,NA()),IF(J23&lt;=J22,J23,NA())),NA())</f>
        <v/>
      </c>
      <c r="Z9">
        <f>IF(K23&lt;&gt;"",IF($F22="Higher the better",IF(K23&gt;=K22,K23,NA()),IF(K23&lt;=K22,K23,NA())),NA())</f>
        <v/>
      </c>
      <c r="AA9">
        <f>IF(L23&lt;&gt;"",IF($F22="Higher the better",IF(L23&gt;=L22,L23,NA()),IF(L23&lt;=L22,L23,NA())),NA())</f>
        <v/>
      </c>
      <c r="AB9">
        <f>IF(M23&lt;&gt;"",IF($F22="Higher the better",IF(M23&gt;=M22,M23,NA()),IF(M23&lt;=M22,M23,NA())),NA())</f>
        <v/>
      </c>
      <c r="AC9">
        <f>IF(N23&lt;&gt;"",IF($F22="Higher the better",IF(N23&gt;=N22,N23,NA()),IF(N23&lt;=N22,N23,NA())),NA())</f>
        <v/>
      </c>
      <c r="AD9">
        <f>IF(O23&lt;&gt;"",IF($F22="Higher the better",IF(O23&gt;=O22,O23,NA()),IF(O23&lt;=O22,O23,NA())),NA())</f>
        <v/>
      </c>
      <c r="AE9">
        <f>IF(P23&lt;&gt;"",IF($F22="Higher the better",IF(P23&gt;=P22,P23,NA()),IF(P23&lt;=P22,P23,NA())),NA())</f>
        <v/>
      </c>
      <c r="AF9">
        <f>IF(Q23&lt;&gt;"",IF($F22="Higher the better",IF(Q23&gt;=Q22,Q23,NA()),IF(Q23&lt;=Q22,Q23,NA())),NA())</f>
        <v/>
      </c>
      <c r="AG9">
        <f>IF(R23&lt;&gt;"",IF($F22="Higher the better",IF(R23&gt;=R22,R23,NA()),IF(R23&lt;=R22,R23,NA())),NA())</f>
        <v/>
      </c>
      <c r="AH9">
        <f>IF(S23&lt;&gt;"",IF($F22="Higher the better",IF(S23&gt;=S22,S23,NA()),IF(S23&lt;=S22,S23,NA())),NA())</f>
        <v/>
      </c>
      <c r="AI9">
        <f>IF(T23&lt;&gt;"",IF($F22="Higher the better",IF(T23&gt;=T22,T23,NA()),IF(T23&lt;=T22,T23,NA())),NA())</f>
        <v/>
      </c>
    </row>
    <row r="10">
      <c r="A10" s="427" t="inlineStr">
        <is>
          <t>Productivity</t>
        </is>
      </c>
      <c r="B10" s="427" t="n"/>
      <c r="C10" s="230" t="n"/>
      <c r="D10" s="230" t="n"/>
      <c r="E10" s="230" t="n"/>
      <c r="F10" s="388" t="n"/>
      <c r="G10" s="230" t="n"/>
      <c r="H10" s="14" t="inlineStr">
        <is>
          <t>Target</t>
        </is>
      </c>
      <c r="I10" s="44" t="n"/>
      <c r="J10" s="44" t="n"/>
      <c r="K10" s="44" t="n"/>
      <c r="L10" s="44" t="n"/>
      <c r="M10" s="44" t="n"/>
      <c r="N10" s="44" t="n"/>
      <c r="O10" s="44" t="n"/>
      <c r="P10" s="44" t="n"/>
      <c r="Q10" s="44" t="n"/>
      <c r="R10" s="44" t="n"/>
      <c r="S10" s="44" t="n"/>
      <c r="T10" s="44" t="n"/>
      <c r="W10" t="inlineStr">
        <is>
          <t>Actual red</t>
        </is>
      </c>
      <c r="X10">
        <f>IF(I23&lt;&gt;"",IF($F22="Higher the better",IF(I23&lt;I22,I23,NA()),IF(I23&gt;I22,I23,NA())),NA())</f>
        <v/>
      </c>
      <c r="Y10">
        <f>IF(J23&lt;&gt;"",IF($F22="Higher the better",IF(J23&lt;J22,J23,NA()),IF(J23&gt;J22,J23,NA())),NA())</f>
        <v/>
      </c>
      <c r="Z10">
        <f>IF(K23&lt;&gt;"",IF($F22="Higher the better",IF(K23&lt;K22,K23,NA()),IF(K23&gt;K22,K23,NA())),NA())</f>
        <v/>
      </c>
      <c r="AA10">
        <f>IF(L23&lt;&gt;"",IF($F22="Higher the better",IF(L23&lt;L22,L23,NA()),IF(L23&gt;L22,L23,NA())),NA())</f>
        <v/>
      </c>
      <c r="AB10">
        <f>IF(M23&lt;&gt;"",IF($F22="Higher the better",IF(M23&lt;M22,M23,NA()),IF(M23&gt;M22,M23,NA())),NA())</f>
        <v/>
      </c>
      <c r="AC10">
        <f>IF(N23&lt;&gt;"",IF($F22="Higher the better",IF(N23&lt;N22,N23,NA()),IF(N23&gt;N22,N23,NA())),NA())</f>
        <v/>
      </c>
      <c r="AD10">
        <f>IF(O23&lt;&gt;"",IF($F22="Higher the better",IF(O23&lt;O22,O23,NA()),IF(O23&gt;O22,O23,NA())),NA())</f>
        <v/>
      </c>
      <c r="AE10">
        <f>IF(P23&lt;&gt;"",IF($F22="Higher the better",IF(P23&lt;P22,P23,NA()),IF(P23&gt;P22,P23,NA())),NA())</f>
        <v/>
      </c>
      <c r="AF10">
        <f>IF(Q23&lt;&gt;"",IF($F22="Higher the better",IF(Q23&lt;Q22,Q23,NA()),IF(Q23&gt;Q22,Q23,NA())),NA())</f>
        <v/>
      </c>
      <c r="AG10">
        <f>IF(R23&lt;&gt;"",IF($F22="Higher the better",IF(R23&lt;R22,R23,NA()),IF(R23&gt;R22,R23,NA())),NA())</f>
        <v/>
      </c>
      <c r="AH10">
        <f>IF(S23&lt;&gt;"",IF($F22="Higher the better",IF(S23&lt;S22,S23,NA()),IF(S23&gt;S22,S23,NA())),NA())</f>
        <v/>
      </c>
      <c r="AI10">
        <f>IF(T23&lt;&gt;"",IF($F22="Higher the better",IF(T23&lt;T22,T23,NA()),IF(T23&gt;T22,T23,NA())),NA())</f>
        <v/>
      </c>
    </row>
    <row r="11">
      <c r="A11" s="671" t="n"/>
      <c r="B11" s="671" t="n"/>
      <c r="C11" s="671" t="n"/>
      <c r="D11" s="671" t="n"/>
      <c r="E11" s="671" t="n"/>
      <c r="F11" s="671" t="n"/>
      <c r="G11" s="671" t="n"/>
      <c r="H11" s="14" t="inlineStr">
        <is>
          <t>Actual</t>
        </is>
      </c>
      <c r="I11" s="45" t="n"/>
      <c r="J11" s="45" t="n"/>
      <c r="K11" s="45" t="n"/>
      <c r="L11" s="45" t="n"/>
      <c r="M11" s="45" t="n"/>
      <c r="N11" s="45" t="n"/>
      <c r="O11" s="45" t="n"/>
      <c r="P11" s="45" t="n"/>
      <c r="Q11" s="45" t="n"/>
      <c r="R11" s="45" t="n"/>
      <c r="S11" s="45" t="n"/>
      <c r="T11" s="45" t="n"/>
      <c r="W11" t="inlineStr">
        <is>
          <t>Actual green</t>
        </is>
      </c>
      <c r="X11">
        <f>IF(I25&lt;&gt;"",IF($F24="Higher the better",IF(I25&gt;=I24,I25,NA()),IF(I25&lt;=I24,I25,NA())),NA())</f>
        <v/>
      </c>
      <c r="Y11">
        <f>IF(J25&lt;&gt;"",IF($F24="Higher the better",IF(J25&gt;=J24,J25,NA()),IF(J25&lt;=J24,J25,NA())),NA())</f>
        <v/>
      </c>
      <c r="Z11">
        <f>IF(K25&lt;&gt;"",IF($F24="Higher the better",IF(K25&gt;=K24,K25,NA()),IF(K25&lt;=K24,K25,NA())),NA())</f>
        <v/>
      </c>
      <c r="AA11">
        <f>IF(L25&lt;&gt;"",IF($F24="Higher the better",IF(L25&gt;=L24,L25,NA()),IF(L25&lt;=L24,L25,NA())),NA())</f>
        <v/>
      </c>
      <c r="AB11">
        <f>IF(M25&lt;&gt;"",IF($F24="Higher the better",IF(M25&gt;=M24,M25,NA()),IF(M25&lt;=M24,M25,NA())),NA())</f>
        <v/>
      </c>
      <c r="AC11">
        <f>IF(N25&lt;&gt;"",IF($F24="Higher the better",IF(N25&gt;=N24,N25,NA()),IF(N25&lt;=N24,N25,NA())),NA())</f>
        <v/>
      </c>
      <c r="AD11">
        <f>IF(O25&lt;&gt;"",IF($F24="Higher the better",IF(O25&gt;=O24,O25,NA()),IF(O25&lt;=O24,O25,NA())),NA())</f>
        <v/>
      </c>
      <c r="AE11">
        <f>IF(P25&lt;&gt;"",IF($F24="Higher the better",IF(P25&gt;=P24,P25,NA()),IF(P25&lt;=P24,P25,NA())),NA())</f>
        <v/>
      </c>
      <c r="AF11">
        <f>IF(Q25&lt;&gt;"",IF($F24="Higher the better",IF(Q25&gt;=Q24,Q25,NA()),IF(Q25&lt;=Q24,Q25,NA())),NA())</f>
        <v/>
      </c>
      <c r="AG11">
        <f>IF(R25&lt;&gt;"",IF($F24="Higher the better",IF(R25&gt;=R24,R25,NA()),IF(R25&lt;=R24,R25,NA())),NA())</f>
        <v/>
      </c>
      <c r="AH11">
        <f>IF(S25&lt;&gt;"",IF($F24="Higher the better",IF(S25&gt;=S24,S25,NA()),IF(S25&lt;=S24,S25,NA())),NA())</f>
        <v/>
      </c>
      <c r="AI11">
        <f>IF(T25&lt;&gt;"",IF($F24="Higher the better",IF(T25&gt;=T24,T25,NA()),IF(T25&lt;=T24,T25,NA())),NA())</f>
        <v/>
      </c>
    </row>
    <row r="12" ht="18.6" customHeight="1">
      <c r="A12" s="31" t="inlineStr">
        <is>
          <t>Critical Enabling/Leading KPI's (3-5)</t>
        </is>
      </c>
      <c r="G12" s="38" t="n"/>
      <c r="I12" s="43" t="n"/>
      <c r="J12" s="43" t="n"/>
      <c r="K12" s="43" t="n"/>
      <c r="L12" s="43" t="n"/>
      <c r="M12" s="43" t="n"/>
      <c r="N12" s="43" t="n"/>
      <c r="O12" s="43" t="n"/>
      <c r="P12" s="43" t="n"/>
      <c r="Q12" s="43" t="n"/>
      <c r="R12" s="43" t="n"/>
      <c r="S12" s="43" t="n"/>
      <c r="T12" s="43" t="n"/>
      <c r="W12" t="inlineStr">
        <is>
          <t>Actual red</t>
        </is>
      </c>
      <c r="X12">
        <f>IF(I25&lt;&gt;"",IF($F24="Higher the better",IF(I25&lt;I24,I25,NA()),IF(I25&gt;I24,I25,NA())),NA())</f>
        <v/>
      </c>
      <c r="Y12">
        <f>IF(J25&lt;&gt;"",IF($F24="Higher the better",IF(J25&lt;J24,J25,NA()),IF(J25&gt;J24,J25,NA())),NA())</f>
        <v/>
      </c>
      <c r="Z12">
        <f>IF(K25&lt;&gt;"",IF($F24="Higher the better",IF(K25&lt;K24,K25,NA()),IF(K25&gt;K24,K25,NA())),NA())</f>
        <v/>
      </c>
      <c r="AA12">
        <f>IF(L25&lt;&gt;"",IF($F24="Higher the better",IF(L25&lt;L24,L25,NA()),IF(L25&gt;L24,L25,NA())),NA())</f>
        <v/>
      </c>
      <c r="AB12">
        <f>IF(M25&lt;&gt;"",IF($F24="Higher the better",IF(M25&lt;M24,M25,NA()),IF(M25&gt;M24,M25,NA())),NA())</f>
        <v/>
      </c>
      <c r="AC12">
        <f>IF(N25&lt;&gt;"",IF($F24="Higher the better",IF(N25&lt;N24,N25,NA()),IF(N25&gt;N24,N25,NA())),NA())</f>
        <v/>
      </c>
      <c r="AD12">
        <f>IF(O25&lt;&gt;"",IF($F24="Higher the better",IF(O25&lt;O24,O25,NA()),IF(O25&gt;O24,O25,NA())),NA())</f>
        <v/>
      </c>
      <c r="AE12">
        <f>IF(P25&lt;&gt;"",IF($F24="Higher the better",IF(P25&lt;P24,P25,NA()),IF(P25&gt;P24,P25,NA())),NA())</f>
        <v/>
      </c>
      <c r="AF12">
        <f>IF(Q25&lt;&gt;"",IF($F24="Higher the better",IF(Q25&lt;Q24,Q25,NA()),IF(Q25&gt;Q24,Q25,NA())),NA())</f>
        <v/>
      </c>
      <c r="AG12">
        <f>IF(R25&lt;&gt;"",IF($F24="Higher the better",IF(R25&lt;R24,R25,NA()),IF(R25&gt;R24,R25,NA())),NA())</f>
        <v/>
      </c>
      <c r="AH12">
        <f>IF(S25&lt;&gt;"",IF($F24="Higher the better",IF(S25&lt;S24,S25,NA()),IF(S25&gt;S24,S25,NA())),NA())</f>
        <v/>
      </c>
      <c r="AI12">
        <f>IF(T25&lt;&gt;"",IF($F24="Higher the better",IF(T25&lt;T24,T25,NA()),IF(T25&gt;T24,T25,NA())),NA())</f>
        <v/>
      </c>
    </row>
    <row r="13" ht="27.6"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row>
    <row r="14" ht="13.5" customHeight="1">
      <c r="A14" s="427" t="n"/>
      <c r="B14" s="387" t="n"/>
      <c r="C14" s="230" t="n"/>
      <c r="D14" s="388" t="n"/>
      <c r="E14" s="230" t="n"/>
      <c r="F14" s="388" t="n"/>
      <c r="G14" s="230" t="n"/>
      <c r="H14" s="14" t="inlineStr">
        <is>
          <t>Target</t>
        </is>
      </c>
      <c r="I14" s="44" t="n"/>
      <c r="J14" s="44" t="n"/>
      <c r="K14" s="44" t="n"/>
      <c r="L14" s="44" t="n"/>
      <c r="M14" s="44" t="n"/>
      <c r="N14" s="44" t="n"/>
      <c r="O14" s="44" t="n"/>
      <c r="P14" s="44" t="n"/>
      <c r="Q14" s="44" t="n"/>
      <c r="R14" s="44" t="n"/>
      <c r="S14" s="44" t="n"/>
      <c r="T14" s="44" t="n"/>
    </row>
    <row r="15" ht="14.85" customHeight="1">
      <c r="A15" s="671" t="n"/>
      <c r="B15" s="671" t="n"/>
      <c r="C15" s="671" t="n"/>
      <c r="D15" s="671" t="n"/>
      <c r="E15" s="671" t="n"/>
      <c r="F15" s="671" t="n"/>
      <c r="G15" s="671" t="n"/>
      <c r="H15" s="14" t="inlineStr">
        <is>
          <t>Actual</t>
        </is>
      </c>
      <c r="I15" s="45" t="n"/>
      <c r="J15" s="45" t="n"/>
      <c r="K15" s="45" t="n"/>
      <c r="L15" s="45" t="n"/>
      <c r="M15" s="45" t="n"/>
      <c r="N15" s="45" t="n"/>
      <c r="O15" s="45" t="n"/>
      <c r="P15" s="45" t="n"/>
      <c r="Q15" s="45" t="n"/>
      <c r="R15" s="45" t="n"/>
      <c r="S15" s="45" t="n"/>
      <c r="T15" s="45" t="n"/>
    </row>
    <row r="16">
      <c r="A16" s="427" t="n"/>
      <c r="B16" s="446" t="n"/>
      <c r="C16" s="230" t="n"/>
      <c r="D16" s="388" t="n"/>
      <c r="E16" s="230" t="n"/>
      <c r="F16" s="388" t="n"/>
      <c r="G16" s="230" t="n"/>
      <c r="H16" s="14" t="inlineStr">
        <is>
          <t>Target</t>
        </is>
      </c>
      <c r="I16" s="44" t="n"/>
      <c r="J16" s="44" t="n"/>
      <c r="K16" s="44" t="n"/>
      <c r="L16" s="44" t="n"/>
      <c r="M16" s="44" t="n"/>
      <c r="N16" s="44" t="n"/>
      <c r="O16" s="44" t="n"/>
      <c r="P16" s="44" t="n"/>
      <c r="Q16" s="44" t="n"/>
      <c r="R16" s="44" t="n"/>
      <c r="S16" s="44" t="n"/>
      <c r="T16" s="44" t="n"/>
    </row>
    <row r="17">
      <c r="A17" s="671" t="n"/>
      <c r="B17" s="671" t="n"/>
      <c r="C17" s="671" t="n"/>
      <c r="D17" s="671" t="n"/>
      <c r="E17" s="671" t="n"/>
      <c r="F17" s="671" t="n"/>
      <c r="G17" s="671" t="n"/>
      <c r="H17" s="14" t="inlineStr">
        <is>
          <t>Actual</t>
        </is>
      </c>
      <c r="I17" s="45" t="n"/>
      <c r="J17" s="45" t="n"/>
      <c r="K17" s="45" t="n"/>
      <c r="L17" s="45" t="n"/>
      <c r="M17" s="45" t="n"/>
      <c r="N17" s="45" t="n"/>
      <c r="O17" s="45" t="n"/>
      <c r="P17" s="45" t="n"/>
      <c r="Q17" s="45" t="n"/>
      <c r="R17" s="45" t="n"/>
      <c r="S17" s="45" t="n"/>
      <c r="T17" s="45" t="n"/>
    </row>
    <row r="18">
      <c r="A18" s="446" t="n"/>
      <c r="B18" s="446" t="n"/>
      <c r="C18" s="230" t="n"/>
      <c r="D18" s="388" t="n"/>
      <c r="E18" s="230" t="n"/>
      <c r="F18" s="388" t="n"/>
      <c r="G18" s="230" t="n"/>
      <c r="H18" s="14" t="inlineStr">
        <is>
          <t>Target</t>
        </is>
      </c>
      <c r="I18" s="44" t="n"/>
      <c r="J18" s="44" t="n"/>
      <c r="K18" s="44" t="n"/>
      <c r="L18" s="44" t="n"/>
      <c r="M18" s="44" t="n"/>
      <c r="N18" s="44" t="n"/>
      <c r="O18" s="44" t="n"/>
      <c r="P18" s="44" t="n"/>
      <c r="Q18" s="44" t="n"/>
      <c r="R18" s="44" t="n"/>
      <c r="S18" s="44" t="n"/>
      <c r="T18" s="44" t="n"/>
    </row>
    <row r="19">
      <c r="A19" s="671" t="n"/>
      <c r="B19" s="671" t="n"/>
      <c r="C19" s="671" t="n"/>
      <c r="D19" s="671" t="n"/>
      <c r="E19" s="671" t="n"/>
      <c r="F19" s="671" t="n"/>
      <c r="G19" s="671" t="n"/>
      <c r="H19" s="14" t="inlineStr">
        <is>
          <t>Actual</t>
        </is>
      </c>
      <c r="I19" s="45" t="n"/>
      <c r="J19" s="45" t="n"/>
      <c r="K19" s="45" t="n"/>
      <c r="L19" s="45" t="n"/>
      <c r="M19" s="45" t="n"/>
      <c r="N19" s="45" t="n"/>
      <c r="O19" s="45" t="n"/>
      <c r="P19" s="45" t="n"/>
      <c r="Q19" s="45" t="n"/>
      <c r="R19" s="45" t="n"/>
      <c r="S19" s="45" t="n"/>
      <c r="T19" s="45" t="n"/>
    </row>
    <row r="20">
      <c r="A20" s="446" t="n"/>
      <c r="B20" s="446" t="n"/>
      <c r="C20" s="230" t="n"/>
      <c r="D20" s="388" t="n"/>
      <c r="E20" s="230" t="n"/>
      <c r="F20" s="388" t="n"/>
      <c r="G20" s="230" t="n"/>
      <c r="H20" s="14" t="inlineStr">
        <is>
          <t>Target</t>
        </is>
      </c>
      <c r="I20" s="44" t="n"/>
      <c r="J20" s="44" t="n"/>
      <c r="K20" s="44" t="n"/>
      <c r="L20" s="44" t="n"/>
      <c r="M20" s="44" t="n"/>
      <c r="N20" s="44" t="n"/>
      <c r="O20" s="44" t="n"/>
      <c r="P20" s="44" t="n"/>
      <c r="Q20" s="44" t="n"/>
      <c r="R20" s="44" t="n"/>
      <c r="S20" s="44" t="n"/>
      <c r="T20" s="44" t="n"/>
    </row>
    <row r="21">
      <c r="A21" s="671" t="n"/>
      <c r="B21" s="671" t="n"/>
      <c r="C21" s="671" t="n"/>
      <c r="D21" s="671" t="n"/>
      <c r="E21" s="671" t="n"/>
      <c r="F21" s="671" t="n"/>
      <c r="G21" s="671" t="n"/>
      <c r="H21" s="14" t="inlineStr">
        <is>
          <t>Actual</t>
        </is>
      </c>
      <c r="I21" s="45" t="n"/>
      <c r="J21" s="45" t="n"/>
      <c r="K21" s="45" t="n"/>
      <c r="L21" s="45" t="n"/>
      <c r="M21" s="45" t="n"/>
      <c r="N21" s="45" t="n"/>
      <c r="O21" s="45" t="n"/>
      <c r="P21" s="45" t="n"/>
      <c r="Q21" s="45" t="n"/>
      <c r="R21" s="45" t="n"/>
      <c r="S21" s="45" t="n"/>
      <c r="T21" s="45" t="n"/>
    </row>
    <row r="22">
      <c r="A22" s="427" t="n"/>
      <c r="B22" s="446" t="n"/>
      <c r="C22" s="230" t="n"/>
      <c r="D22" s="388" t="n"/>
      <c r="E22" s="230" t="n"/>
      <c r="F22" s="388" t="n"/>
      <c r="G22" s="230" t="n"/>
      <c r="H22" s="14" t="inlineStr">
        <is>
          <t>Target</t>
        </is>
      </c>
      <c r="I22" s="44" t="n"/>
      <c r="J22" s="44" t="n"/>
      <c r="K22" s="44" t="n"/>
      <c r="L22" s="44" t="n"/>
      <c r="M22" s="44" t="n"/>
      <c r="N22" s="44" t="n"/>
      <c r="O22" s="44" t="n"/>
      <c r="P22" s="44" t="n"/>
      <c r="Q22" s="44" t="n"/>
      <c r="R22" s="44" t="n"/>
      <c r="S22" s="44" t="n"/>
      <c r="T22" s="44" t="n"/>
    </row>
    <row r="23" ht="15.6" customHeight="1">
      <c r="A23" s="671" t="n"/>
      <c r="B23" s="671" t="n"/>
      <c r="C23" s="671" t="n"/>
      <c r="D23" s="671" t="n"/>
      <c r="E23" s="671" t="n"/>
      <c r="F23" s="671" t="n"/>
      <c r="G23" s="671" t="n"/>
      <c r="H23" s="14" t="inlineStr">
        <is>
          <t>Actual</t>
        </is>
      </c>
      <c r="I23" s="45" t="n"/>
      <c r="J23" s="45" t="n"/>
      <c r="K23" s="45" t="n"/>
      <c r="L23" s="45" t="n"/>
      <c r="M23" s="45" t="n"/>
      <c r="N23" s="45" t="n"/>
      <c r="O23" s="45" t="n"/>
      <c r="P23" s="45" t="n"/>
      <c r="Q23" s="45" t="n"/>
      <c r="R23" s="45" t="n"/>
      <c r="S23" s="45" t="n"/>
      <c r="T23" s="45" t="n"/>
    </row>
    <row r="24">
      <c r="A24" s="427" t="n"/>
      <c r="B24" s="427" t="n"/>
      <c r="C24" s="230" t="n"/>
      <c r="D24" s="388" t="n"/>
      <c r="E24" s="230" t="n"/>
      <c r="F24" s="388" t="n"/>
      <c r="G24" s="230" t="n"/>
      <c r="H24" s="14" t="inlineStr">
        <is>
          <t>Target</t>
        </is>
      </c>
      <c r="I24" s="44" t="n"/>
      <c r="J24" s="44" t="n"/>
      <c r="K24" s="44" t="n"/>
      <c r="L24" s="44" t="n"/>
      <c r="M24" s="44" t="n"/>
      <c r="N24" s="44" t="n"/>
      <c r="O24" s="44" t="n"/>
      <c r="P24" s="44" t="n"/>
      <c r="Q24" s="44" t="n"/>
      <c r="R24" s="44" t="n"/>
      <c r="S24" s="44" t="n"/>
      <c r="T24" s="44" t="n"/>
    </row>
    <row r="25" ht="13.5" customHeight="1">
      <c r="A25" s="671" t="n"/>
      <c r="B25" s="671" t="n"/>
      <c r="C25" s="671" t="n"/>
      <c r="D25" s="671" t="n"/>
      <c r="E25" s="671" t="n"/>
      <c r="F25" s="671" t="n"/>
      <c r="G25" s="671" t="n"/>
      <c r="H25" s="14" t="inlineStr">
        <is>
          <t>Actual</t>
        </is>
      </c>
      <c r="I25" s="45" t="n"/>
      <c r="J25" s="45" t="n"/>
      <c r="K25" s="45" t="n"/>
      <c r="L25" s="45" t="n"/>
      <c r="M25" s="45" t="n"/>
      <c r="N25" s="45" t="n"/>
      <c r="O25" s="45" t="n"/>
      <c r="P25" s="45" t="n"/>
      <c r="Q25" s="45" t="n"/>
      <c r="R25" s="45" t="n"/>
      <c r="S25" s="45" t="n"/>
      <c r="T25" s="45" t="n"/>
    </row>
    <row r="26" ht="15" customHeight="1">
      <c r="E26" s="32" t="inlineStr">
        <is>
          <t xml:space="preserve">
</t>
        </is>
      </c>
      <c r="H26" s="33">
        <f>IF(OR($F15="Lower the better",$F15="Lower the Better"),
    IF(I15&gt;I14,$A14,""),
    IF(OR($F15="Higher the better",$F15="Higher the Better"),
       IF(I15&lt;I14,$A14,""),
       ""
    )
)</f>
        <v/>
      </c>
    </row>
    <row r="27" ht="21" customHeight="1">
      <c r="A27" s="10" t="inlineStr">
        <is>
          <t>Trends-</t>
        </is>
      </c>
    </row>
    <row r="28">
      <c r="A28" s="639" t="n"/>
    </row>
    <row r="29">
      <c r="A29" s="639" t="n"/>
    </row>
    <row r="30">
      <c r="A30" s="639" t="n"/>
    </row>
    <row r="31">
      <c r="A31" s="639" t="n"/>
    </row>
    <row r="32">
      <c r="A32" s="639" t="n"/>
    </row>
    <row r="33">
      <c r="A33" s="639" t="n"/>
    </row>
    <row r="34">
      <c r="A34" s="639" t="n"/>
    </row>
    <row r="35">
      <c r="A35" s="639" t="n"/>
    </row>
    <row r="36">
      <c r="A36" s="639" t="n"/>
    </row>
    <row r="37">
      <c r="A37" s="639" t="n"/>
    </row>
    <row r="38">
      <c r="A38" s="639" t="n"/>
    </row>
    <row r="39">
      <c r="A39" s="639" t="n"/>
    </row>
    <row r="40">
      <c r="A40" s="639" t="n"/>
    </row>
    <row r="41">
      <c r="A41" s="639" t="n"/>
    </row>
    <row r="42">
      <c r="A42" s="639" t="n"/>
    </row>
    <row r="43">
      <c r="A43" s="639" t="n"/>
    </row>
    <row r="44" ht="21" customHeight="1">
      <c r="A44" s="500" t="inlineStr">
        <is>
          <t>If the KPI is reported Red, fill all the details as mentioned below for analysis &amp; actions:</t>
        </is>
      </c>
    </row>
    <row r="45">
      <c r="A45" s="639" t="n"/>
    </row>
    <row r="46" ht="21" customHeight="1">
      <c r="A46" s="449" t="inlineStr">
        <is>
          <t>Root Cause Analysis-</t>
        </is>
      </c>
    </row>
    <row r="47" ht="20.1" customHeight="1">
      <c r="A47" s="466" t="inlineStr">
        <is>
          <t xml:space="preserve"> Red KPI</t>
        </is>
      </c>
      <c r="B47" s="361" t="inlineStr">
        <is>
          <t xml:space="preserve">Top  Causes </t>
        </is>
      </c>
      <c r="C47" s="693" t="n"/>
      <c r="D47" s="693" t="n"/>
      <c r="E47" s="693" t="n"/>
      <c r="F47" s="692" t="n"/>
    </row>
    <row r="48" ht="15" customHeight="1">
      <c r="A48" s="694" t="n"/>
      <c r="B48" s="361" t="inlineStr">
        <is>
          <t xml:space="preserve">Cause 1 </t>
        </is>
      </c>
      <c r="C48" s="361" t="inlineStr">
        <is>
          <t>Cause 2</t>
        </is>
      </c>
      <c r="D48" s="361" t="inlineStr">
        <is>
          <t>Cause 3</t>
        </is>
      </c>
      <c r="E48" s="361" t="inlineStr">
        <is>
          <t>Cause 4</t>
        </is>
      </c>
      <c r="F48" s="361" t="inlineStr">
        <is>
          <t>Cause 5</t>
        </is>
      </c>
    </row>
    <row r="49" ht="19.35" customHeight="1">
      <c r="A49" s="40" t="n"/>
      <c r="B49" s="41" t="n"/>
      <c r="C49" s="41" t="n"/>
      <c r="D49" s="41" t="n"/>
      <c r="E49" s="41" t="n"/>
      <c r="F49" s="41" t="n"/>
    </row>
    <row r="50" ht="19.35" customHeight="1">
      <c r="A50" s="27" t="inlineStr">
        <is>
          <t>% impact on KPI gap</t>
        </is>
      </c>
      <c r="B50" s="42" t="n"/>
      <c r="C50" s="42" t="n"/>
      <c r="D50" s="42" t="n"/>
      <c r="E50" s="42" t="n"/>
      <c r="F50" s="42" t="n"/>
    </row>
    <row r="51" ht="19.35" customHeight="1">
      <c r="A51" s="361" t="inlineStr">
        <is>
          <t>Red KPI</t>
        </is>
      </c>
      <c r="B51" s="361" t="inlineStr">
        <is>
          <t xml:space="preserve">Cause 1 </t>
        </is>
      </c>
      <c r="C51" s="361" t="inlineStr">
        <is>
          <t>Cause 2</t>
        </is>
      </c>
      <c r="D51" s="361" t="inlineStr">
        <is>
          <t>Cause 3</t>
        </is>
      </c>
      <c r="E51" s="361" t="inlineStr">
        <is>
          <t>Cause 4</t>
        </is>
      </c>
      <c r="F51" s="361" t="inlineStr">
        <is>
          <t>Cause 5</t>
        </is>
      </c>
    </row>
    <row r="52" ht="19.35" customHeight="1">
      <c r="A52" s="27" t="n"/>
      <c r="B52" s="41" t="n"/>
      <c r="C52" s="41" t="n"/>
      <c r="D52" s="41" t="n"/>
      <c r="E52" s="41" t="n"/>
      <c r="F52" s="41" t="n"/>
    </row>
    <row r="53" ht="19.35" customHeight="1">
      <c r="A53" s="27" t="inlineStr">
        <is>
          <t>% impact on KPI gap</t>
        </is>
      </c>
      <c r="B53" s="42" t="n"/>
      <c r="C53" s="42" t="n"/>
      <c r="D53" s="42" t="n"/>
      <c r="E53" s="42" t="n"/>
      <c r="F53" s="42" t="n"/>
    </row>
    <row r="54" ht="19.35" customHeight="1">
      <c r="A54" s="361" t="inlineStr">
        <is>
          <t>Red KPI</t>
        </is>
      </c>
      <c r="B54" s="361" t="inlineStr">
        <is>
          <t xml:space="preserve">Cause 1 </t>
        </is>
      </c>
      <c r="C54" s="361" t="inlineStr">
        <is>
          <t>Cause 2</t>
        </is>
      </c>
      <c r="D54" s="361" t="inlineStr">
        <is>
          <t>Cause 3</t>
        </is>
      </c>
      <c r="E54" s="361" t="inlineStr">
        <is>
          <t>Cause 4</t>
        </is>
      </c>
      <c r="F54" s="361" t="inlineStr">
        <is>
          <t>Cause 5</t>
        </is>
      </c>
    </row>
    <row r="55" ht="19.35" customHeight="1">
      <c r="A55" s="27" t="n"/>
      <c r="B55" s="41" t="n"/>
      <c r="C55" s="41" t="n"/>
      <c r="D55" s="41" t="n"/>
      <c r="E55" s="41" t="n"/>
      <c r="F55" s="41" t="n"/>
    </row>
    <row r="56" ht="19.35" customHeight="1">
      <c r="A56" s="27" t="inlineStr">
        <is>
          <t>% impact on KPI gap</t>
        </is>
      </c>
      <c r="B56" s="42" t="n"/>
      <c r="C56" s="42" t="n"/>
      <c r="D56" s="42" t="n"/>
      <c r="E56" s="42" t="n"/>
      <c r="F56" s="42" t="n"/>
    </row>
    <row r="57" ht="19.35" customHeight="1">
      <c r="A57" s="361" t="inlineStr">
        <is>
          <t>Red KPI</t>
        </is>
      </c>
      <c r="B57" s="361" t="inlineStr">
        <is>
          <t xml:space="preserve">Cause 1 </t>
        </is>
      </c>
      <c r="C57" s="361" t="inlineStr">
        <is>
          <t>Cause 2</t>
        </is>
      </c>
      <c r="D57" s="361" t="inlineStr">
        <is>
          <t>Cause 3</t>
        </is>
      </c>
      <c r="E57" s="361" t="inlineStr">
        <is>
          <t>Cause 4</t>
        </is>
      </c>
      <c r="F57" s="361" t="inlineStr">
        <is>
          <t>Cause 5</t>
        </is>
      </c>
    </row>
    <row r="58" ht="19.35" customHeight="1">
      <c r="A58" s="27" t="n"/>
      <c r="B58" s="41" t="n"/>
      <c r="C58" s="41" t="n"/>
      <c r="D58" s="41" t="n"/>
      <c r="E58" s="41" t="n"/>
      <c r="F58" s="41" t="n"/>
    </row>
    <row r="59" ht="19.35" customHeight="1">
      <c r="A59" s="27" t="inlineStr">
        <is>
          <t>% impact on KPI gap</t>
        </is>
      </c>
      <c r="B59" s="42" t="n"/>
      <c r="C59" s="42" t="n"/>
      <c r="D59" s="42" t="n"/>
      <c r="E59" s="42" t="n"/>
      <c r="F59" s="42" t="n"/>
    </row>
    <row r="60" ht="19.35" customHeight="1">
      <c r="A60" s="361" t="inlineStr">
        <is>
          <t>Red KPI</t>
        </is>
      </c>
      <c r="B60" s="361" t="inlineStr">
        <is>
          <t xml:space="preserve">Cause 1 </t>
        </is>
      </c>
      <c r="C60" s="361" t="inlineStr">
        <is>
          <t>Cause 2</t>
        </is>
      </c>
      <c r="D60" s="361" t="inlineStr">
        <is>
          <t>Cause 3</t>
        </is>
      </c>
      <c r="E60" s="361" t="inlineStr">
        <is>
          <t>Cause 4</t>
        </is>
      </c>
      <c r="F60" s="361" t="inlineStr">
        <is>
          <t>Cause 5</t>
        </is>
      </c>
    </row>
    <row r="61" ht="19.35" customHeight="1">
      <c r="A61" s="27" t="n"/>
      <c r="B61" s="41" t="n"/>
      <c r="C61" s="41" t="n"/>
      <c r="D61" s="41" t="n"/>
      <c r="E61" s="41" t="n"/>
      <c r="F61" s="41" t="n"/>
    </row>
    <row r="62" ht="19.35" customHeight="1">
      <c r="A62" s="27" t="inlineStr">
        <is>
          <t>% impact on KPI gap</t>
        </is>
      </c>
      <c r="B62" s="42" t="n"/>
      <c r="C62" s="42" t="n"/>
      <c r="D62" s="42" t="n"/>
      <c r="E62" s="42" t="n"/>
      <c r="F62" s="42" t="n"/>
    </row>
    <row r="63" ht="19.35" customHeight="1">
      <c r="A63" s="361" t="inlineStr">
        <is>
          <t>Red KPI</t>
        </is>
      </c>
      <c r="B63" s="361" t="inlineStr">
        <is>
          <t xml:space="preserve">Cause 1 </t>
        </is>
      </c>
      <c r="C63" s="361" t="inlineStr">
        <is>
          <t>Cause 2</t>
        </is>
      </c>
      <c r="D63" s="361" t="inlineStr">
        <is>
          <t>Cause 3</t>
        </is>
      </c>
      <c r="E63" s="361" t="inlineStr">
        <is>
          <t>Cause 4</t>
        </is>
      </c>
      <c r="F63" s="361" t="inlineStr">
        <is>
          <t>Cause 5</t>
        </is>
      </c>
    </row>
    <row r="64" ht="19.35" customHeight="1">
      <c r="A64" s="27" t="n"/>
      <c r="B64" s="41" t="n"/>
      <c r="C64" s="41" t="n"/>
      <c r="D64" s="41" t="n"/>
      <c r="E64" s="41" t="n"/>
      <c r="F64" s="41" t="n"/>
    </row>
    <row r="65" ht="19.35" customHeight="1">
      <c r="A65" s="27" t="inlineStr">
        <is>
          <t>% impact on KPI gap</t>
        </is>
      </c>
      <c r="B65" s="42" t="n"/>
      <c r="C65" s="42" t="n"/>
      <c r="D65" s="42" t="n"/>
      <c r="E65" s="42" t="n"/>
      <c r="F65" s="42" t="n"/>
    </row>
    <row r="66" ht="21" customHeight="1">
      <c r="A66" s="10" t="inlineStr">
        <is>
          <t>Paretos for RCA</t>
        </is>
      </c>
    </row>
    <row r="67">
      <c r="A67" s="639" t="n"/>
    </row>
    <row r="68">
      <c r="A68" s="639" t="n"/>
    </row>
    <row r="69">
      <c r="A69" s="639" t="n"/>
    </row>
    <row r="70">
      <c r="A70" s="639" t="n"/>
    </row>
    <row r="71">
      <c r="A71" s="639" t="n"/>
    </row>
    <row r="72">
      <c r="A72" s="639" t="n"/>
    </row>
    <row r="73">
      <c r="A73" s="639" t="n"/>
    </row>
    <row r="74">
      <c r="A74" s="639" t="n"/>
    </row>
    <row r="75">
      <c r="A75" s="639" t="n"/>
    </row>
    <row r="76">
      <c r="A76" s="639" t="n"/>
    </row>
    <row r="77">
      <c r="A77" s="639" t="n"/>
    </row>
    <row r="78">
      <c r="A78" s="639" t="n"/>
    </row>
    <row r="79">
      <c r="A79" s="639" t="n"/>
    </row>
    <row r="80">
      <c r="A80" s="639" t="n"/>
    </row>
    <row r="81" ht="15" customHeight="1" thickBot="1">
      <c r="A81" s="639" t="n"/>
    </row>
    <row r="82" ht="18.95" customHeight="1" thickBot="1">
      <c r="A82" s="695" t="inlineStr">
        <is>
          <t>Action tracker</t>
        </is>
      </c>
      <c r="B82" s="696" t="n"/>
      <c r="C82" s="696" t="n"/>
      <c r="D82" s="696" t="n"/>
      <c r="E82" s="696" t="n"/>
      <c r="F82" s="697" t="n"/>
      <c r="H82" s="698" t="inlineStr">
        <is>
          <t>Handshake Escalations/Support required</t>
        </is>
      </c>
      <c r="I82" s="696" t="n"/>
      <c r="J82" s="696" t="n"/>
      <c r="K82" s="696" t="n"/>
      <c r="L82" s="696" t="n"/>
      <c r="M82" s="696" t="n"/>
      <c r="N82" s="696" t="n"/>
      <c r="O82" s="697" t="n"/>
    </row>
    <row r="83" ht="41.85" customFormat="1" customHeight="1" s="15">
      <c r="A83" s="16" t="inlineStr">
        <is>
          <t>Red KPI</t>
        </is>
      </c>
      <c r="B83" s="17" t="inlineStr">
        <is>
          <t>Root cause description</t>
        </is>
      </c>
      <c r="C83" s="18" t="inlineStr">
        <is>
          <t>Corrective action</t>
        </is>
      </c>
      <c r="D83" s="19" t="inlineStr">
        <is>
          <t>Owner</t>
        </is>
      </c>
      <c r="E83" s="17" t="inlineStr">
        <is>
          <t>Due Date</t>
        </is>
      </c>
      <c r="F83" s="20" t="inlineStr">
        <is>
          <t>Status</t>
        </is>
      </c>
      <c r="H83" s="21" t="inlineStr">
        <is>
          <t>KPI Name</t>
        </is>
      </c>
      <c r="I83" s="22" t="inlineStr">
        <is>
          <t>Key Dependency</t>
        </is>
      </c>
      <c r="J83" s="22" t="inlineStr">
        <is>
          <t>Function Name</t>
        </is>
      </c>
      <c r="K83" s="23" t="inlineStr">
        <is>
          <t>What action/s from
 Function is expected</t>
        </is>
      </c>
      <c r="L83" s="23" t="inlineStr">
        <is>
          <t>Success measure for
Action Closure</t>
        </is>
      </c>
      <c r="M83" s="24" t="inlineStr">
        <is>
          <t>Handshaked
(Yes or No)</t>
        </is>
      </c>
      <c r="N83" s="23" t="inlineStr">
        <is>
          <t>Open issue description</t>
        </is>
      </c>
      <c r="O83" s="36" t="inlineStr">
        <is>
          <t>Solutions to 
Open issues</t>
        </is>
      </c>
    </row>
    <row r="84" ht="16.5" customHeight="1">
      <c r="A84" s="699" t="n"/>
      <c r="B84" s="388" t="n"/>
      <c r="C84" s="388" t="n"/>
      <c r="D84" s="388" t="n"/>
      <c r="E84" s="379" t="n"/>
      <c r="F84" s="700" t="n">
        <v>1</v>
      </c>
      <c r="H84" s="699" t="n"/>
      <c r="I84" s="701" t="n"/>
      <c r="J84" s="701" t="n"/>
      <c r="K84" s="701" t="n"/>
      <c r="L84" s="701" t="n"/>
      <c r="M84" s="703" t="inlineStr">
        <is>
          <t>Yes</t>
        </is>
      </c>
      <c r="N84" s="701" t="n"/>
      <c r="O84" s="704" t="n"/>
    </row>
    <row r="85" ht="18" customHeight="1">
      <c r="A85" s="705" t="n"/>
      <c r="B85" s="671" t="n"/>
      <c r="C85" s="671" t="n"/>
      <c r="D85" s="671" t="n"/>
      <c r="E85" s="671" t="n"/>
      <c r="F85" s="672" t="n"/>
      <c r="H85" s="705" t="n"/>
      <c r="I85" s="671" t="n"/>
      <c r="J85" s="671" t="n"/>
      <c r="K85" s="671" t="n"/>
      <c r="L85" s="671" t="n"/>
      <c r="M85" s="671" t="n"/>
      <c r="N85" s="671" t="n"/>
      <c r="O85" s="672" t="n"/>
    </row>
    <row r="86" ht="17.1" customHeight="1">
      <c r="A86" s="699" t="n"/>
      <c r="B86" s="388" t="n"/>
      <c r="C86" s="388" t="n"/>
      <c r="D86" s="388" t="n"/>
      <c r="E86" s="379" t="n"/>
      <c r="F86" s="700" t="n">
        <v>1</v>
      </c>
      <c r="H86" s="699" t="n"/>
      <c r="I86" s="701" t="n"/>
      <c r="J86" s="701" t="n"/>
      <c r="K86" s="701" t="n"/>
      <c r="L86" s="701" t="n"/>
      <c r="M86" s="703" t="inlineStr">
        <is>
          <t>No</t>
        </is>
      </c>
      <c r="N86" s="701" t="n"/>
      <c r="O86" s="704" t="n"/>
    </row>
    <row r="87" ht="17.1" customHeight="1">
      <c r="A87" s="705" t="n"/>
      <c r="B87" s="671" t="n"/>
      <c r="C87" s="671" t="n"/>
      <c r="D87" s="671" t="n"/>
      <c r="E87" s="671" t="n"/>
      <c r="F87" s="672" t="n"/>
      <c r="H87" s="705" t="n"/>
      <c r="I87" s="671" t="n"/>
      <c r="J87" s="671" t="n"/>
      <c r="K87" s="671" t="n"/>
      <c r="L87" s="671" t="n"/>
      <c r="M87" s="671" t="n"/>
      <c r="N87" s="671" t="n"/>
      <c r="O87" s="672" t="n"/>
    </row>
    <row r="88" ht="17.1" customHeight="1">
      <c r="A88" s="699" t="n"/>
      <c r="B88" s="388" t="n"/>
      <c r="C88" s="388" t="n"/>
      <c r="D88" s="388" t="n"/>
      <c r="E88" s="379" t="n"/>
      <c r="F88" s="700" t="n">
        <v>1</v>
      </c>
      <c r="H88" s="699" t="n"/>
      <c r="I88" s="701" t="n"/>
      <c r="J88" s="701" t="n"/>
      <c r="K88" s="701" t="n"/>
      <c r="L88" s="701" t="n"/>
      <c r="M88" s="703" t="n"/>
      <c r="N88" s="701" t="n"/>
      <c r="O88" s="704" t="n"/>
    </row>
    <row r="89" ht="16.5" customHeight="1">
      <c r="A89" s="705" t="n"/>
      <c r="B89" s="671" t="n"/>
      <c r="C89" s="671" t="n"/>
      <c r="D89" s="671" t="n"/>
      <c r="E89" s="671" t="n"/>
      <c r="F89" s="672" t="n"/>
      <c r="H89" s="705" t="n"/>
      <c r="I89" s="671" t="n"/>
      <c r="J89" s="671" t="n"/>
      <c r="K89" s="671" t="n"/>
      <c r="L89" s="671" t="n"/>
      <c r="M89" s="671" t="n"/>
      <c r="N89" s="671" t="n"/>
      <c r="O89" s="672" t="n"/>
    </row>
    <row r="90" ht="16.5" customHeight="1">
      <c r="A90" s="699" t="n"/>
      <c r="B90" s="388" t="n"/>
      <c r="C90" s="388" t="n"/>
      <c r="D90" s="388" t="n"/>
      <c r="E90" s="379" t="n"/>
      <c r="F90" s="700" t="n">
        <v>1</v>
      </c>
      <c r="H90" s="699" t="n"/>
      <c r="I90" s="701" t="n"/>
      <c r="J90" s="701" t="n"/>
      <c r="K90" s="701" t="n"/>
      <c r="L90" s="701" t="n"/>
      <c r="M90" s="703" t="n"/>
      <c r="N90" s="701" t="n"/>
      <c r="O90" s="704" t="n"/>
    </row>
    <row r="91" ht="16.5" customHeight="1">
      <c r="A91" s="705" t="n"/>
      <c r="B91" s="671" t="n"/>
      <c r="C91" s="671" t="n"/>
      <c r="D91" s="671" t="n"/>
      <c r="E91" s="671" t="n"/>
      <c r="F91" s="672" t="n"/>
      <c r="H91" s="705" t="n"/>
      <c r="I91" s="671" t="n"/>
      <c r="J91" s="671" t="n"/>
      <c r="K91" s="671" t="n"/>
      <c r="L91" s="671" t="n"/>
      <c r="M91" s="671" t="n"/>
      <c r="N91" s="671" t="n"/>
      <c r="O91" s="672" t="n"/>
    </row>
    <row r="92" ht="16.5" customHeight="1">
      <c r="A92" s="699" t="n"/>
      <c r="B92" s="388" t="n"/>
      <c r="C92" s="388" t="n"/>
      <c r="D92" s="388" t="n"/>
      <c r="E92" s="379" t="n"/>
      <c r="F92" s="700" t="n">
        <v>1</v>
      </c>
      <c r="H92" s="699" t="n"/>
      <c r="I92" s="701" t="n"/>
      <c r="J92" s="701" t="n"/>
      <c r="K92" s="701" t="n"/>
      <c r="L92" s="701" t="n"/>
      <c r="M92" s="703" t="n"/>
      <c r="N92" s="701" t="n"/>
      <c r="O92" s="704" t="n"/>
    </row>
    <row r="93" ht="16.5" customHeight="1">
      <c r="A93" s="705" t="n"/>
      <c r="B93" s="671" t="n"/>
      <c r="C93" s="671" t="n"/>
      <c r="D93" s="671" t="n"/>
      <c r="E93" s="671" t="n"/>
      <c r="F93" s="672" t="n"/>
      <c r="H93" s="705" t="n"/>
      <c r="I93" s="671" t="n"/>
      <c r="J93" s="671" t="n"/>
      <c r="K93" s="671" t="n"/>
      <c r="L93" s="671" t="n"/>
      <c r="M93" s="671" t="n"/>
      <c r="N93" s="671" t="n"/>
      <c r="O93" s="672" t="n"/>
    </row>
    <row r="94" ht="16.5" customHeight="1">
      <c r="A94" s="699" t="n"/>
      <c r="B94" s="707" t="n"/>
      <c r="C94" s="707" t="n"/>
      <c r="D94" s="707" t="n"/>
      <c r="E94" s="708" t="n"/>
      <c r="F94" s="700" t="n">
        <v>1</v>
      </c>
      <c r="H94" s="709" t="n"/>
      <c r="I94" s="710" t="n"/>
      <c r="J94" s="710" t="n"/>
      <c r="K94" s="710" t="n"/>
      <c r="L94" s="710" t="n"/>
      <c r="M94" s="711" t="n"/>
      <c r="N94" s="710" t="n"/>
      <c r="O94" s="712" t="n"/>
    </row>
    <row r="95" ht="17.1" customHeight="1" thickBot="1">
      <c r="A95" s="705" t="n"/>
      <c r="B95" s="713" t="n"/>
      <c r="C95" s="713" t="n"/>
      <c r="D95" s="713" t="n"/>
      <c r="E95" s="713" t="n"/>
      <c r="F95" s="672" t="n"/>
      <c r="H95" s="714" t="n"/>
      <c r="I95" s="713" t="n"/>
      <c r="J95" s="713" t="n"/>
      <c r="K95" s="713" t="n"/>
      <c r="L95" s="713" t="n"/>
      <c r="M95" s="713" t="n"/>
      <c r="N95" s="713" t="n"/>
      <c r="O95" s="715" t="n"/>
    </row>
    <row r="96">
      <c r="A96" s="34" t="inlineStr">
        <is>
          <t>Action not assigned</t>
        </is>
      </c>
      <c r="B96" s="34" t="inlineStr">
        <is>
          <t>Action assigned</t>
        </is>
      </c>
      <c r="C96" s="35" t="inlineStr">
        <is>
          <t>Action started</t>
        </is>
      </c>
      <c r="D96" s="35" t="inlineStr">
        <is>
          <t>Action in progress</t>
        </is>
      </c>
      <c r="E96" s="165" t="inlineStr">
        <is>
          <t>Action completed</t>
        </is>
      </c>
      <c r="F96" s="716" t="n"/>
      <c r="G96" s="639" t="n"/>
    </row>
    <row r="97">
      <c r="A97" s="639" t="n"/>
      <c r="C97" s="639" t="n"/>
      <c r="D97" s="639" t="n"/>
      <c r="E97" s="639" t="n"/>
      <c r="F97" s="639" t="n"/>
      <c r="G97" s="639" t="n"/>
    </row>
    <row r="98">
      <c r="C98" s="639" t="n"/>
      <c r="D98" s="639" t="n"/>
      <c r="E98" s="639" t="n"/>
      <c r="F98" s="639" t="n"/>
      <c r="G98" s="639" t="n"/>
      <c r="H98" s="639" t="n"/>
    </row>
  </sheetData>
  <mergeCells count="155">
    <mergeCell ref="F84:F85"/>
    <mergeCell ref="E92:E93"/>
    <mergeCell ref="E8:E9"/>
    <mergeCell ref="K88:K89"/>
    <mergeCell ref="G8:G9"/>
    <mergeCell ref="M88:M89"/>
    <mergeCell ref="D22:D23"/>
    <mergeCell ref="E88:E89"/>
    <mergeCell ref="B86:B87"/>
    <mergeCell ref="D86:D87"/>
    <mergeCell ref="C94:C95"/>
    <mergeCell ref="F86:F87"/>
    <mergeCell ref="A16:A17"/>
    <mergeCell ref="C10:C11"/>
    <mergeCell ref="C16:C17"/>
    <mergeCell ref="E10:E11"/>
    <mergeCell ref="B14:B15"/>
    <mergeCell ref="G10:G11"/>
    <mergeCell ref="M90:M91"/>
    <mergeCell ref="F18:F19"/>
    <mergeCell ref="H88:H89"/>
    <mergeCell ref="K90:K91"/>
    <mergeCell ref="F94:F95"/>
    <mergeCell ref="D16:D17"/>
    <mergeCell ref="H94:H95"/>
    <mergeCell ref="B6:B7"/>
    <mergeCell ref="G18:G19"/>
    <mergeCell ref="H90:H91"/>
    <mergeCell ref="A22:A23"/>
    <mergeCell ref="D18:D19"/>
    <mergeCell ref="J94:J95"/>
    <mergeCell ref="L94:L95"/>
    <mergeCell ref="D8:D9"/>
    <mergeCell ref="A20:A21"/>
    <mergeCell ref="N90:N91"/>
    <mergeCell ref="C86:C87"/>
    <mergeCell ref="G22:G23"/>
    <mergeCell ref="I84:I85"/>
    <mergeCell ref="A82:F82"/>
    <mergeCell ref="D10:D11"/>
    <mergeCell ref="H92:H93"/>
    <mergeCell ref="J88:J89"/>
    <mergeCell ref="C6:C7"/>
    <mergeCell ref="I86:I87"/>
    <mergeCell ref="F16:F17"/>
    <mergeCell ref="C14:C15"/>
    <mergeCell ref="E14:E15"/>
    <mergeCell ref="K92:K93"/>
    <mergeCell ref="A88:A89"/>
    <mergeCell ref="B90:B91"/>
    <mergeCell ref="K94:K95"/>
    <mergeCell ref="F20:F21"/>
    <mergeCell ref="M94:M95"/>
    <mergeCell ref="A90:A91"/>
    <mergeCell ref="O92:O93"/>
    <mergeCell ref="N92:N93"/>
    <mergeCell ref="F22:F23"/>
    <mergeCell ref="A46:B46"/>
    <mergeCell ref="B84:B85"/>
    <mergeCell ref="A8:A9"/>
    <mergeCell ref="L84:L85"/>
    <mergeCell ref="C8:C9"/>
    <mergeCell ref="N84:N85"/>
    <mergeCell ref="A10:A11"/>
    <mergeCell ref="L86:L87"/>
    <mergeCell ref="N86:N87"/>
    <mergeCell ref="B92:B93"/>
    <mergeCell ref="D88:D89"/>
    <mergeCell ref="F88:F89"/>
    <mergeCell ref="A92:A93"/>
    <mergeCell ref="B94:B95"/>
    <mergeCell ref="D94:D95"/>
    <mergeCell ref="B16:B17"/>
    <mergeCell ref="M92:M93"/>
    <mergeCell ref="O86:O87"/>
    <mergeCell ref="C18:C19"/>
    <mergeCell ref="F10:F11"/>
    <mergeCell ref="N94:N95"/>
    <mergeCell ref="J92:J93"/>
    <mergeCell ref="F24:F25"/>
    <mergeCell ref="D90:D91"/>
    <mergeCell ref="A94:A95"/>
    <mergeCell ref="B47:F47"/>
    <mergeCell ref="H82:O82"/>
    <mergeCell ref="B18:B19"/>
    <mergeCell ref="A84:A85"/>
    <mergeCell ref="C20:C21"/>
    <mergeCell ref="E20:E21"/>
    <mergeCell ref="B8:B9"/>
    <mergeCell ref="A6:A7"/>
    <mergeCell ref="C84:C85"/>
    <mergeCell ref="C22:C23"/>
    <mergeCell ref="E84:E85"/>
    <mergeCell ref="F8:F9"/>
    <mergeCell ref="N88:N89"/>
    <mergeCell ref="E94:E95"/>
    <mergeCell ref="G6:G7"/>
    <mergeCell ref="E86:E87"/>
    <mergeCell ref="G24:G25"/>
    <mergeCell ref="A3:B3"/>
    <mergeCell ref="A14:A15"/>
    <mergeCell ref="H84:H85"/>
    <mergeCell ref="I88:I89"/>
    <mergeCell ref="D92:D93"/>
    <mergeCell ref="F92:F93"/>
    <mergeCell ref="J90:J91"/>
    <mergeCell ref="H86:H87"/>
    <mergeCell ref="L90:L91"/>
    <mergeCell ref="B20:B21"/>
    <mergeCell ref="E16:E17"/>
    <mergeCell ref="I94:I95"/>
    <mergeCell ref="D20:D21"/>
    <mergeCell ref="G16:G17"/>
    <mergeCell ref="D14:D15"/>
    <mergeCell ref="F14:F15"/>
    <mergeCell ref="I90:I91"/>
    <mergeCell ref="B22:B23"/>
    <mergeCell ref="E18:E19"/>
    <mergeCell ref="O90:O91"/>
    <mergeCell ref="A44:E44"/>
    <mergeCell ref="D6:D7"/>
    <mergeCell ref="E96:F96"/>
    <mergeCell ref="F6:F7"/>
    <mergeCell ref="A24:A25"/>
    <mergeCell ref="J84:J85"/>
    <mergeCell ref="J86:J87"/>
    <mergeCell ref="C88:C89"/>
    <mergeCell ref="K84:K85"/>
    <mergeCell ref="O88:O89"/>
    <mergeCell ref="M84:M85"/>
    <mergeCell ref="L92:L93"/>
    <mergeCell ref="O84:O85"/>
    <mergeCell ref="B88:B89"/>
    <mergeCell ref="C90:C91"/>
    <mergeCell ref="A86:A87"/>
    <mergeCell ref="L88:L89"/>
    <mergeCell ref="E90:E91"/>
    <mergeCell ref="I92:I93"/>
    <mergeCell ref="E6:E7"/>
    <mergeCell ref="K86:K87"/>
    <mergeCell ref="B10:B11"/>
    <mergeCell ref="M86:M87"/>
    <mergeCell ref="A18:A19"/>
    <mergeCell ref="G20:G21"/>
    <mergeCell ref="B24:B25"/>
    <mergeCell ref="G14:G15"/>
    <mergeCell ref="D24:D25"/>
    <mergeCell ref="F90:F91"/>
    <mergeCell ref="A47:A48"/>
    <mergeCell ref="O94:O95"/>
    <mergeCell ref="E22:E23"/>
    <mergeCell ref="C24:C25"/>
    <mergeCell ref="E24:E25"/>
    <mergeCell ref="D84:D85"/>
    <mergeCell ref="C92:C93"/>
  </mergeCells>
  <conditionalFormatting sqref="A84:A95">
    <cfRule type="containsBlanks" priority="6" dxfId="3">
      <formula>LEN(TRIM(A84))=0</formula>
    </cfRule>
  </conditionalFormatting>
  <conditionalFormatting sqref="A49:F49 A52:F52 A55:F55 A58:F58 A61:F61 A64:F64 B50:F50 B53:F53 B56:F56 B59:F59 B62:F62 B65:F65">
    <cfRule type="containsBlanks" priority="5" dxfId="3">
      <formula>LEN(TRIM(A49))=0</formula>
    </cfRule>
  </conditionalFormatting>
  <conditionalFormatting sqref="A6:G6 A8:G8 A10:G10">
    <cfRule type="containsBlanks" priority="9" dxfId="3">
      <formula>LEN(TRIM(A6))=0</formula>
    </cfRule>
  </conditionalFormatting>
  <conditionalFormatting sqref="A14:G14 A16:G16 A18:G18 A20:G20 A22:G22 A24:G24">
    <cfRule type="containsBlanks" priority="20" dxfId="3">
      <formula>LEN(TRIM(A14))=0</formula>
    </cfRule>
  </conditionalFormatting>
  <conditionalFormatting sqref="B84:E84 B86:E86 B88:E88 B90:E90 B92:E92 B94:E94">
    <cfRule type="containsBlanks" priority="15" dxfId="3">
      <formula>LEN(TRIM(B84))=0</formula>
    </cfRule>
  </conditionalFormatting>
  <conditionalFormatting sqref="D1">
    <cfRule type="containsBlanks" priority="1" dxfId="3">
      <formula>LEN(TRIM(D1))=0</formula>
    </cfRule>
  </conditionalFormatting>
  <conditionalFormatting sqref="F1">
    <cfRule type="containsBlanks" priority="23" dxfId="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priority="22" dxfId="19">
      <formula>AND(#REF!&lt;&gt;"",E84&lt;TODAY(),F84&lt;4)</formula>
    </cfRule>
  </conditionalFormatting>
  <conditionalFormatting sqref="H84:H95">
    <cfRule type="containsBlanks" priority="4" dxfId="3">
      <formula>LEN(TRIM(H84))=0</formula>
    </cfRule>
  </conditionalFormatting>
  <conditionalFormatting sqref="I84:O84 I86:O86 I88:O88 I90:O90 I92:O92 I94:O94">
    <cfRule type="containsBlanks" priority="14" dxfId="3">
      <formula>LEN(TRIM(I84))=0</formula>
    </cfRule>
  </conditionalFormatting>
  <conditionalFormatting sqref="I7:T7 I9:T9 I11:T11 I17:T17 I19:T19 I21:T21 I23:T23 I25:T25">
    <cfRule type="expression" priority="11" dxfId="1">
      <formula>AND(OR($F6="Lower the better", $F6="Lower the Better"), I7&lt;=I6)</formula>
    </cfRule>
    <cfRule type="expression" priority="12" dxfId="0">
      <formula>AND(OR($F6="Higher the better", $F6="Higher the Better"), I7&lt;I6)</formula>
    </cfRule>
    <cfRule type="expression" priority="13" dxfId="1" stopIfTrue="1">
      <formula>AND(OR($F6="Higher the better", $F6="Higher the Better"), I7&gt;=I6)</formula>
    </cfRule>
    <cfRule type="expression" priority="10" dxfId="0">
      <formula>AND(OR($F6="Lower the better", $F6="Lower the Better"), I7&gt;I6)</formula>
    </cfRule>
  </conditionalFormatting>
  <conditionalFormatting sqref="I7:T7 I9:T9 I11:T11">
    <cfRule type="containsBlanks" priority="7" dxfId="3">
      <formula>LEN(TRIM(I7))=0</formula>
    </cfRule>
  </conditionalFormatting>
  <conditionalFormatting sqref="I15:T15 I17:T17 I19:T19 I21:T21 I23:T23 I25:T25">
    <cfRule type="containsBlanks" priority="8" dxfId="3">
      <formula>LEN(TRIM(I15))=0</formula>
    </cfRule>
  </conditionalFormatting>
  <conditionalFormatting sqref="I15:T15">
    <cfRule type="expression" priority="16" dxfId="0">
      <formula>AND(OR($F14="Lower the better", $F14="Lower the Better"), I15&gt;I14)</formula>
    </cfRule>
    <cfRule type="expression" priority="17" dxfId="1">
      <formula>AND(OR($F14="Lower the better", $F14="Lower the Better"), I15&lt;=I14)</formula>
    </cfRule>
    <cfRule type="expression" priority="18" dxfId="0">
      <formula>AND(OR($F14="Higher the better", $F14="Higher the Better"), I15&lt;I14)</formula>
    </cfRule>
    <cfRule type="expression" priority="19" dxfId="1" stopIfTrue="1">
      <formula>AND(OR($F14="Higher the better", $F14="Higher the Better"), I15&gt;=I14)</formula>
    </cfRule>
  </conditionalFormatting>
  <conditionalFormatting sqref="M84:M95">
    <cfRule type="containsText" priority="2" operator="containsText" dxfId="6" text="No">
      <formula>NOT(ISERROR(SEARCH("No",M84)))</formula>
    </cfRule>
    <cfRule type="containsText" priority="3" operator="containsText" dxfId="5" text="Yes">
      <formula>NOT(ISERROR(SEARCH("Yes",M84)))</formula>
    </cfRule>
  </conditionalFormatting>
  <dataValidations count="7">
    <dataValidation sqref="E6:E11 E14:E25" showDropDown="0" showInputMessage="1" showErrorMessage="1" allowBlank="1" type="list">
      <formula1>"%, Mn, No., "</formula1>
    </dataValidation>
    <dataValidation sqref="B1:B2" showDropDown="0" showInputMessage="1" showErrorMessage="1" allowBlank="1" type="list">
      <formula1>"Jan-2026, Feb-2026, Mar-2026, Apr-2026, May-2026, Jun-2026, Jul-2026, Aug-2026, Sep-2026, Oct-2026, Nov-2026, Dec-2026"</formula1>
    </dataValidation>
    <dataValidation sqref="M84 M86 M88 M90 M92 M94" showDropDown="0" showInputMessage="1" showErrorMessage="1" allowBlank="1" type="list">
      <formula1>"Yes, No"</formula1>
    </dataValidation>
    <dataValidation sqref="C6:C11 C14:C25" showDropDown="0" showInputMessage="1" showErrorMessage="1" allowBlank="1" type="list">
      <formula1>"&gt;, &lt;, &gt;=, &lt;=, ="</formula1>
    </dataValidation>
    <dataValidation sqref="G6:G11 G14:G25" showDropDown="0" showInputMessage="1" showErrorMessage="1" allowBlank="1" type="list">
      <formula1>"Monthly, Quarterly, Half yearly"</formula1>
    </dataValidation>
    <dataValidation sqref="F6:F11 F14:F25" showDropDown="0" showInputMessage="1" showErrorMessage="1" allowBlank="1" type="list">
      <formula1>"Higher the better, Lower the better"</formula1>
    </dataValidation>
    <dataValidation sqref="F84:G84 F86:G86 F88:G88 F90:G90 F92:G92 F94:G94" showDropDown="0" showInputMessage="1" showErrorMessage="1" allowBlank="1" type="list">
      <formula1>"1,2,3,4,5"</formula1>
    </dataValidation>
  </dataValidations>
  <pageMargins left="0.7" right="0.7" top="0.75" bottom="0.75" header="0.3" footer="0.3"/>
  <pageSetup orientation="portrait"/>
  <drawing xmlns:r="http://schemas.openxmlformats.org/officeDocument/2006/relationships" r:id="rId1"/>
</worksheet>
</file>

<file path=xl/worksheets/sheet16.xml><?xml version="1.0" encoding="utf-8"?>
<worksheet xmlns="http://schemas.openxmlformats.org/spreadsheetml/2006/main">
  <sheetPr codeName="Sheet15">
    <outlinePr summaryBelow="1" summaryRight="1"/>
    <pageSetUpPr/>
  </sheetPr>
  <dimension ref="B1:M64"/>
  <sheetViews>
    <sheetView workbookViewId="0">
      <selection activeCell="I47" sqref="I47"/>
    </sheetView>
  </sheetViews>
  <sheetFormatPr baseColWidth="8" defaultRowHeight="14.45"/>
  <cols>
    <col width="25.42578125" bestFit="1" customWidth="1" min="2" max="2"/>
    <col width="11.5703125" bestFit="1" customWidth="1" min="3" max="3"/>
    <col width="13" bestFit="1" customWidth="1" min="4" max="4"/>
    <col width="13.42578125" bestFit="1" customWidth="1" min="9" max="9"/>
  </cols>
  <sheetData>
    <row r="1">
      <c r="B1" t="inlineStr">
        <is>
          <t>Month</t>
        </is>
      </c>
    </row>
    <row r="2">
      <c r="B2" t="inlineStr">
        <is>
          <t>PS &amp; Q</t>
        </is>
      </c>
    </row>
    <row r="3">
      <c r="B3" t="inlineStr">
        <is>
          <t>Mandatory outcome KPI's</t>
        </is>
      </c>
      <c r="C3" t="inlineStr">
        <is>
          <t>Patient safety</t>
        </is>
      </c>
      <c r="D3" t="inlineStr">
        <is>
          <t>Target &amp; actual</t>
        </is>
      </c>
      <c r="F3" t="inlineStr">
        <is>
          <t>Quality</t>
        </is>
      </c>
      <c r="G3" t="inlineStr">
        <is>
          <t>Target &amp; actual</t>
        </is>
      </c>
      <c r="I3" t="inlineStr">
        <is>
          <t>Audit readiness</t>
        </is>
      </c>
      <c r="J3" t="inlineStr">
        <is>
          <t>Target &amp; actual</t>
        </is>
      </c>
    </row>
    <row r="4">
      <c r="C4" t="inlineStr">
        <is>
          <t># of ARO's</t>
        </is>
      </c>
      <c r="D4" t="inlineStr">
        <is>
          <t>Target &amp; actual</t>
        </is>
      </c>
      <c r="F4" t="inlineStr">
        <is>
          <t># of QN's</t>
        </is>
      </c>
      <c r="G4" t="inlineStr">
        <is>
          <t>Target &amp; actual</t>
        </is>
      </c>
      <c r="I4" t="inlineStr">
        <is>
          <t>CAPA Cloures</t>
        </is>
      </c>
      <c r="J4" t="inlineStr">
        <is>
          <t>Target &amp; actual</t>
        </is>
      </c>
    </row>
    <row r="8">
      <c r="B8" t="inlineStr">
        <is>
          <t>Critical Enabling/Leading KpI's</t>
        </is>
      </c>
    </row>
    <row r="9" ht="24" customHeight="1">
      <c r="B9" s="1" t="inlineStr">
        <is>
          <t>KPI</t>
        </is>
      </c>
      <c r="C9" s="1" t="inlineStr">
        <is>
          <t>KPI Measurement</t>
        </is>
      </c>
      <c r="D9" s="1" t="inlineStr">
        <is>
          <t>Baseline 2025</t>
        </is>
      </c>
      <c r="E9" s="1" t="inlineStr">
        <is>
          <t>Target AOP 2026</t>
        </is>
      </c>
      <c r="F9" s="1" t="inlineStr">
        <is>
          <t>Units</t>
        </is>
      </c>
      <c r="G9" s="1" t="inlineStr">
        <is>
          <t>Frequency</t>
        </is>
      </c>
      <c r="H9" s="1" t="inlineStr">
        <is>
          <t>Target Actual</t>
        </is>
      </c>
      <c r="I9" s="1" t="inlineStr">
        <is>
          <t>Jan</t>
        </is>
      </c>
      <c r="J9" s="1" t="inlineStr">
        <is>
          <t>Feb</t>
        </is>
      </c>
      <c r="K9" s="1" t="inlineStr">
        <is>
          <t>March</t>
        </is>
      </c>
      <c r="L9" s="1" t="inlineStr">
        <is>
          <t>April</t>
        </is>
      </c>
      <c r="M9" s="1" t="inlineStr">
        <is>
          <t>May</t>
        </is>
      </c>
    </row>
    <row r="10">
      <c r="B10" s="789" t="inlineStr">
        <is>
          <t>OIT</t>
        </is>
      </c>
      <c r="C10" s="790" t="n"/>
      <c r="D10" s="791" t="inlineStr">
        <is>
          <t>114M</t>
        </is>
      </c>
      <c r="E10" s="791" t="inlineStr">
        <is>
          <t>145M</t>
        </is>
      </c>
      <c r="F10" s="791" t="inlineStr">
        <is>
          <t>%</t>
        </is>
      </c>
      <c r="G10" s="792" t="n"/>
      <c r="H10" s="2" t="inlineStr">
        <is>
          <t>Target</t>
        </is>
      </c>
      <c r="I10" s="4" t="n">
        <v>1</v>
      </c>
      <c r="J10" s="4" t="n">
        <v>0.3</v>
      </c>
      <c r="K10" s="4" t="n">
        <v>0.2</v>
      </c>
      <c r="L10" s="4" t="n">
        <v>1</v>
      </c>
      <c r="M10" s="4" t="n">
        <v>0.8</v>
      </c>
    </row>
    <row r="11">
      <c r="B11" s="671" t="n"/>
      <c r="C11" s="671" t="n"/>
      <c r="D11" s="671" t="n"/>
      <c r="E11" s="671" t="n"/>
      <c r="F11" s="671" t="n"/>
      <c r="G11" s="671" t="n"/>
      <c r="H11" s="3" t="inlineStr">
        <is>
          <t>Actual</t>
        </is>
      </c>
      <c r="I11" s="5" t="n">
        <v>0.12</v>
      </c>
      <c r="J11" s="5" t="n">
        <v>0.3</v>
      </c>
      <c r="K11" s="5" t="n">
        <v>0.2</v>
      </c>
      <c r="L11" s="5" t="n">
        <v>0.8</v>
      </c>
      <c r="M11" s="5" t="n">
        <v>0.8</v>
      </c>
    </row>
    <row r="12">
      <c r="B12" s="793" t="inlineStr">
        <is>
          <t>Overall Visibility</t>
        </is>
      </c>
      <c r="C12" s="790" t="n"/>
      <c r="D12" s="794" t="n">
        <v>0.37</v>
      </c>
      <c r="E12" s="794" t="n">
        <v>0.44</v>
      </c>
      <c r="F12" s="791" t="inlineStr">
        <is>
          <t>%</t>
        </is>
      </c>
      <c r="G12" s="792" t="n"/>
      <c r="H12" s="3" t="inlineStr">
        <is>
          <t>Target</t>
        </is>
      </c>
      <c r="I12" s="6">
        <f>RANDBETWEEN(1,100)</f>
        <v/>
      </c>
      <c r="J12" s="6">
        <f>RANDBETWEEN(1,100)</f>
        <v/>
      </c>
      <c r="K12" s="6">
        <f>RANDBETWEEN(1,100)</f>
        <v/>
      </c>
      <c r="L12" s="6">
        <f>RANDBETWEEN(1,100)</f>
        <v/>
      </c>
      <c r="M12" s="6">
        <f>RANDBETWEEN(1,100)</f>
        <v/>
      </c>
    </row>
    <row r="13">
      <c r="B13" s="671" t="n"/>
      <c r="C13" s="671" t="n"/>
      <c r="D13" s="671" t="n"/>
      <c r="E13" s="671" t="n"/>
      <c r="F13" s="671" t="n"/>
      <c r="G13" s="671" t="n"/>
      <c r="H13" s="3" t="inlineStr">
        <is>
          <t>Actual</t>
        </is>
      </c>
      <c r="I13" s="7">
        <f>RANDBETWEEN(1,100)</f>
        <v/>
      </c>
      <c r="J13" s="7">
        <f>RANDBETWEEN(1,100)</f>
        <v/>
      </c>
      <c r="K13" s="7">
        <f>RANDBETWEEN(1,100)</f>
        <v/>
      </c>
      <c r="L13" s="7">
        <f>RANDBETWEEN(1,100)</f>
        <v/>
      </c>
      <c r="M13" s="7">
        <f>RANDBETWEEN(1,100)</f>
        <v/>
      </c>
    </row>
    <row r="14">
      <c r="B14" s="793" t="inlineStr">
        <is>
          <t>Overall Winrate</t>
        </is>
      </c>
      <c r="C14" s="790" t="n"/>
      <c r="D14" s="794" t="n">
        <v>0.31</v>
      </c>
      <c r="E14" s="794" t="n">
        <v>0.34</v>
      </c>
      <c r="F14" s="791" t="inlineStr">
        <is>
          <t>%</t>
        </is>
      </c>
      <c r="G14" s="792" t="n"/>
      <c r="H14" s="3" t="inlineStr">
        <is>
          <t>Target</t>
        </is>
      </c>
      <c r="I14" s="6">
        <f>RANDBETWEEN(1,100)</f>
        <v/>
      </c>
      <c r="J14" s="6">
        <f>RANDBETWEEN(1,100)</f>
        <v/>
      </c>
      <c r="K14" s="6">
        <f>RANDBETWEEN(1,100)</f>
        <v/>
      </c>
      <c r="L14" s="6">
        <f>RANDBETWEEN(1,100)</f>
        <v/>
      </c>
      <c r="M14" s="6">
        <f>RANDBETWEEN(1,100)</f>
        <v/>
      </c>
    </row>
    <row r="15">
      <c r="B15" s="671" t="n"/>
      <c r="C15" s="671" t="n"/>
      <c r="D15" s="671" t="n"/>
      <c r="E15" s="671" t="n"/>
      <c r="F15" s="671" t="n"/>
      <c r="G15" s="671" t="n"/>
      <c r="H15" s="3" t="inlineStr">
        <is>
          <t>Actual</t>
        </is>
      </c>
      <c r="I15" s="7">
        <f>RANDBETWEEN(1,100)</f>
        <v/>
      </c>
      <c r="J15" s="7">
        <f>RANDBETWEEN(1,100)</f>
        <v/>
      </c>
      <c r="K15" s="7">
        <f>RANDBETWEEN(1,100)</f>
        <v/>
      </c>
      <c r="L15" s="7">
        <f>RANDBETWEEN(1,100)</f>
        <v/>
      </c>
      <c r="M15" s="7">
        <f>RANDBETWEEN(1,100)</f>
        <v/>
      </c>
    </row>
    <row r="16">
      <c r="B16" s="793" t="inlineStr">
        <is>
          <t>IB Winrate</t>
        </is>
      </c>
      <c r="C16" s="790" t="n"/>
      <c r="D16" s="794" t="n">
        <v>0.24</v>
      </c>
      <c r="E16" s="794" t="n">
        <v>0.26</v>
      </c>
      <c r="F16" s="791" t="inlineStr">
        <is>
          <t>%</t>
        </is>
      </c>
      <c r="G16" s="792" t="n"/>
      <c r="H16" s="3" t="inlineStr">
        <is>
          <t>Target</t>
        </is>
      </c>
      <c r="I16" s="6">
        <f>RANDBETWEEN(1,100)</f>
        <v/>
      </c>
      <c r="J16" s="6">
        <f>RANDBETWEEN(1,100)</f>
        <v/>
      </c>
      <c r="K16" s="6">
        <f>RANDBETWEEN(1,100)</f>
        <v/>
      </c>
      <c r="L16" s="6">
        <f>RANDBETWEEN(1,100)</f>
        <v/>
      </c>
      <c r="M16" s="6">
        <f>RANDBETWEEN(1,100)</f>
        <v/>
      </c>
    </row>
    <row r="17">
      <c r="B17" s="671" t="n"/>
      <c r="C17" s="671" t="n"/>
      <c r="D17" s="671" t="n"/>
      <c r="E17" s="671" t="n"/>
      <c r="F17" s="671" t="n"/>
      <c r="G17" s="671" t="n"/>
      <c r="H17" s="3" t="inlineStr">
        <is>
          <t>Actual</t>
        </is>
      </c>
      <c r="I17" s="7">
        <f>RANDBETWEEN(1,100)</f>
        <v/>
      </c>
      <c r="J17" s="7">
        <f>RANDBETWEEN(1,100)</f>
        <v/>
      </c>
      <c r="K17" s="7">
        <f>RANDBETWEEN(1,100)</f>
        <v/>
      </c>
      <c r="L17" s="7">
        <f>RANDBETWEEN(1,100)</f>
        <v/>
      </c>
      <c r="M17" s="7">
        <f>RANDBETWEEN(1,100)</f>
        <v/>
      </c>
    </row>
    <row r="18">
      <c r="B18" s="793" t="inlineStr">
        <is>
          <t>Philips IB Visibility</t>
        </is>
      </c>
      <c r="C18" s="790" t="n"/>
      <c r="D18" s="794" t="n">
        <v>0.65</v>
      </c>
      <c r="E18" s="794" t="n">
        <v>0.7</v>
      </c>
      <c r="F18" s="791" t="inlineStr">
        <is>
          <t>%</t>
        </is>
      </c>
      <c r="G18" s="792" t="n"/>
      <c r="H18" s="3" t="inlineStr">
        <is>
          <t>Target</t>
        </is>
      </c>
      <c r="I18" s="6">
        <f>RANDBETWEEN(1,100)</f>
        <v/>
      </c>
      <c r="J18" s="6">
        <f>RANDBETWEEN(1,100)</f>
        <v/>
      </c>
      <c r="K18" s="6">
        <f>RANDBETWEEN(1,100)</f>
        <v/>
      </c>
      <c r="L18" s="6">
        <f>RANDBETWEEN(1,100)</f>
        <v/>
      </c>
      <c r="M18" s="6">
        <f>RANDBETWEEN(1,100)</f>
        <v/>
      </c>
    </row>
    <row r="19">
      <c r="B19" s="671" t="n"/>
      <c r="C19" s="671" t="n"/>
      <c r="D19" s="671" t="n"/>
      <c r="E19" s="671" t="n"/>
      <c r="F19" s="671" t="n"/>
      <c r="G19" s="671" t="n"/>
      <c r="H19" s="3" t="inlineStr">
        <is>
          <t>Actual</t>
        </is>
      </c>
      <c r="I19" s="7">
        <f>RANDBETWEEN(1,100)</f>
        <v/>
      </c>
      <c r="J19" s="7">
        <f>RANDBETWEEN(1,100)</f>
        <v/>
      </c>
      <c r="K19" s="7">
        <f>RANDBETWEEN(1,100)</f>
        <v/>
      </c>
      <c r="L19" s="7">
        <f>RANDBETWEEN(1,100)</f>
        <v/>
      </c>
      <c r="M19" s="7">
        <f>RANDBETWEEN(1,100)</f>
        <v/>
      </c>
    </row>
    <row r="20">
      <c r="B20" s="793" t="inlineStr">
        <is>
          <t>Demo Winrate</t>
        </is>
      </c>
      <c r="C20" s="790" t="n"/>
      <c r="D20" s="794" t="n">
        <v>0.53</v>
      </c>
      <c r="E20" s="794" t="n">
        <v>0.58</v>
      </c>
      <c r="F20" s="791" t="inlineStr">
        <is>
          <t>%</t>
        </is>
      </c>
      <c r="G20" s="792" t="n"/>
      <c r="H20" s="3" t="inlineStr">
        <is>
          <t>Target</t>
        </is>
      </c>
      <c r="I20" s="6">
        <f>RANDBETWEEN(1,100)</f>
        <v/>
      </c>
      <c r="J20" s="6">
        <f>RANDBETWEEN(1,100)</f>
        <v/>
      </c>
      <c r="K20" s="6">
        <f>RANDBETWEEN(1,100)</f>
        <v/>
      </c>
      <c r="L20" s="6">
        <f>RANDBETWEEN(1,100)</f>
        <v/>
      </c>
      <c r="M20" s="6">
        <f>RANDBETWEEN(1,100)</f>
        <v/>
      </c>
    </row>
    <row r="21">
      <c r="B21" s="671" t="n"/>
      <c r="C21" s="671" t="n"/>
      <c r="D21" s="671" t="n"/>
      <c r="E21" s="671" t="n"/>
      <c r="F21" s="671" t="n"/>
      <c r="G21" s="671" t="n"/>
      <c r="H21" s="3" t="inlineStr">
        <is>
          <t>Actual</t>
        </is>
      </c>
      <c r="I21" s="7">
        <f>RANDBETWEEN(1,100)</f>
        <v/>
      </c>
      <c r="J21" s="7">
        <f>RANDBETWEEN(1,100)</f>
        <v/>
      </c>
      <c r="K21" s="7">
        <f>RANDBETWEEN(1,100)</f>
        <v/>
      </c>
      <c r="L21" s="7">
        <f>RANDBETWEEN(1,100)</f>
        <v/>
      </c>
      <c r="M21" s="7">
        <f>RANDBETWEEN(1,100)</f>
        <v/>
      </c>
    </row>
    <row r="23">
      <c r="B23" t="inlineStr">
        <is>
          <t>Trends-show</t>
        </is>
      </c>
    </row>
    <row r="33">
      <c r="B33" t="inlineStr">
        <is>
          <t>Cause analysis</t>
        </is>
      </c>
    </row>
    <row r="34">
      <c r="B34" t="inlineStr">
        <is>
          <t>YY analysis</t>
        </is>
      </c>
    </row>
    <row r="43">
      <c r="B43" t="inlineStr">
        <is>
          <t>pareto</t>
        </is>
      </c>
    </row>
    <row r="44" ht="36" customHeight="1">
      <c r="B44" s="1" t="inlineStr">
        <is>
          <t>KPI</t>
        </is>
      </c>
      <c r="C44" s="1" t="inlineStr">
        <is>
          <t>Reason of Failure/Defect category</t>
        </is>
      </c>
      <c r="D44" s="1" t="inlineStr">
        <is>
          <t xml:space="preserve">Label 1 </t>
        </is>
      </c>
      <c r="E44" s="1" t="inlineStr">
        <is>
          <t xml:space="preserve">Lable 2 </t>
        </is>
      </c>
      <c r="F44" s="1" t="inlineStr">
        <is>
          <t>Label 3</t>
        </is>
      </c>
      <c r="G44" s="1" t="inlineStr">
        <is>
          <t xml:space="preserve">Label 4 </t>
        </is>
      </c>
      <c r="H44" s="1" t="inlineStr">
        <is>
          <t>Label 5</t>
        </is>
      </c>
      <c r="I44" s="1" t="n"/>
      <c r="J44" s="1" t="n"/>
    </row>
    <row r="45">
      <c r="B45" s="8" t="inlineStr">
        <is>
          <t>OIT</t>
        </is>
      </c>
      <c r="C45" s="3" t="inlineStr">
        <is>
          <t xml:space="preserve">Gap to target </t>
        </is>
      </c>
      <c r="D45" s="9" t="n">
        <v>1</v>
      </c>
      <c r="E45" s="9" t="n">
        <v>2</v>
      </c>
      <c r="F45" s="9" t="n">
        <v>3</v>
      </c>
      <c r="G45" s="9" t="n">
        <v>4</v>
      </c>
      <c r="H45" s="9" t="n">
        <v>2</v>
      </c>
      <c r="I45" s="9" t="n"/>
      <c r="J45" s="9" t="n"/>
    </row>
    <row r="46">
      <c r="B46" t="inlineStr">
        <is>
          <t>data validation for  KPI's</t>
        </is>
      </c>
    </row>
    <row r="48">
      <c r="B48" s="639" t="n"/>
    </row>
    <row r="64">
      <c r="B64" t="inlineStr">
        <is>
          <t>Action tracker</t>
        </is>
      </c>
    </row>
  </sheetData>
  <mergeCells count="37">
    <mergeCell ref="B18:B19"/>
    <mergeCell ref="B12:B13"/>
    <mergeCell ref="C20:C21"/>
    <mergeCell ref="F12:F13"/>
    <mergeCell ref="E20:E21"/>
    <mergeCell ref="F16:F17"/>
    <mergeCell ref="C10:C11"/>
    <mergeCell ref="C16:C17"/>
    <mergeCell ref="F20:F21"/>
    <mergeCell ref="E10:E11"/>
    <mergeCell ref="G10:G11"/>
    <mergeCell ref="B14:B15"/>
    <mergeCell ref="F18:F19"/>
    <mergeCell ref="B48:F48"/>
    <mergeCell ref="C12:C13"/>
    <mergeCell ref="D16:D17"/>
    <mergeCell ref="D12:D13"/>
    <mergeCell ref="B10:B11"/>
    <mergeCell ref="G18:G19"/>
    <mergeCell ref="G20:G21"/>
    <mergeCell ref="G14:G15"/>
    <mergeCell ref="D18:D19"/>
    <mergeCell ref="B20:B21"/>
    <mergeCell ref="E16:E17"/>
    <mergeCell ref="D20:D21"/>
    <mergeCell ref="G16:G17"/>
    <mergeCell ref="D14:D15"/>
    <mergeCell ref="F14:F15"/>
    <mergeCell ref="D10:D11"/>
    <mergeCell ref="E18:E19"/>
    <mergeCell ref="E12:E13"/>
    <mergeCell ref="G12:G13"/>
    <mergeCell ref="B16:B17"/>
    <mergeCell ref="C18:C19"/>
    <mergeCell ref="F10:F11"/>
    <mergeCell ref="C14:C15"/>
    <mergeCell ref="E14:E15"/>
  </mergeCells>
  <conditionalFormatting sqref="B45">
    <cfRule type="containsBlanks" priority="1" dxfId="3">
      <formula>LEN(TRIM(B45))=0</formula>
    </cfRule>
  </conditionalFormatting>
  <conditionalFormatting sqref="B10:G10 B12:G12 B14:G14 B16:G16 B18:G18 B20:G20">
    <cfRule type="containsBlanks" priority="5" dxfId="3">
      <formula>LEN(TRIM(B10))=0</formula>
    </cfRule>
  </conditionalFormatting>
  <conditionalFormatting sqref="I11:M11 I13:M13 I15:M15 I17:M17 I19:M19 I21:M21">
    <cfRule type="containsBlanks" priority="2" dxfId="2">
      <formula>LEN(TRIM(I11))=0</formula>
    </cfRule>
    <cfRule type="expression" priority="3" dxfId="1">
      <formula>I11&gt;=I10</formula>
    </cfRule>
    <cfRule type="expression" priority="4" dxfId="0">
      <formula>I11&lt;I10</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Bhardwaj, Kavya</dc:creator>
  <dcterms:created xmlns:dcterms="http://purl.org/dc/terms/" xmlns:xsi="http://www.w3.org/2001/XMLSchema-instance" xsi:type="dcterms:W3CDTF">2025-11-20T07:45:53Z</dcterms:created>
  <dcterms:modified xmlns:dcterms="http://purl.org/dc/terms/" xmlns:xsi="http://www.w3.org/2001/XMLSchema-instance" xsi:type="dcterms:W3CDTF">2026-10-27T06:13:54Z</dcterms:modified>
  <cp:lastModifiedBy>Mehta, Pratibha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0x010100E2562963771C61468D5985509A74B113</vt:lpwstr>
  </property>
</Properties>
</file>